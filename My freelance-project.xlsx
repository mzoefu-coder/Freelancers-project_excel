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koresdominic/Desktop/DATA Analytics/Excel projects/"/>
    </mc:Choice>
  </mc:AlternateContent>
  <xr:revisionPtr revIDLastSave="0" documentId="13_ncr:1_{EB3D99F5-1B67-DF44-B10C-C0B4558B2C68}" xr6:coauthVersionLast="47" xr6:coauthVersionMax="47" xr10:uidLastSave="{00000000-0000-0000-0000-000000000000}"/>
  <bookViews>
    <workbookView xWindow="0" yWindow="620" windowWidth="28800" windowHeight="15920" xr2:uid="{95D45A63-28C7-3846-83A2-63F6D7CE7C2A}"/>
  </bookViews>
  <sheets>
    <sheet name="Worksheet" sheetId="1" r:id="rId1"/>
    <sheet name="pivots" sheetId="2" r:id="rId2"/>
    <sheet name="Dashboard" sheetId="4" r:id="rId3"/>
  </sheets>
  <definedNames>
    <definedName name="_xlnm._FilterDatabase" localSheetId="0" hidden="1">Worksheet!$A$1:$R$1001</definedName>
    <definedName name="Slicer_Prmary_skill">#N/A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01" i="1" l="1"/>
  <c r="R1000" i="1"/>
  <c r="R998" i="1"/>
  <c r="R995" i="1"/>
  <c r="R992" i="1"/>
  <c r="R990" i="1"/>
  <c r="R988" i="1"/>
  <c r="R985" i="1"/>
  <c r="R962" i="1"/>
  <c r="R956" i="1"/>
  <c r="R955" i="1"/>
  <c r="R940" i="1"/>
  <c r="R936" i="1"/>
  <c r="R928" i="1"/>
  <c r="R908" i="1"/>
  <c r="R907" i="1"/>
  <c r="R901" i="1"/>
  <c r="R896" i="1"/>
  <c r="R893" i="1"/>
  <c r="R892" i="1"/>
  <c r="R860" i="1"/>
  <c r="R852" i="1"/>
  <c r="R839" i="1"/>
  <c r="R835" i="1"/>
  <c r="R830" i="1"/>
  <c r="R825" i="1"/>
  <c r="R804" i="1"/>
  <c r="R803" i="1"/>
  <c r="R798" i="1"/>
  <c r="R790" i="1"/>
  <c r="R786" i="1"/>
  <c r="R784" i="1"/>
  <c r="R751" i="1"/>
  <c r="R750" i="1"/>
  <c r="R749" i="1"/>
  <c r="R747" i="1"/>
  <c r="R730" i="1"/>
  <c r="R727" i="1"/>
  <c r="R726" i="1"/>
  <c r="R710" i="1"/>
  <c r="R704" i="1"/>
  <c r="R703" i="1"/>
  <c r="R686" i="1"/>
  <c r="R684" i="1"/>
  <c r="R675" i="1"/>
  <c r="R670" i="1"/>
  <c r="R662" i="1"/>
  <c r="R655" i="1"/>
  <c r="R652" i="1"/>
  <c r="R651" i="1"/>
  <c r="R635" i="1"/>
  <c r="R631" i="1"/>
  <c r="R628" i="1"/>
  <c r="R627" i="1"/>
  <c r="R605" i="1"/>
  <c r="R603" i="1"/>
  <c r="R596" i="1"/>
  <c r="R595" i="1"/>
  <c r="R581" i="1"/>
  <c r="R552" i="1"/>
  <c r="R547" i="1"/>
  <c r="R539" i="1"/>
  <c r="R532" i="1"/>
  <c r="R518" i="1"/>
  <c r="R515" i="1"/>
  <c r="R482" i="1"/>
  <c r="R477" i="1"/>
  <c r="R471" i="1"/>
  <c r="R468" i="1"/>
  <c r="R467" i="1"/>
  <c r="R448" i="1"/>
  <c r="R445" i="1"/>
  <c r="R444" i="1"/>
  <c r="R419" i="1"/>
  <c r="R406" i="1"/>
  <c r="R397" i="1"/>
  <c r="R381" i="1"/>
  <c r="R378" i="1"/>
  <c r="R368" i="1"/>
  <c r="R365" i="1"/>
  <c r="R357" i="1"/>
  <c r="R351" i="1"/>
  <c r="R349" i="1"/>
  <c r="R337" i="1"/>
  <c r="R328" i="1"/>
  <c r="R313" i="1"/>
  <c r="R291" i="1"/>
  <c r="R280" i="1"/>
  <c r="R271" i="1"/>
  <c r="R261" i="1"/>
  <c r="R260" i="1"/>
  <c r="R253" i="1"/>
  <c r="R248" i="1"/>
  <c r="R247" i="1"/>
  <c r="R231" i="1"/>
  <c r="R212" i="1"/>
  <c r="R210" i="1"/>
  <c r="R206" i="1"/>
  <c r="R202" i="1"/>
  <c r="R170" i="1"/>
  <c r="R157" i="1"/>
  <c r="R146" i="1"/>
  <c r="R139" i="1"/>
  <c r="R132" i="1"/>
  <c r="R123" i="1"/>
  <c r="R111" i="1"/>
  <c r="R103" i="1"/>
  <c r="R99" i="1"/>
  <c r="R83" i="1"/>
  <c r="R78" i="1"/>
  <c r="R75" i="1"/>
  <c r="R67" i="1"/>
  <c r="R35" i="1"/>
  <c r="R26" i="1"/>
  <c r="R999" i="1"/>
  <c r="R997" i="1"/>
  <c r="R996" i="1"/>
  <c r="R994" i="1"/>
  <c r="R993" i="1"/>
  <c r="R991" i="1"/>
  <c r="R989" i="1"/>
  <c r="R987" i="1"/>
  <c r="R986" i="1"/>
  <c r="R984" i="1"/>
  <c r="R983" i="1"/>
  <c r="R981" i="1"/>
  <c r="R980" i="1"/>
  <c r="R979" i="1"/>
  <c r="R977" i="1"/>
  <c r="R976" i="1"/>
  <c r="R975" i="1"/>
  <c r="R974" i="1"/>
  <c r="R973" i="1"/>
  <c r="R972" i="1"/>
  <c r="R971" i="1"/>
  <c r="R969" i="1"/>
  <c r="R968" i="1"/>
  <c r="R967" i="1"/>
  <c r="R965" i="1"/>
  <c r="R964" i="1"/>
  <c r="R963" i="1"/>
  <c r="R960" i="1"/>
  <c r="R959" i="1"/>
  <c r="R958" i="1"/>
  <c r="R957" i="1"/>
  <c r="R954" i="1"/>
  <c r="R953" i="1"/>
  <c r="R952" i="1"/>
  <c r="R951" i="1"/>
  <c r="R950" i="1"/>
  <c r="R949" i="1"/>
  <c r="R948" i="1"/>
  <c r="R947" i="1"/>
  <c r="R946" i="1"/>
  <c r="R945" i="1"/>
  <c r="R944" i="1"/>
  <c r="R943" i="1"/>
  <c r="R941" i="1"/>
  <c r="R939" i="1"/>
  <c r="R938" i="1"/>
  <c r="R937" i="1"/>
  <c r="R935" i="1"/>
  <c r="R934" i="1"/>
  <c r="R933" i="1"/>
  <c r="R932" i="1"/>
  <c r="R931" i="1"/>
  <c r="R930" i="1"/>
  <c r="R927" i="1"/>
  <c r="R926" i="1"/>
  <c r="R923" i="1"/>
  <c r="R922" i="1"/>
  <c r="R921" i="1"/>
  <c r="R919" i="1"/>
  <c r="R918" i="1"/>
  <c r="R917" i="1"/>
  <c r="R916" i="1"/>
  <c r="R915" i="1"/>
  <c r="R914" i="1"/>
  <c r="R911" i="1"/>
  <c r="R910" i="1"/>
  <c r="R909" i="1"/>
  <c r="R906" i="1"/>
  <c r="R903" i="1"/>
  <c r="R902" i="1"/>
  <c r="R898" i="1"/>
  <c r="R897" i="1"/>
  <c r="R895" i="1"/>
  <c r="R894" i="1"/>
  <c r="R890" i="1"/>
  <c r="R889" i="1"/>
  <c r="R888" i="1"/>
  <c r="R887" i="1"/>
  <c r="R886" i="1"/>
  <c r="R885" i="1"/>
  <c r="R884" i="1"/>
  <c r="R883" i="1"/>
  <c r="R880" i="1"/>
  <c r="R878" i="1"/>
  <c r="R877" i="1"/>
  <c r="R876" i="1"/>
  <c r="R875" i="1"/>
  <c r="R873" i="1"/>
  <c r="R872" i="1"/>
  <c r="R871" i="1"/>
  <c r="R870" i="1"/>
  <c r="R868" i="1"/>
  <c r="R867" i="1"/>
  <c r="R866" i="1"/>
  <c r="R865" i="1"/>
  <c r="R864" i="1"/>
  <c r="R863" i="1"/>
  <c r="R862" i="1"/>
  <c r="R861" i="1"/>
  <c r="R859" i="1"/>
  <c r="R858" i="1"/>
  <c r="R857" i="1"/>
  <c r="R854" i="1"/>
  <c r="R851" i="1"/>
  <c r="R849" i="1"/>
  <c r="R847" i="1"/>
  <c r="R846" i="1"/>
  <c r="R845" i="1"/>
  <c r="R843" i="1"/>
  <c r="R842" i="1"/>
  <c r="R841" i="1"/>
  <c r="R840" i="1"/>
  <c r="R838" i="1"/>
  <c r="R836" i="1"/>
  <c r="R834" i="1"/>
  <c r="R833" i="1"/>
  <c r="R832" i="1"/>
  <c r="R829" i="1"/>
  <c r="R828" i="1"/>
  <c r="R827" i="1"/>
  <c r="R826" i="1"/>
  <c r="R824" i="1"/>
  <c r="R823" i="1"/>
  <c r="R822" i="1"/>
  <c r="R821" i="1"/>
  <c r="R819" i="1"/>
  <c r="R818" i="1"/>
  <c r="R817" i="1"/>
  <c r="R816" i="1"/>
  <c r="R815" i="1"/>
  <c r="R814" i="1"/>
  <c r="R813" i="1"/>
  <c r="R812" i="1"/>
  <c r="R810" i="1"/>
  <c r="R808" i="1"/>
  <c r="R807" i="1"/>
  <c r="R806" i="1"/>
  <c r="R805" i="1"/>
  <c r="R802" i="1"/>
  <c r="R801" i="1"/>
  <c r="R800" i="1"/>
  <c r="R799" i="1"/>
  <c r="R797" i="1"/>
  <c r="R795" i="1"/>
  <c r="R794" i="1"/>
  <c r="R793" i="1"/>
  <c r="R792" i="1"/>
  <c r="R791" i="1"/>
  <c r="R789" i="1"/>
  <c r="R788" i="1"/>
  <c r="R787" i="1"/>
  <c r="R785" i="1"/>
  <c r="R782" i="1"/>
  <c r="R781" i="1"/>
  <c r="R780" i="1"/>
  <c r="R779" i="1"/>
  <c r="R778" i="1"/>
  <c r="R777" i="1"/>
  <c r="R776" i="1"/>
  <c r="R775" i="1"/>
  <c r="R774" i="1"/>
  <c r="R773" i="1"/>
  <c r="R772" i="1"/>
  <c r="R771" i="1"/>
  <c r="R769" i="1"/>
  <c r="R768" i="1"/>
  <c r="R767" i="1"/>
  <c r="R766" i="1"/>
  <c r="R765" i="1"/>
  <c r="R764" i="1"/>
  <c r="R763" i="1"/>
  <c r="R762" i="1"/>
  <c r="R761" i="1"/>
  <c r="R760" i="1"/>
  <c r="R759" i="1"/>
  <c r="R757" i="1"/>
  <c r="R756" i="1"/>
  <c r="R755" i="1"/>
  <c r="R754" i="1"/>
  <c r="R753" i="1"/>
  <c r="R752" i="1"/>
  <c r="R748" i="1"/>
  <c r="R746" i="1"/>
  <c r="R745" i="1"/>
  <c r="R743" i="1"/>
  <c r="R742" i="1"/>
  <c r="R741" i="1"/>
  <c r="R740" i="1"/>
  <c r="R739" i="1"/>
  <c r="R738" i="1"/>
  <c r="R737" i="1"/>
  <c r="R736" i="1"/>
  <c r="R735" i="1"/>
  <c r="R734" i="1"/>
  <c r="R733" i="1"/>
  <c r="R732" i="1"/>
  <c r="R731" i="1"/>
  <c r="R729" i="1"/>
  <c r="R728" i="1"/>
  <c r="R725" i="1"/>
  <c r="R722" i="1"/>
  <c r="R716" i="1"/>
  <c r="R713" i="1"/>
  <c r="R712" i="1"/>
  <c r="R708" i="1"/>
  <c r="R707" i="1"/>
  <c r="R706" i="1"/>
  <c r="R705" i="1"/>
  <c r="R702" i="1"/>
  <c r="R701" i="1"/>
  <c r="R700" i="1"/>
  <c r="R699" i="1"/>
  <c r="R698" i="1"/>
  <c r="R697" i="1"/>
  <c r="R696" i="1"/>
  <c r="R694" i="1"/>
  <c r="R693" i="1"/>
  <c r="R692" i="1"/>
  <c r="R690" i="1"/>
  <c r="R689" i="1"/>
  <c r="R688" i="1"/>
  <c r="R687" i="1"/>
  <c r="R685" i="1"/>
  <c r="R683" i="1"/>
  <c r="R682" i="1"/>
  <c r="R681" i="1"/>
  <c r="R679" i="1"/>
  <c r="R678" i="1"/>
  <c r="R677" i="1"/>
  <c r="R674" i="1"/>
  <c r="R673" i="1"/>
  <c r="R672" i="1"/>
  <c r="R671" i="1"/>
  <c r="R669" i="1"/>
  <c r="R667" i="1"/>
  <c r="R666" i="1"/>
  <c r="R665" i="1"/>
  <c r="R661" i="1"/>
  <c r="R660" i="1"/>
  <c r="R659" i="1"/>
  <c r="R658" i="1"/>
  <c r="R657" i="1"/>
  <c r="R656" i="1"/>
  <c r="R654" i="1"/>
  <c r="R650" i="1"/>
  <c r="R649" i="1"/>
  <c r="R648" i="1"/>
  <c r="R647" i="1"/>
  <c r="R646" i="1"/>
  <c r="R644" i="1"/>
  <c r="R643" i="1"/>
  <c r="R642" i="1"/>
  <c r="R641" i="1"/>
  <c r="R640" i="1"/>
  <c r="R639" i="1"/>
  <c r="R638" i="1"/>
  <c r="R637" i="1"/>
  <c r="R636" i="1"/>
  <c r="R632" i="1"/>
  <c r="R630" i="1"/>
  <c r="R629" i="1"/>
  <c r="R626" i="1"/>
  <c r="R625" i="1"/>
  <c r="R624" i="1"/>
  <c r="R622" i="1"/>
  <c r="R621" i="1"/>
  <c r="R620" i="1"/>
  <c r="R619" i="1"/>
  <c r="R618" i="1"/>
  <c r="R617" i="1"/>
  <c r="R616" i="1"/>
  <c r="R614" i="1"/>
  <c r="R612" i="1"/>
  <c r="R611" i="1"/>
  <c r="R610" i="1"/>
  <c r="R608" i="1"/>
  <c r="R607" i="1"/>
  <c r="R606" i="1"/>
  <c r="R604" i="1"/>
  <c r="R602" i="1"/>
  <c r="R601" i="1"/>
  <c r="R599" i="1"/>
  <c r="R598" i="1"/>
  <c r="R597" i="1"/>
  <c r="R594" i="1"/>
  <c r="R592" i="1"/>
  <c r="R590" i="1"/>
  <c r="R587" i="1"/>
  <c r="R586" i="1"/>
  <c r="R585" i="1"/>
  <c r="R583" i="1"/>
  <c r="R582" i="1"/>
  <c r="R580" i="1"/>
  <c r="R579" i="1"/>
  <c r="R578" i="1"/>
  <c r="R577" i="1"/>
  <c r="R576" i="1"/>
  <c r="R575" i="1"/>
  <c r="R574" i="1"/>
  <c r="R572" i="1"/>
  <c r="R571" i="1"/>
  <c r="R570" i="1"/>
  <c r="R569" i="1"/>
  <c r="R568" i="1"/>
  <c r="R567" i="1"/>
  <c r="R565" i="1"/>
  <c r="R564" i="1"/>
  <c r="R563" i="1"/>
  <c r="R562" i="1"/>
  <c r="R561" i="1"/>
  <c r="R560" i="1"/>
  <c r="R558" i="1"/>
  <c r="R556" i="1"/>
  <c r="R554" i="1"/>
  <c r="R553" i="1"/>
  <c r="R551" i="1"/>
  <c r="R550" i="1"/>
  <c r="R549" i="1"/>
  <c r="R548" i="1"/>
  <c r="R546" i="1"/>
  <c r="R545" i="1"/>
  <c r="R544" i="1"/>
  <c r="R543" i="1"/>
  <c r="R541" i="1"/>
  <c r="R540" i="1"/>
  <c r="R538" i="1"/>
  <c r="R537" i="1"/>
  <c r="R536" i="1"/>
  <c r="R535" i="1"/>
  <c r="R533" i="1"/>
  <c r="R531" i="1"/>
  <c r="R530" i="1"/>
  <c r="R528" i="1"/>
  <c r="R527" i="1"/>
  <c r="R526" i="1"/>
  <c r="R525" i="1"/>
  <c r="R524" i="1"/>
  <c r="R523" i="1"/>
  <c r="R521" i="1"/>
  <c r="R520" i="1"/>
  <c r="R519" i="1"/>
  <c r="R517" i="1"/>
  <c r="R514" i="1"/>
  <c r="R513" i="1"/>
  <c r="R512" i="1"/>
  <c r="R511" i="1"/>
  <c r="R510" i="1"/>
  <c r="R508" i="1"/>
  <c r="R507" i="1"/>
  <c r="R506" i="1"/>
  <c r="R505" i="1"/>
  <c r="R504" i="1"/>
  <c r="R503" i="1"/>
  <c r="R502" i="1"/>
  <c r="R501" i="1"/>
  <c r="R500" i="1"/>
  <c r="R499" i="1"/>
  <c r="R498" i="1"/>
  <c r="R497" i="1"/>
  <c r="R496" i="1"/>
  <c r="R495" i="1"/>
  <c r="R494" i="1"/>
  <c r="R492" i="1"/>
  <c r="R491" i="1"/>
  <c r="R490" i="1"/>
  <c r="R488" i="1"/>
  <c r="R486" i="1"/>
  <c r="R485" i="1"/>
  <c r="R484" i="1"/>
  <c r="R483" i="1"/>
  <c r="R480" i="1"/>
  <c r="R476" i="1"/>
  <c r="R473" i="1"/>
  <c r="R472" i="1"/>
  <c r="R470" i="1"/>
  <c r="R469" i="1"/>
  <c r="R465" i="1"/>
  <c r="R464" i="1"/>
  <c r="R463" i="1"/>
  <c r="R462" i="1"/>
  <c r="R461" i="1"/>
  <c r="R459" i="1"/>
  <c r="R457" i="1"/>
  <c r="R455" i="1"/>
  <c r="R453" i="1"/>
  <c r="R452" i="1"/>
  <c r="R451" i="1"/>
  <c r="R450" i="1"/>
  <c r="R449" i="1"/>
  <c r="R446" i="1"/>
  <c r="R443" i="1"/>
  <c r="R442" i="1"/>
  <c r="R441" i="1"/>
  <c r="R440" i="1"/>
  <c r="R439" i="1"/>
  <c r="R438" i="1"/>
  <c r="R437" i="1"/>
  <c r="R436" i="1"/>
  <c r="R435" i="1"/>
  <c r="R434" i="1"/>
  <c r="R432" i="1"/>
  <c r="R431" i="1"/>
  <c r="R430" i="1"/>
  <c r="R429" i="1"/>
  <c r="R428" i="1"/>
  <c r="R427" i="1"/>
  <c r="R424" i="1"/>
  <c r="R423" i="1"/>
  <c r="R422" i="1"/>
  <c r="R421" i="1"/>
  <c r="R420" i="1"/>
  <c r="R418" i="1"/>
  <c r="R417" i="1"/>
  <c r="R415" i="1"/>
  <c r="R413" i="1"/>
  <c r="R412" i="1"/>
  <c r="R411" i="1"/>
  <c r="R410" i="1"/>
  <c r="R409" i="1"/>
  <c r="R408" i="1"/>
  <c r="R407" i="1"/>
  <c r="R405" i="1"/>
  <c r="R404" i="1"/>
  <c r="R403" i="1"/>
  <c r="R402" i="1"/>
  <c r="R401" i="1"/>
  <c r="R400" i="1"/>
  <c r="R399" i="1"/>
  <c r="R398" i="1"/>
  <c r="R394" i="1"/>
  <c r="R393" i="1"/>
  <c r="R391" i="1"/>
  <c r="R390" i="1"/>
  <c r="R388" i="1"/>
  <c r="R387" i="1"/>
  <c r="R386" i="1"/>
  <c r="R385" i="1"/>
  <c r="R384" i="1"/>
  <c r="R383" i="1"/>
  <c r="R382" i="1"/>
  <c r="R380" i="1"/>
  <c r="R379" i="1"/>
  <c r="R377" i="1"/>
  <c r="R376" i="1"/>
  <c r="R374" i="1"/>
  <c r="R373" i="1"/>
  <c r="R372" i="1"/>
  <c r="R370" i="1"/>
  <c r="R367" i="1"/>
  <c r="R364" i="1"/>
  <c r="R363" i="1"/>
  <c r="R362" i="1"/>
  <c r="R361" i="1"/>
  <c r="R360" i="1"/>
  <c r="R359" i="1"/>
  <c r="R358" i="1"/>
  <c r="R356" i="1"/>
  <c r="R355" i="1"/>
  <c r="R354" i="1"/>
  <c r="R353" i="1"/>
  <c r="R352" i="1"/>
  <c r="R348" i="1"/>
  <c r="R347" i="1"/>
  <c r="R346" i="1"/>
  <c r="R345" i="1"/>
  <c r="R343" i="1"/>
  <c r="R340" i="1"/>
  <c r="R339" i="1"/>
  <c r="R338" i="1"/>
  <c r="R336" i="1"/>
  <c r="R334" i="1"/>
  <c r="R333" i="1"/>
  <c r="R332" i="1"/>
  <c r="R331" i="1"/>
  <c r="R330" i="1"/>
  <c r="R327" i="1"/>
  <c r="R326" i="1"/>
  <c r="R325" i="1"/>
  <c r="R324" i="1"/>
  <c r="R321" i="1"/>
  <c r="R319" i="1"/>
  <c r="R317" i="1"/>
  <c r="R316" i="1"/>
  <c r="R315" i="1"/>
  <c r="R314" i="1"/>
  <c r="R311" i="1"/>
  <c r="R310" i="1"/>
  <c r="R309" i="1"/>
  <c r="R308" i="1"/>
  <c r="R307" i="1"/>
  <c r="R305" i="1"/>
  <c r="R304" i="1"/>
  <c r="R303" i="1"/>
  <c r="R302" i="1"/>
  <c r="R301" i="1"/>
  <c r="R300" i="1"/>
  <c r="R299" i="1"/>
  <c r="R298" i="1"/>
  <c r="R297" i="1"/>
  <c r="R296" i="1"/>
  <c r="R294" i="1"/>
  <c r="R293" i="1"/>
  <c r="R292" i="1"/>
  <c r="R290" i="1"/>
  <c r="R289" i="1"/>
  <c r="R288" i="1"/>
  <c r="R285" i="1"/>
  <c r="R284" i="1"/>
  <c r="R283" i="1"/>
  <c r="R282" i="1"/>
  <c r="R281" i="1"/>
  <c r="R279" i="1"/>
  <c r="R278" i="1"/>
  <c r="R277" i="1"/>
  <c r="R276" i="1"/>
  <c r="R275" i="1"/>
  <c r="R274" i="1"/>
  <c r="R273" i="1"/>
  <c r="R272" i="1"/>
  <c r="R270" i="1"/>
  <c r="R268" i="1"/>
  <c r="R267" i="1"/>
  <c r="R266" i="1"/>
  <c r="R265" i="1"/>
  <c r="R264" i="1"/>
  <c r="R263" i="1"/>
  <c r="R262" i="1"/>
  <c r="R259" i="1"/>
  <c r="R258" i="1"/>
  <c r="R257" i="1"/>
  <c r="R256" i="1"/>
  <c r="R254" i="1"/>
  <c r="R252" i="1"/>
  <c r="R250" i="1"/>
  <c r="R246" i="1"/>
  <c r="R245" i="1"/>
  <c r="R244" i="1"/>
  <c r="R243" i="1"/>
  <c r="R240" i="1"/>
  <c r="R239" i="1"/>
  <c r="R238" i="1"/>
  <c r="R234" i="1"/>
  <c r="R233" i="1"/>
  <c r="R230" i="1"/>
  <c r="R229" i="1"/>
  <c r="R228" i="1"/>
  <c r="R226" i="1"/>
  <c r="R225" i="1"/>
  <c r="R224" i="1"/>
  <c r="R223" i="1"/>
  <c r="R220" i="1"/>
  <c r="R219" i="1"/>
  <c r="R218" i="1"/>
  <c r="R217" i="1"/>
  <c r="R216" i="1"/>
  <c r="R215" i="1"/>
  <c r="R214" i="1"/>
  <c r="R213" i="1"/>
  <c r="R211" i="1"/>
  <c r="R209" i="1"/>
  <c r="R208" i="1"/>
  <c r="R207" i="1"/>
  <c r="R205" i="1"/>
  <c r="R204" i="1"/>
  <c r="R203" i="1"/>
  <c r="R201" i="1"/>
  <c r="R200" i="1"/>
  <c r="R199" i="1"/>
  <c r="R197" i="1"/>
  <c r="R196" i="1"/>
  <c r="R195" i="1"/>
  <c r="R194" i="1"/>
  <c r="R193" i="1"/>
  <c r="R192" i="1"/>
  <c r="R190" i="1"/>
  <c r="R189" i="1"/>
  <c r="R187" i="1"/>
  <c r="R186" i="1"/>
  <c r="R185" i="1"/>
  <c r="R184" i="1"/>
  <c r="R183" i="1"/>
  <c r="R182" i="1"/>
  <c r="R181" i="1"/>
  <c r="R180" i="1"/>
  <c r="R179" i="1"/>
  <c r="R178" i="1"/>
  <c r="R177" i="1"/>
  <c r="R176" i="1"/>
  <c r="R175" i="1"/>
  <c r="R173" i="1"/>
  <c r="R172" i="1"/>
  <c r="R171" i="1"/>
  <c r="R169" i="1"/>
  <c r="R168" i="1"/>
  <c r="R167" i="1"/>
  <c r="R166" i="1"/>
  <c r="R165" i="1"/>
  <c r="R163" i="1"/>
  <c r="R162" i="1"/>
  <c r="R161" i="1"/>
  <c r="R160" i="1"/>
  <c r="R159" i="1"/>
  <c r="R156" i="1"/>
  <c r="R155" i="1"/>
  <c r="R153" i="1"/>
  <c r="R150" i="1"/>
  <c r="R149" i="1"/>
  <c r="R148" i="1"/>
  <c r="R147" i="1"/>
  <c r="R145" i="1"/>
  <c r="R144" i="1"/>
  <c r="R143" i="1"/>
  <c r="R142" i="1"/>
  <c r="R141" i="1"/>
  <c r="R138" i="1"/>
  <c r="R137" i="1"/>
  <c r="R136" i="1"/>
  <c r="R135" i="1"/>
  <c r="R134" i="1"/>
  <c r="R133" i="1"/>
  <c r="R131" i="1"/>
  <c r="R130" i="1"/>
  <c r="R129" i="1"/>
  <c r="R128" i="1"/>
  <c r="R127" i="1"/>
  <c r="R126" i="1"/>
  <c r="R124" i="1"/>
  <c r="R121" i="1"/>
  <c r="R119" i="1"/>
  <c r="R118" i="1"/>
  <c r="R117" i="1"/>
  <c r="R114" i="1"/>
  <c r="R112" i="1"/>
  <c r="R110" i="1"/>
  <c r="R109" i="1"/>
  <c r="R107" i="1"/>
  <c r="R106" i="1"/>
  <c r="R105" i="1"/>
  <c r="R104" i="1"/>
  <c r="R102" i="1"/>
  <c r="R101" i="1"/>
  <c r="R100" i="1"/>
  <c r="R98" i="1"/>
  <c r="R97" i="1"/>
  <c r="R96" i="1"/>
  <c r="R95" i="1"/>
  <c r="R94" i="1"/>
  <c r="R93" i="1"/>
  <c r="R92" i="1"/>
  <c r="R91" i="1"/>
  <c r="R89" i="1"/>
  <c r="R87" i="1"/>
  <c r="R85" i="1"/>
  <c r="R84" i="1"/>
  <c r="R82" i="1"/>
  <c r="R80" i="1"/>
  <c r="R77" i="1"/>
  <c r="R74" i="1"/>
  <c r="R72" i="1"/>
  <c r="R71" i="1"/>
  <c r="R68" i="1"/>
  <c r="R66" i="1"/>
  <c r="R65" i="1"/>
  <c r="R64" i="1"/>
  <c r="R61" i="1"/>
  <c r="R60" i="1"/>
  <c r="R59" i="1"/>
  <c r="R58" i="1"/>
  <c r="R57" i="1"/>
  <c r="R56" i="1"/>
  <c r="R55" i="1"/>
  <c r="R54" i="1"/>
  <c r="R52" i="1"/>
  <c r="R51" i="1"/>
  <c r="R49" i="1"/>
  <c r="R48" i="1"/>
  <c r="R47" i="1"/>
  <c r="R46" i="1"/>
  <c r="R45" i="1"/>
  <c r="R43" i="1"/>
  <c r="R41" i="1"/>
  <c r="R39" i="1"/>
  <c r="R38" i="1"/>
  <c r="R36" i="1"/>
  <c r="R34" i="1"/>
  <c r="R33" i="1"/>
  <c r="R30" i="1"/>
  <c r="R29" i="1"/>
  <c r="R28" i="1"/>
  <c r="R27" i="1"/>
  <c r="R25" i="1"/>
  <c r="R23" i="1"/>
  <c r="R22" i="1"/>
  <c r="R21" i="1"/>
  <c r="R20" i="1"/>
  <c r="R19" i="1"/>
  <c r="R18" i="1"/>
  <c r="R17" i="1"/>
  <c r="R16" i="1"/>
  <c r="R15" i="1"/>
  <c r="R14" i="1"/>
  <c r="R13" i="1"/>
  <c r="R12" i="1"/>
  <c r="R10" i="1"/>
  <c r="R9" i="1"/>
  <c r="R8" i="1"/>
  <c r="R6" i="1"/>
  <c r="R5" i="1"/>
  <c r="R4" i="1"/>
  <c r="R3" i="1"/>
  <c r="M1000" i="1"/>
  <c r="M999" i="1"/>
  <c r="M997" i="1"/>
  <c r="M996" i="1"/>
  <c r="M995" i="1"/>
  <c r="M992" i="1"/>
  <c r="M991" i="1"/>
  <c r="M988" i="1"/>
  <c r="M987" i="1"/>
  <c r="M986" i="1"/>
  <c r="M983" i="1"/>
  <c r="M981" i="1"/>
  <c r="M979" i="1"/>
  <c r="M978" i="1"/>
  <c r="M977" i="1"/>
  <c r="M975" i="1"/>
  <c r="M970" i="1"/>
  <c r="M969" i="1"/>
  <c r="M968" i="1"/>
  <c r="M966" i="1"/>
  <c r="M964" i="1"/>
  <c r="M961" i="1"/>
  <c r="M960" i="1"/>
  <c r="M955" i="1"/>
  <c r="M953" i="1"/>
  <c r="M952" i="1"/>
  <c r="M949" i="1"/>
  <c r="M948" i="1"/>
  <c r="M945" i="1"/>
  <c r="M944" i="1"/>
  <c r="M943" i="1"/>
  <c r="M941" i="1"/>
  <c r="M938" i="1"/>
  <c r="M935" i="1"/>
  <c r="M934" i="1"/>
  <c r="M932" i="1"/>
  <c r="M931" i="1"/>
  <c r="M926" i="1"/>
  <c r="M925" i="1"/>
  <c r="M924" i="1"/>
  <c r="M922" i="1"/>
  <c r="M921" i="1"/>
  <c r="M920" i="1"/>
  <c r="M919" i="1"/>
  <c r="M918" i="1"/>
  <c r="M913" i="1"/>
  <c r="M911" i="1"/>
  <c r="M906" i="1"/>
  <c r="M903" i="1"/>
  <c r="M902" i="1"/>
  <c r="M901" i="1"/>
  <c r="M900" i="1"/>
  <c r="M898" i="1"/>
  <c r="M896" i="1"/>
  <c r="M895" i="1"/>
  <c r="M894" i="1"/>
  <c r="M890" i="1"/>
  <c r="M885" i="1"/>
  <c r="M882" i="1"/>
  <c r="M881" i="1"/>
  <c r="M880" i="1"/>
  <c r="M879" i="1"/>
  <c r="M878" i="1"/>
  <c r="M875" i="1"/>
  <c r="M871" i="1"/>
  <c r="M869" i="1"/>
  <c r="M866" i="1"/>
  <c r="M865" i="1"/>
  <c r="M864" i="1"/>
  <c r="M863" i="1"/>
  <c r="M862" i="1"/>
  <c r="M852" i="1"/>
  <c r="M851" i="1"/>
  <c r="M849" i="1"/>
  <c r="M848" i="1"/>
  <c r="M845" i="1"/>
  <c r="M841" i="1"/>
  <c r="M836" i="1"/>
  <c r="M835" i="1"/>
  <c r="M833" i="1"/>
  <c r="M832" i="1"/>
  <c r="M831" i="1"/>
  <c r="M829" i="1"/>
  <c r="M828" i="1"/>
  <c r="M825" i="1"/>
  <c r="M824" i="1"/>
  <c r="M822" i="1"/>
  <c r="M821" i="1"/>
  <c r="M819" i="1"/>
  <c r="M817" i="1"/>
  <c r="M815" i="1"/>
  <c r="M813" i="1"/>
  <c r="M812" i="1"/>
  <c r="M811" i="1"/>
  <c r="M809" i="1"/>
  <c r="M806" i="1"/>
  <c r="M805" i="1"/>
  <c r="M802" i="1"/>
  <c r="M801" i="1"/>
  <c r="M800" i="1"/>
  <c r="M797" i="1"/>
  <c r="M792" i="1"/>
  <c r="M790" i="1"/>
  <c r="M789" i="1"/>
  <c r="M786" i="1"/>
  <c r="M783" i="1"/>
  <c r="M782" i="1"/>
  <c r="M781" i="1"/>
  <c r="M779" i="1"/>
  <c r="M778" i="1"/>
  <c r="M777" i="1"/>
  <c r="M775" i="1"/>
  <c r="M774" i="1"/>
  <c r="M771" i="1"/>
  <c r="M770" i="1"/>
  <c r="M766" i="1"/>
  <c r="M765" i="1"/>
  <c r="M763" i="1"/>
  <c r="M762" i="1"/>
  <c r="M760" i="1"/>
  <c r="M758" i="1"/>
  <c r="M755" i="1"/>
  <c r="M754" i="1"/>
  <c r="M753" i="1"/>
  <c r="M750" i="1"/>
  <c r="M747" i="1"/>
  <c r="M742" i="1"/>
  <c r="M738" i="1"/>
  <c r="M737" i="1"/>
  <c r="M735" i="1"/>
  <c r="M734" i="1"/>
  <c r="M733" i="1"/>
  <c r="M731" i="1"/>
  <c r="M729" i="1"/>
  <c r="M727" i="1"/>
  <c r="M724" i="1"/>
  <c r="M722" i="1"/>
  <c r="M721" i="1"/>
  <c r="M719" i="1"/>
  <c r="M718" i="1"/>
  <c r="M717" i="1"/>
  <c r="M716" i="1"/>
  <c r="M714" i="1"/>
  <c r="M713" i="1"/>
  <c r="M712" i="1"/>
  <c r="M711" i="1"/>
  <c r="M707" i="1"/>
  <c r="M705" i="1"/>
  <c r="M704" i="1"/>
  <c r="M703" i="1"/>
  <c r="M702" i="1"/>
  <c r="M700" i="1"/>
  <c r="M698" i="1"/>
  <c r="M695" i="1"/>
  <c r="M694" i="1"/>
  <c r="M691" i="1"/>
  <c r="M683" i="1"/>
  <c r="M682" i="1"/>
  <c r="M679" i="1"/>
  <c r="M677" i="1"/>
  <c r="M675" i="1"/>
  <c r="M670" i="1"/>
  <c r="M668" i="1"/>
  <c r="M665" i="1"/>
  <c r="M663" i="1"/>
  <c r="M662" i="1"/>
  <c r="M661" i="1"/>
  <c r="M660" i="1"/>
  <c r="M658" i="1"/>
  <c r="M657" i="1"/>
  <c r="M656" i="1"/>
  <c r="M654" i="1"/>
  <c r="M652" i="1"/>
  <c r="M648" i="1"/>
  <c r="M644" i="1"/>
  <c r="M642" i="1"/>
  <c r="M637" i="1"/>
  <c r="M636" i="1"/>
  <c r="M634" i="1"/>
  <c r="M627" i="1"/>
  <c r="M623" i="1"/>
  <c r="M620" i="1"/>
  <c r="M618" i="1"/>
  <c r="M614" i="1"/>
  <c r="M612" i="1"/>
  <c r="M611" i="1"/>
  <c r="M607" i="1"/>
  <c r="M606" i="1"/>
  <c r="M604" i="1"/>
  <c r="M602" i="1"/>
  <c r="M599" i="1"/>
  <c r="M597" i="1"/>
  <c r="M596" i="1"/>
  <c r="M594" i="1"/>
  <c r="M589" i="1"/>
  <c r="M585" i="1"/>
  <c r="M582" i="1"/>
  <c r="M577" i="1"/>
  <c r="M574" i="1"/>
  <c r="M573" i="1"/>
  <c r="M571" i="1"/>
  <c r="M570" i="1"/>
  <c r="M569" i="1"/>
  <c r="M565" i="1"/>
  <c r="M564" i="1"/>
  <c r="M563" i="1"/>
  <c r="M562" i="1"/>
  <c r="M560" i="1"/>
  <c r="M557" i="1"/>
  <c r="M556" i="1"/>
  <c r="M555" i="1"/>
  <c r="M552" i="1"/>
  <c r="M550" i="1"/>
  <c r="M549" i="1"/>
  <c r="M548" i="1"/>
  <c r="M547" i="1"/>
  <c r="M546" i="1"/>
  <c r="M545" i="1"/>
  <c r="M539" i="1"/>
  <c r="M535" i="1"/>
  <c r="M530" i="1"/>
  <c r="M526" i="1"/>
  <c r="M525" i="1"/>
  <c r="M524" i="1"/>
  <c r="M515" i="1"/>
  <c r="M514" i="1"/>
  <c r="M513" i="1"/>
  <c r="M510" i="1"/>
  <c r="M508" i="1"/>
  <c r="M507" i="1"/>
  <c r="M505" i="1"/>
  <c r="M499" i="1"/>
  <c r="M495" i="1"/>
  <c r="M494" i="1"/>
  <c r="M492" i="1"/>
  <c r="M489" i="1"/>
  <c r="M487" i="1"/>
  <c r="M485" i="1"/>
  <c r="M483" i="1"/>
  <c r="M482" i="1"/>
  <c r="M481" i="1"/>
  <c r="M480" i="1"/>
  <c r="M478" i="1"/>
  <c r="M475" i="1"/>
  <c r="M473" i="1"/>
  <c r="M472" i="1"/>
  <c r="M471" i="1"/>
  <c r="M469" i="1"/>
  <c r="M468" i="1"/>
  <c r="M465" i="1"/>
  <c r="M463" i="1"/>
  <c r="M461" i="1"/>
  <c r="M460" i="1"/>
  <c r="M455" i="1"/>
  <c r="M454" i="1"/>
  <c r="M453" i="1"/>
  <c r="M451" i="1"/>
  <c r="M450" i="1"/>
  <c r="M449" i="1"/>
  <c r="M442" i="1"/>
  <c r="M439" i="1"/>
  <c r="M438" i="1"/>
  <c r="M437" i="1"/>
  <c r="M428" i="1"/>
  <c r="M427" i="1"/>
  <c r="M426" i="1"/>
  <c r="M425" i="1"/>
  <c r="M422" i="1"/>
  <c r="M421" i="1"/>
  <c r="M419" i="1"/>
  <c r="M416" i="1"/>
  <c r="M415" i="1"/>
  <c r="M411" i="1"/>
  <c r="M406" i="1"/>
  <c r="M405" i="1"/>
  <c r="M403" i="1"/>
  <c r="M402" i="1"/>
  <c r="M398" i="1"/>
  <c r="M395" i="1"/>
  <c r="M394" i="1"/>
  <c r="M392" i="1"/>
  <c r="M391" i="1"/>
  <c r="M390" i="1"/>
  <c r="M389" i="1"/>
  <c r="M387" i="1"/>
  <c r="M386" i="1"/>
  <c r="M383" i="1"/>
  <c r="M381" i="1"/>
  <c r="M380" i="1"/>
  <c r="M375" i="1"/>
  <c r="M367" i="1"/>
  <c r="M365" i="1"/>
  <c r="M361" i="1"/>
  <c r="M360" i="1"/>
  <c r="M357" i="1"/>
  <c r="M355" i="1"/>
  <c r="M352" i="1"/>
  <c r="M351" i="1"/>
  <c r="M350" i="1"/>
  <c r="M348" i="1"/>
  <c r="M345" i="1"/>
  <c r="M343" i="1"/>
  <c r="M340" i="1"/>
  <c r="M339" i="1"/>
  <c r="M338" i="1"/>
  <c r="M337" i="1"/>
  <c r="M333" i="1"/>
  <c r="M329" i="1"/>
  <c r="M328" i="1"/>
  <c r="M327" i="1"/>
  <c r="M326" i="1"/>
  <c r="M325" i="1"/>
  <c r="M320" i="1"/>
  <c r="M319" i="1"/>
  <c r="M314" i="1"/>
  <c r="M313" i="1"/>
  <c r="M312" i="1"/>
  <c r="M309" i="1"/>
  <c r="M307" i="1"/>
  <c r="M306" i="1"/>
  <c r="M304" i="1"/>
  <c r="M303" i="1"/>
  <c r="M301" i="1"/>
  <c r="M300" i="1"/>
  <c r="M299" i="1"/>
  <c r="M298" i="1"/>
  <c r="M296" i="1"/>
  <c r="M294" i="1"/>
  <c r="M293" i="1"/>
  <c r="M291" i="1"/>
  <c r="M290" i="1"/>
  <c r="M289" i="1"/>
  <c r="M288" i="1"/>
  <c r="M287" i="1"/>
  <c r="M286" i="1"/>
  <c r="M285" i="1"/>
  <c r="M283" i="1"/>
  <c r="M278" i="1"/>
  <c r="M276" i="1"/>
  <c r="M274" i="1"/>
  <c r="M270" i="1"/>
  <c r="M269" i="1"/>
  <c r="M267" i="1"/>
  <c r="M265" i="1"/>
  <c r="M263" i="1"/>
  <c r="M262" i="1"/>
  <c r="M261" i="1"/>
  <c r="M259" i="1"/>
  <c r="M256" i="1"/>
  <c r="M255" i="1"/>
  <c r="M254" i="1"/>
  <c r="M253" i="1"/>
  <c r="M251" i="1"/>
  <c r="M250" i="1"/>
  <c r="M248" i="1"/>
  <c r="M247" i="1"/>
  <c r="M246" i="1"/>
  <c r="M244" i="1"/>
  <c r="M243" i="1"/>
  <c r="M239" i="1"/>
  <c r="M238" i="1"/>
  <c r="M237" i="1"/>
  <c r="M236" i="1"/>
  <c r="M234" i="1"/>
  <c r="M231" i="1"/>
  <c r="M230" i="1"/>
  <c r="M226" i="1"/>
  <c r="M225" i="1"/>
  <c r="M223" i="1"/>
  <c r="M222" i="1"/>
  <c r="M216" i="1"/>
  <c r="M211" i="1"/>
  <c r="M209" i="1"/>
  <c r="M208" i="1"/>
  <c r="M207" i="1"/>
  <c r="M205" i="1"/>
  <c r="M203" i="1"/>
  <c r="M202" i="1"/>
  <c r="M201" i="1"/>
  <c r="M199" i="1"/>
  <c r="M193" i="1"/>
  <c r="M192" i="1"/>
  <c r="M189" i="1"/>
  <c r="M187" i="1"/>
  <c r="M186" i="1"/>
  <c r="M184" i="1"/>
  <c r="M182" i="1"/>
  <c r="M178" i="1"/>
  <c r="M177" i="1"/>
  <c r="M176" i="1"/>
  <c r="M173" i="1"/>
  <c r="M172" i="1"/>
  <c r="M171" i="1"/>
  <c r="M170" i="1"/>
  <c r="M169" i="1"/>
  <c r="M168" i="1"/>
  <c r="M166" i="1"/>
  <c r="M162" i="1"/>
  <c r="M161" i="1"/>
  <c r="M159" i="1"/>
  <c r="M157" i="1"/>
  <c r="M154" i="1"/>
  <c r="M153" i="1"/>
  <c r="M150" i="1"/>
  <c r="M149" i="1"/>
  <c r="M144" i="1"/>
  <c r="M142" i="1"/>
  <c r="M141" i="1"/>
  <c r="M140" i="1"/>
  <c r="M137" i="1"/>
  <c r="M134" i="1"/>
  <c r="M133" i="1"/>
  <c r="M131" i="1"/>
  <c r="M130" i="1"/>
  <c r="M129" i="1"/>
  <c r="M122" i="1"/>
  <c r="M121" i="1"/>
  <c r="M120" i="1"/>
  <c r="M112" i="1"/>
  <c r="M110" i="1"/>
  <c r="M109" i="1"/>
  <c r="M104" i="1"/>
  <c r="M101" i="1"/>
  <c r="M99" i="1"/>
  <c r="M98" i="1"/>
  <c r="M97" i="1"/>
  <c r="M96" i="1"/>
  <c r="M93" i="1"/>
  <c r="M90" i="1"/>
  <c r="M89" i="1"/>
  <c r="M87" i="1"/>
  <c r="M84" i="1"/>
  <c r="M82" i="1"/>
  <c r="M77" i="1"/>
  <c r="M70" i="1"/>
  <c r="M67" i="1"/>
  <c r="M63" i="1"/>
  <c r="M61" i="1"/>
  <c r="M60" i="1"/>
  <c r="M58" i="1"/>
  <c r="M56" i="1"/>
  <c r="M55" i="1"/>
  <c r="M54" i="1"/>
  <c r="M53" i="1"/>
  <c r="M52" i="1"/>
  <c r="M51" i="1"/>
  <c r="M50" i="1"/>
  <c r="M49" i="1"/>
  <c r="M46" i="1"/>
  <c r="M45" i="1"/>
  <c r="M43" i="1"/>
  <c r="M40" i="1"/>
  <c r="M39" i="1"/>
  <c r="M38" i="1"/>
  <c r="M36" i="1"/>
  <c r="M35" i="1"/>
  <c r="M34" i="1"/>
  <c r="M30" i="1"/>
  <c r="M26" i="1"/>
  <c r="M22" i="1"/>
  <c r="M16" i="1"/>
  <c r="M12" i="1"/>
  <c r="M6" i="1"/>
  <c r="M4" i="1"/>
  <c r="M2" i="1"/>
  <c r="M998" i="1"/>
  <c r="M993" i="1"/>
  <c r="M989" i="1"/>
  <c r="M974" i="1"/>
  <c r="M972" i="1"/>
  <c r="M962" i="1"/>
  <c r="M958" i="1"/>
  <c r="M957" i="1"/>
  <c r="M950" i="1"/>
  <c r="M946" i="1"/>
  <c r="M940" i="1"/>
  <c r="M937" i="1"/>
  <c r="M933" i="1"/>
  <c r="M928" i="1"/>
  <c r="M917" i="1"/>
  <c r="M916" i="1"/>
  <c r="M915" i="1"/>
  <c r="M909" i="1"/>
  <c r="M905" i="1"/>
  <c r="M904" i="1"/>
  <c r="M893" i="1"/>
  <c r="M892" i="1"/>
  <c r="M884" i="1"/>
  <c r="M883" i="1"/>
  <c r="M876" i="1"/>
  <c r="M868" i="1"/>
  <c r="M859" i="1"/>
  <c r="M858" i="1"/>
  <c r="M856" i="1"/>
  <c r="M850" i="1"/>
  <c r="M847" i="1"/>
  <c r="M844" i="1"/>
  <c r="M843" i="1"/>
  <c r="M840" i="1"/>
  <c r="M838" i="1"/>
  <c r="M837" i="1"/>
  <c r="M826" i="1"/>
  <c r="M820" i="1"/>
  <c r="M818" i="1"/>
  <c r="M807" i="1"/>
  <c r="M804" i="1"/>
  <c r="M803" i="1"/>
  <c r="M796" i="1"/>
  <c r="M785" i="1"/>
  <c r="M780" i="1"/>
  <c r="M776" i="1"/>
  <c r="M773" i="1"/>
  <c r="M772" i="1"/>
  <c r="M769" i="1"/>
  <c r="M768" i="1"/>
  <c r="M761" i="1"/>
  <c r="M759" i="1"/>
  <c r="M757" i="1"/>
  <c r="M752" i="1"/>
  <c r="M751" i="1"/>
  <c r="M749" i="1"/>
  <c r="M746" i="1"/>
  <c r="M745" i="1"/>
  <c r="M744" i="1"/>
  <c r="M739" i="1"/>
  <c r="M736" i="1"/>
  <c r="M732" i="1"/>
  <c r="M728" i="1"/>
  <c r="M725" i="1"/>
  <c r="M723" i="1"/>
  <c r="M709" i="1"/>
  <c r="M706" i="1"/>
  <c r="M701" i="1"/>
  <c r="M697" i="1"/>
  <c r="M693" i="1"/>
  <c r="M692" i="1"/>
  <c r="M689" i="1"/>
  <c r="M688" i="1"/>
  <c r="M687" i="1"/>
  <c r="M685" i="1"/>
  <c r="M684" i="1"/>
  <c r="M671" i="1"/>
  <c r="M667" i="1"/>
  <c r="M664" i="1"/>
  <c r="M659" i="1"/>
  <c r="M653" i="1"/>
  <c r="M645" i="1"/>
  <c r="M643" i="1"/>
  <c r="M640" i="1"/>
  <c r="M630" i="1"/>
  <c r="M629" i="1"/>
  <c r="M626" i="1"/>
  <c r="M625" i="1"/>
  <c r="M619" i="1"/>
  <c r="M617" i="1"/>
  <c r="M616" i="1"/>
  <c r="M613" i="1"/>
  <c r="M610" i="1"/>
  <c r="M603" i="1"/>
  <c r="M598" i="1"/>
  <c r="M595" i="1"/>
  <c r="M592" i="1"/>
  <c r="M591" i="1"/>
  <c r="M587" i="1"/>
  <c r="M586" i="1"/>
  <c r="M584" i="1"/>
  <c r="M583" i="1"/>
  <c r="M579" i="1"/>
  <c r="M578" i="1"/>
  <c r="M561" i="1"/>
  <c r="M558" i="1"/>
  <c r="M551" i="1"/>
  <c r="M543" i="1"/>
  <c r="M541" i="1"/>
  <c r="M533" i="1"/>
  <c r="M528" i="1"/>
  <c r="M523" i="1"/>
  <c r="M521" i="1"/>
  <c r="M520" i="1"/>
  <c r="M518" i="1"/>
  <c r="M516" i="1"/>
  <c r="M511" i="1"/>
  <c r="M509" i="1"/>
  <c r="M506" i="1"/>
  <c r="M504" i="1"/>
  <c r="M502" i="1"/>
  <c r="M500" i="1"/>
  <c r="M490" i="1"/>
  <c r="M479" i="1"/>
  <c r="M470" i="1"/>
  <c r="M467" i="1"/>
  <c r="M448" i="1"/>
  <c r="M443" i="1"/>
  <c r="M441" i="1"/>
  <c r="M436" i="1"/>
  <c r="M435" i="1"/>
  <c r="M433" i="1"/>
  <c r="M420" i="1"/>
  <c r="M410" i="1"/>
  <c r="M409" i="1"/>
  <c r="M401" i="1"/>
  <c r="M385" i="1"/>
  <c r="M379" i="1"/>
  <c r="M373" i="1"/>
  <c r="M372" i="1"/>
  <c r="M368" i="1"/>
  <c r="M363" i="1"/>
  <c r="M362" i="1"/>
  <c r="M356" i="1"/>
  <c r="M349" i="1"/>
  <c r="M347" i="1"/>
  <c r="M344" i="1"/>
  <c r="M342" i="1"/>
  <c r="M341" i="1"/>
  <c r="M336" i="1"/>
  <c r="M335" i="1"/>
  <c r="M331" i="1"/>
  <c r="M321" i="1"/>
  <c r="M317" i="1"/>
  <c r="M316" i="1"/>
  <c r="M311" i="1"/>
  <c r="M310" i="1"/>
  <c r="M305" i="1"/>
  <c r="M284" i="1"/>
  <c r="M281" i="1"/>
  <c r="M277" i="1"/>
  <c r="M275" i="1"/>
  <c r="M273" i="1"/>
  <c r="M260" i="1"/>
  <c r="M252" i="1"/>
  <c r="M241" i="1"/>
  <c r="M240" i="1"/>
  <c r="M228" i="1"/>
  <c r="M224" i="1"/>
  <c r="M219" i="1"/>
  <c r="M212" i="1"/>
  <c r="M204" i="1"/>
  <c r="M196" i="1"/>
  <c r="M190" i="1"/>
  <c r="M180" i="1"/>
  <c r="M175" i="1"/>
  <c r="M174" i="1"/>
  <c r="M167" i="1"/>
  <c r="M165" i="1"/>
  <c r="M164" i="1"/>
  <c r="M152" i="1"/>
  <c r="M146" i="1"/>
  <c r="M143" i="1"/>
  <c r="M139" i="1"/>
  <c r="M138" i="1"/>
  <c r="M132" i="1"/>
  <c r="M124" i="1"/>
  <c r="M119" i="1"/>
  <c r="M118" i="1"/>
  <c r="M116" i="1"/>
  <c r="M114" i="1"/>
  <c r="M113" i="1"/>
  <c r="M95" i="1"/>
  <c r="M94" i="1"/>
  <c r="M92" i="1"/>
  <c r="M83" i="1"/>
  <c r="M79" i="1"/>
  <c r="M78" i="1"/>
  <c r="M73" i="1"/>
  <c r="M68" i="1"/>
  <c r="M65" i="1"/>
  <c r="M59" i="1"/>
  <c r="M48" i="1"/>
  <c r="M42" i="1"/>
  <c r="M33" i="1"/>
  <c r="M31" i="1"/>
  <c r="M27" i="1"/>
  <c r="M24" i="1"/>
  <c r="M21" i="1"/>
  <c r="M20" i="1"/>
  <c r="M15" i="1"/>
  <c r="M9" i="1"/>
  <c r="M8" i="1"/>
  <c r="M3" i="1"/>
  <c r="M1001" i="1"/>
  <c r="M994" i="1"/>
  <c r="M990" i="1"/>
  <c r="M985" i="1"/>
  <c r="M984" i="1"/>
  <c r="M982" i="1"/>
  <c r="M980" i="1"/>
  <c r="M973" i="1"/>
  <c r="M967" i="1"/>
  <c r="M965" i="1"/>
  <c r="M963" i="1"/>
  <c r="M959" i="1"/>
  <c r="M956" i="1"/>
  <c r="M954" i="1"/>
  <c r="M951" i="1"/>
  <c r="M942" i="1"/>
  <c r="M930" i="1"/>
  <c r="M929" i="1"/>
  <c r="M923" i="1"/>
  <c r="M914" i="1"/>
  <c r="M912" i="1"/>
  <c r="M910" i="1"/>
  <c r="M908" i="1"/>
  <c r="M899" i="1"/>
  <c r="M897" i="1"/>
  <c r="M891" i="1"/>
  <c r="M889" i="1"/>
  <c r="M887" i="1"/>
  <c r="M886" i="1"/>
  <c r="M874" i="1"/>
  <c r="M873" i="1"/>
  <c r="M872" i="1"/>
  <c r="M870" i="1"/>
  <c r="M867" i="1"/>
  <c r="M861" i="1"/>
  <c r="M855" i="1"/>
  <c r="M854" i="1"/>
  <c r="M853" i="1"/>
  <c r="M846" i="1"/>
  <c r="M839" i="1"/>
  <c r="M834" i="1"/>
  <c r="M830" i="1"/>
  <c r="M827" i="1"/>
  <c r="M823" i="1"/>
  <c r="M816" i="1"/>
  <c r="M814" i="1"/>
  <c r="M810" i="1"/>
  <c r="M808" i="1"/>
  <c r="M795" i="1"/>
  <c r="M788" i="1"/>
  <c r="M784" i="1"/>
  <c r="M767" i="1"/>
  <c r="M748" i="1"/>
  <c r="M743" i="1"/>
  <c r="M730" i="1"/>
  <c r="M726" i="1"/>
  <c r="M720" i="1"/>
  <c r="M715" i="1"/>
  <c r="M710" i="1"/>
  <c r="M708" i="1"/>
  <c r="M686" i="1"/>
  <c r="M681" i="1"/>
  <c r="M678" i="1"/>
  <c r="M676" i="1"/>
  <c r="M673" i="1"/>
  <c r="M666" i="1"/>
  <c r="M655" i="1"/>
  <c r="M651" i="1"/>
  <c r="M649" i="1"/>
  <c r="M647" i="1"/>
  <c r="M646" i="1"/>
  <c r="M641" i="1"/>
  <c r="M639" i="1"/>
  <c r="M638" i="1"/>
  <c r="M633" i="1"/>
  <c r="M632" i="1"/>
  <c r="M631" i="1"/>
  <c r="M628" i="1"/>
  <c r="M622" i="1"/>
  <c r="M621" i="1"/>
  <c r="M609" i="1"/>
  <c r="M605" i="1"/>
  <c r="M600" i="1"/>
  <c r="M593" i="1"/>
  <c r="M590" i="1"/>
  <c r="M588" i="1"/>
  <c r="M581" i="1"/>
  <c r="M580" i="1"/>
  <c r="M575" i="1"/>
  <c r="M566" i="1"/>
  <c r="M554" i="1"/>
  <c r="M544" i="1"/>
  <c r="M542" i="1"/>
  <c r="M540" i="1"/>
  <c r="M538" i="1"/>
  <c r="M532" i="1"/>
  <c r="M529" i="1"/>
  <c r="M522" i="1"/>
  <c r="M519" i="1"/>
  <c r="M517" i="1"/>
  <c r="M512" i="1"/>
  <c r="M503" i="1"/>
  <c r="M501" i="1"/>
  <c r="M497" i="1"/>
  <c r="M496" i="1"/>
  <c r="M491" i="1"/>
  <c r="M488" i="1"/>
  <c r="M486" i="1"/>
  <c r="M484" i="1"/>
  <c r="M477" i="1"/>
  <c r="M476" i="1"/>
  <c r="M474" i="1"/>
  <c r="M466" i="1"/>
  <c r="M464" i="1"/>
  <c r="M459" i="1"/>
  <c r="M458" i="1"/>
  <c r="M457" i="1"/>
  <c r="M456" i="1"/>
  <c r="M452" i="1"/>
  <c r="M447" i="1"/>
  <c r="M446" i="1"/>
  <c r="M445" i="1"/>
  <c r="M440" i="1"/>
  <c r="M434" i="1"/>
  <c r="M430" i="1"/>
  <c r="M424" i="1"/>
  <c r="M418" i="1"/>
  <c r="M417" i="1"/>
  <c r="M414" i="1"/>
  <c r="M413" i="1"/>
  <c r="M412" i="1"/>
  <c r="M408" i="1"/>
  <c r="M407" i="1"/>
  <c r="M404" i="1"/>
  <c r="M399" i="1"/>
  <c r="M397" i="1"/>
  <c r="M393" i="1"/>
  <c r="M388" i="1"/>
  <c r="M384" i="1"/>
  <c r="M377" i="1"/>
  <c r="M376" i="1"/>
  <c r="M374" i="1"/>
  <c r="M371" i="1"/>
  <c r="M370" i="1"/>
  <c r="M366" i="1"/>
  <c r="M364" i="1"/>
  <c r="M358" i="1"/>
  <c r="M354" i="1"/>
  <c r="M353" i="1"/>
  <c r="M332" i="1"/>
  <c r="M330" i="1"/>
  <c r="M323" i="1"/>
  <c r="M322" i="1"/>
  <c r="M318" i="1"/>
  <c r="M315" i="1"/>
  <c r="M308" i="1"/>
  <c r="M302" i="1"/>
  <c r="M295" i="1"/>
  <c r="M282" i="1"/>
  <c r="M279" i="1"/>
  <c r="M271" i="1"/>
  <c r="M268" i="1"/>
  <c r="M266" i="1"/>
  <c r="M258" i="1"/>
  <c r="M257" i="1"/>
  <c r="M233" i="1"/>
  <c r="M229" i="1"/>
  <c r="M227" i="1"/>
  <c r="M221" i="1"/>
  <c r="M218" i="1"/>
  <c r="M217" i="1"/>
  <c r="M215" i="1"/>
  <c r="M214" i="1"/>
  <c r="M213" i="1"/>
  <c r="M210" i="1"/>
  <c r="M206" i="1"/>
  <c r="M200" i="1"/>
  <c r="M198" i="1"/>
  <c r="M197" i="1"/>
  <c r="M195" i="1"/>
  <c r="M194" i="1"/>
  <c r="M188" i="1"/>
  <c r="M183" i="1"/>
  <c r="M181" i="1"/>
  <c r="M179" i="1"/>
  <c r="M163" i="1"/>
  <c r="M160" i="1"/>
  <c r="M158" i="1"/>
  <c r="M156" i="1"/>
  <c r="M155" i="1"/>
  <c r="M151" i="1"/>
  <c r="M147" i="1"/>
  <c r="M145" i="1"/>
  <c r="M136" i="1"/>
  <c r="M128" i="1"/>
  <c r="M125" i="1"/>
  <c r="M123" i="1"/>
  <c r="M117" i="1"/>
  <c r="M115" i="1"/>
  <c r="M111" i="1"/>
  <c r="M107" i="1"/>
  <c r="M106" i="1"/>
  <c r="M105" i="1"/>
  <c r="M103" i="1"/>
  <c r="M100" i="1"/>
  <c r="M91" i="1"/>
  <c r="M88" i="1"/>
  <c r="M86" i="1"/>
  <c r="M85" i="1"/>
  <c r="M81" i="1"/>
  <c r="M76" i="1"/>
  <c r="M74" i="1"/>
  <c r="M71" i="1"/>
  <c r="M69" i="1"/>
  <c r="M64" i="1"/>
  <c r="M62" i="1"/>
  <c r="M47" i="1"/>
  <c r="M44" i="1"/>
  <c r="M41" i="1"/>
  <c r="M37" i="1"/>
  <c r="M28" i="1"/>
  <c r="M25" i="1"/>
  <c r="M18" i="1"/>
  <c r="M17" i="1"/>
  <c r="M11" i="1"/>
  <c r="M7" i="1"/>
  <c r="M5" i="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K2" i="1" a="1"/>
  <c r="K2" i="1" s="1"/>
  <c r="E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0" i="1"/>
  <c r="E879"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2" i="1"/>
  <c r="E461" i="1"/>
  <c r="E460" i="1"/>
  <c r="E459" i="1"/>
  <c r="E458" i="1"/>
  <c r="E457" i="1"/>
  <c r="E456" i="1"/>
  <c r="E455" i="1"/>
  <c r="E453" i="1"/>
  <c r="E452" i="1"/>
  <c r="E451" i="1"/>
  <c r="E450" i="1"/>
  <c r="E449" i="1"/>
  <c r="E448" i="1"/>
  <c r="E447" i="1"/>
  <c r="E446" i="1"/>
  <c r="E445" i="1"/>
  <c r="E444" i="1"/>
  <c r="E443" i="1"/>
  <c r="E442" i="1"/>
  <c r="E441" i="1"/>
  <c r="E440" i="1"/>
  <c r="E439" i="1"/>
  <c r="E438" i="1"/>
  <c r="E437" i="1"/>
  <c r="E436" i="1"/>
  <c r="E435" i="1"/>
  <c r="E434"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0"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3" i="1"/>
  <c r="E282" i="1"/>
  <c r="E281" i="1"/>
  <c r="E280" i="1"/>
  <c r="E279" i="1"/>
  <c r="E278" i="1"/>
  <c r="E277" i="1"/>
  <c r="E276"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0" i="1"/>
  <c r="C879"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2" i="1"/>
  <c r="C461" i="1"/>
  <c r="C460" i="1"/>
  <c r="C459" i="1"/>
  <c r="C458" i="1"/>
  <c r="C457" i="1"/>
  <c r="C456" i="1"/>
  <c r="C455" i="1"/>
  <c r="C453" i="1"/>
  <c r="C452" i="1"/>
  <c r="C451" i="1"/>
  <c r="C450" i="1"/>
  <c r="C449" i="1"/>
  <c r="C448" i="1"/>
  <c r="C447" i="1"/>
  <c r="C446" i="1"/>
  <c r="C445" i="1"/>
  <c r="C444" i="1"/>
  <c r="C443" i="1"/>
  <c r="C442" i="1"/>
  <c r="C441" i="1"/>
  <c r="C440" i="1"/>
  <c r="C439" i="1"/>
  <c r="C438" i="1"/>
  <c r="C437" i="1"/>
  <c r="C436" i="1"/>
  <c r="C435" i="1"/>
  <c r="C434"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0"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3" i="1"/>
  <c r="C282" i="1"/>
  <c r="C281" i="1"/>
  <c r="C280" i="1"/>
  <c r="C279" i="1"/>
  <c r="C278" i="1"/>
  <c r="C277" i="1"/>
  <c r="C276"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965" i="1"/>
  <c r="C924" i="1"/>
  <c r="C881" i="1"/>
  <c r="C878" i="1"/>
  <c r="C810" i="1"/>
  <c r="C602" i="1"/>
  <c r="C463" i="1"/>
  <c r="C454" i="1"/>
  <c r="C433" i="1"/>
  <c r="C401" i="1"/>
  <c r="C399" i="1"/>
  <c r="C311" i="1"/>
  <c r="C284" i="1"/>
  <c r="C275" i="1"/>
  <c r="C48"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<sst xmlns="http://schemas.openxmlformats.org/spreadsheetml/2006/main" count="23695" uniqueCount="18476">
  <si>
    <t>years_of_experience</t>
  </si>
  <si>
    <t>is_active</t>
  </si>
  <si>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</si>
  <si>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</si>
  <si>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</si>
  <si>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</si>
  <si>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</si>
  <si>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</si>
  <si>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</si>
  <si>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</si>
  <si>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</si>
  <si>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</si>
  <si>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</si>
  <si>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</si>
  <si>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</si>
  <si>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</si>
  <si>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</si>
  <si>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</si>
  <si>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</si>
  <si>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</si>
  <si>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</si>
  <si>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</si>
  <si>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</si>
  <si>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</si>
  <si>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</si>
  <si>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</si>
  <si>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$40</t>
  </si>
  <si>
    <t>FL250005</t>
  </si>
  <si>
    <t>Lynn Curtis DDS</t>
  </si>
  <si>
    <t>female</t>
  </si>
  <si>
    <t>FL250006</t>
  </si>
  <si>
    <t>Lisa Johnson</t>
  </si>
  <si>
    <t>Netherlands</t>
  </si>
  <si>
    <t>Dutch</t>
  </si>
  <si>
    <t>AI</t>
  </si>
  <si>
    <t>$30</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</si>
  <si>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</si>
  <si>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</si>
  <si>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</si>
  <si>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</si>
  <si>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</si>
  <si>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</si>
  <si>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</si>
  <si>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</si>
  <si>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</si>
  <si>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</si>
  <si>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</si>
  <si>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</si>
  <si>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</si>
  <si>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</si>
  <si>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</si>
  <si>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</si>
  <si>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</si>
  <si>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</si>
  <si>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$50</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</si>
  <si>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</si>
  <si>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</si>
  <si>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</si>
  <si>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</si>
  <si>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</si>
  <si>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</si>
  <si>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</si>
  <si>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</si>
  <si>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</si>
  <si>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</si>
  <si>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</si>
  <si>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</si>
  <si>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</si>
  <si>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</si>
  <si>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</si>
  <si>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</si>
  <si>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</si>
  <si>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</si>
  <si>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</si>
  <si>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</si>
  <si>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</si>
  <si>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</si>
  <si>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</si>
  <si>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</si>
  <si>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</si>
  <si>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</si>
  <si>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</si>
  <si>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</si>
  <si>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</si>
  <si>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</si>
  <si>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</si>
  <si>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</si>
  <si>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</si>
  <si>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</si>
  <si>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</si>
  <si>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</si>
  <si>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</si>
  <si>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</si>
  <si>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</si>
  <si>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</si>
  <si>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</si>
  <si>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</si>
  <si>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</si>
  <si>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</si>
  <si>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</si>
  <si>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</si>
  <si>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</si>
  <si>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</si>
  <si>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</si>
  <si>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</si>
  <si>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</si>
  <si>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</si>
  <si>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</si>
  <si>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</si>
  <si>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</si>
  <si>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</si>
  <si>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</si>
  <si>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</si>
  <si>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</si>
  <si>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</si>
  <si>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</si>
  <si>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</si>
  <si>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</si>
  <si>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</si>
  <si>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</si>
  <si>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</si>
  <si>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</si>
  <si>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</si>
  <si>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</si>
  <si>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</si>
  <si>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</si>
  <si>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</si>
  <si>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</si>
  <si>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</si>
  <si>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</si>
  <si>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</si>
  <si>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</si>
  <si>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</si>
  <si>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</si>
  <si>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</si>
  <si>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</si>
  <si>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</si>
  <si>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</si>
  <si>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</si>
  <si>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</si>
  <si>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</si>
  <si>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</si>
  <si>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</si>
  <si>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</si>
  <si>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</si>
  <si>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</si>
  <si>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</si>
  <si>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</si>
  <si>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</si>
  <si>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</si>
  <si>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</si>
  <si>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</si>
  <si>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</si>
  <si>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</si>
  <si>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</si>
  <si>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</si>
  <si>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</si>
  <si>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</si>
  <si>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</si>
  <si>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</si>
  <si>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</si>
  <si>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</si>
  <si>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</si>
  <si>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</si>
  <si>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</si>
  <si>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</si>
  <si>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</si>
  <si>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</si>
  <si>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</si>
  <si>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</si>
  <si>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</si>
  <si>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</si>
  <si>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</si>
  <si>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</si>
  <si>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</si>
  <si>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</si>
  <si>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</si>
  <si>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</si>
  <si>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</si>
  <si>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</si>
  <si>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</si>
  <si>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</si>
  <si>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</si>
  <si>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</si>
  <si>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</si>
  <si>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</si>
  <si>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</si>
  <si>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</si>
  <si>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</si>
  <si>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</si>
  <si>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</si>
  <si>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</si>
  <si>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</si>
  <si>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</si>
  <si>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</si>
  <si>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</si>
  <si>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</si>
  <si>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</si>
  <si>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</si>
  <si>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</si>
  <si>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</si>
  <si>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</si>
  <si>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</si>
  <si>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</si>
  <si>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</si>
  <si>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</si>
  <si>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</si>
  <si>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</si>
  <si>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</si>
  <si>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</si>
  <si>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</si>
  <si>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</si>
  <si>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</si>
  <si>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</si>
  <si>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</si>
  <si>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</si>
  <si>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</si>
  <si>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</si>
  <si>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</si>
  <si>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</si>
  <si>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</si>
  <si>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</si>
  <si>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</si>
  <si>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</si>
  <si>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</si>
  <si>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</si>
  <si>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</si>
  <si>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</si>
  <si>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</si>
  <si>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</si>
  <si>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</si>
  <si>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</si>
  <si>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</si>
  <si>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</si>
  <si>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</si>
  <si>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</si>
  <si>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</si>
  <si>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</si>
  <si>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</si>
  <si>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</si>
  <si>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</si>
  <si>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</si>
  <si>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</si>
  <si>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</si>
  <si>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</si>
  <si>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</si>
  <si>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</si>
  <si>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</si>
  <si>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</si>
  <si>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</si>
  <si>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</si>
  <si>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</si>
  <si>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</si>
  <si>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</si>
  <si>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</si>
  <si>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</si>
  <si>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</si>
  <si>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</si>
  <si>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</si>
  <si>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</si>
  <si>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</si>
  <si>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</si>
  <si>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</si>
  <si>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</si>
  <si>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</si>
  <si>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</si>
  <si>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</si>
  <si>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</si>
  <si>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</si>
  <si>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</si>
  <si>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</si>
  <si>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</si>
  <si>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</si>
  <si>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</si>
  <si>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</si>
  <si>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</si>
  <si>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</si>
  <si>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</si>
  <si>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</si>
  <si>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</si>
  <si>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</si>
  <si>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</si>
  <si>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</si>
  <si>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</si>
  <si>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</si>
  <si>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</si>
  <si>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</si>
  <si>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</si>
  <si>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</si>
  <si>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</si>
  <si>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</si>
  <si>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</si>
  <si>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</si>
  <si>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</si>
  <si>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</si>
  <si>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</si>
  <si>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</si>
  <si>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</si>
  <si>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</si>
  <si>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</si>
  <si>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</si>
  <si>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</si>
  <si>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</si>
  <si>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</si>
  <si>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</si>
  <si>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</si>
  <si>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</si>
  <si>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</si>
  <si>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</si>
  <si>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</si>
  <si>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</si>
  <si>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</si>
  <si>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</si>
  <si>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</si>
  <si>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</si>
  <si>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</si>
  <si>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</si>
  <si>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</si>
  <si>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</si>
  <si>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</si>
  <si>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</si>
  <si>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</si>
  <si>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</si>
  <si>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</si>
  <si>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</si>
  <si>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</si>
  <si>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</si>
  <si>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</si>
  <si>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</si>
  <si>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</si>
  <si>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</si>
  <si>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</si>
  <si>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</si>
  <si>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</si>
  <si>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</si>
  <si>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</si>
  <si>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</si>
  <si>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</si>
  <si>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</si>
  <si>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</si>
  <si>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</si>
  <si>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</si>
  <si>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</si>
  <si>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</si>
  <si>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</si>
  <si>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</si>
  <si>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</si>
  <si>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</si>
  <si>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</si>
  <si>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</si>
  <si>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</si>
  <si>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</si>
  <si>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</si>
  <si>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</si>
  <si>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</si>
  <si>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</si>
  <si>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</si>
  <si>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</si>
  <si>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</si>
  <si>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</si>
  <si>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</si>
  <si>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</si>
  <si>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</si>
  <si>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</si>
  <si>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</si>
  <si>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</si>
  <si>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</si>
  <si>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</si>
  <si>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</si>
  <si>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</si>
  <si>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</si>
  <si>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</si>
  <si>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</si>
  <si>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</si>
  <si>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</si>
  <si>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</si>
  <si>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</si>
  <si>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</si>
  <si>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</si>
  <si>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</si>
  <si>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</si>
  <si>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</si>
  <si>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</si>
  <si>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</si>
  <si>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</si>
  <si>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</si>
  <si>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</si>
  <si>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</si>
  <si>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</si>
  <si>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</si>
  <si>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</si>
  <si>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</si>
  <si>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</si>
  <si>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</si>
  <si>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</si>
  <si>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</si>
  <si>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</si>
  <si>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</si>
  <si>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</si>
  <si>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</si>
  <si>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</si>
  <si>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</si>
  <si>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</si>
  <si>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</si>
  <si>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</si>
  <si>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</si>
  <si>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</si>
  <si>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</si>
  <si>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</si>
  <si>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</si>
  <si>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</si>
  <si>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</si>
  <si>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</si>
  <si>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</si>
  <si>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</si>
  <si>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</si>
  <si>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</si>
  <si>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</si>
  <si>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</si>
  <si>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</si>
  <si>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</si>
  <si>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</si>
  <si>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</si>
  <si>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</si>
  <si>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</si>
  <si>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</si>
  <si>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</si>
  <si>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</si>
  <si>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</si>
  <si>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</si>
  <si>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</si>
  <si>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</si>
  <si>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</si>
  <si>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</si>
  <si>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</si>
  <si>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</si>
  <si>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</si>
  <si>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</si>
  <si>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</si>
  <si>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</si>
  <si>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</si>
  <si>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</si>
  <si>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</si>
  <si>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</si>
  <si>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</si>
  <si>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</si>
  <si>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</si>
  <si>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</si>
  <si>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</si>
  <si>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</si>
  <si>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</si>
  <si>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</si>
  <si>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</si>
  <si>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</si>
  <si>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</si>
  <si>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</si>
  <si>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</si>
  <si>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</si>
  <si>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</si>
  <si>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</si>
  <si>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</si>
  <si>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</si>
  <si>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</si>
  <si>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</si>
  <si>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</si>
  <si>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</si>
  <si>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</si>
  <si>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</si>
  <si>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</si>
  <si>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</si>
  <si>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</si>
  <si>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</si>
  <si>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</si>
  <si>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</si>
  <si>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</si>
  <si>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</si>
  <si>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</si>
  <si>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</si>
  <si>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</si>
  <si>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</si>
  <si>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</si>
  <si>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</si>
  <si>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</si>
  <si>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</si>
  <si>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</si>
  <si>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</si>
  <si>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</si>
  <si>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</si>
  <si>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</si>
  <si>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</si>
  <si>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</si>
  <si>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</si>
  <si>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</si>
  <si>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</si>
  <si>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</si>
  <si>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</si>
  <si>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</si>
  <si>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</si>
  <si>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</si>
  <si>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</si>
  <si>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</si>
  <si>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</si>
  <si>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</si>
  <si>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</si>
  <si>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</si>
  <si>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</si>
  <si>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</si>
  <si>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</si>
  <si>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</si>
  <si>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</si>
  <si>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</si>
  <si>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</si>
  <si>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</si>
  <si>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</si>
  <si>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</si>
  <si>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</si>
  <si>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</si>
  <si>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</si>
  <si>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</si>
  <si>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</si>
  <si>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</si>
  <si>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</si>
  <si>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</si>
  <si>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</si>
  <si>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</si>
  <si>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</si>
  <si>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</si>
  <si>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</si>
  <si>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</si>
  <si>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</si>
  <si>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</si>
  <si>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</si>
  <si>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</si>
  <si>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</si>
  <si>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</si>
  <si>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</si>
  <si>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</si>
  <si>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</si>
  <si>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</si>
  <si>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</si>
  <si>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</si>
  <si>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</si>
  <si>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</si>
  <si>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</si>
  <si>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</si>
  <si>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</si>
  <si>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</si>
  <si>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</si>
  <si>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</si>
  <si>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</si>
  <si>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</si>
  <si>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</si>
  <si>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</si>
  <si>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</si>
  <si>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</si>
  <si>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</si>
  <si>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</si>
  <si>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</si>
  <si>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</si>
  <si>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</si>
  <si>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</si>
  <si>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</si>
  <si>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</si>
  <si>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</si>
  <si>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</si>
  <si>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</si>
  <si>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</si>
  <si>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</si>
  <si>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</si>
  <si>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</si>
  <si>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</si>
  <si>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</si>
  <si>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</si>
  <si>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</si>
  <si>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</si>
  <si>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</si>
  <si>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</si>
  <si>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</si>
  <si>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</si>
  <si>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</si>
  <si>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</si>
  <si>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</si>
  <si>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</si>
  <si>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</si>
  <si>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</si>
  <si>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</si>
  <si>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</si>
  <si>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</si>
  <si>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</si>
  <si>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</si>
  <si>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</si>
  <si>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</si>
  <si>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</si>
  <si>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</si>
  <si>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</si>
  <si>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</si>
  <si>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</si>
  <si>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</si>
  <si>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</si>
  <si>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</si>
  <si>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</si>
  <si>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</si>
  <si>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</si>
  <si>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</si>
  <si>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</si>
  <si>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</si>
  <si>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</si>
  <si>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</si>
  <si>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</si>
  <si>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</si>
  <si>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</si>
  <si>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</si>
  <si>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</si>
  <si>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</si>
  <si>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</si>
  <si>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</si>
  <si>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</si>
  <si>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</si>
  <si>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</si>
  <si>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</si>
  <si>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</si>
  <si>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</si>
  <si>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</si>
  <si>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</si>
  <si>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</si>
  <si>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</si>
  <si>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</si>
  <si>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</si>
  <si>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</si>
  <si>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</si>
  <si>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</si>
  <si>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</si>
  <si>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</si>
  <si>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</si>
  <si>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</si>
  <si>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</si>
  <si>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</si>
  <si>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</si>
  <si>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</si>
  <si>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</si>
  <si>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</si>
  <si>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</si>
  <si>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</si>
  <si>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</si>
  <si>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</si>
  <si>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</si>
  <si>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</si>
  <si>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</si>
  <si>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</si>
  <si>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</si>
  <si>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</si>
  <si>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</si>
  <si>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</si>
  <si>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</si>
  <si>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</si>
  <si>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</si>
  <si>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</si>
  <si>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</si>
  <si>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</si>
  <si>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</si>
  <si>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</si>
  <si>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</si>
  <si>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</si>
  <si>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</si>
  <si>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</si>
  <si>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</si>
  <si>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</si>
  <si>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</si>
  <si>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</si>
  <si>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</si>
  <si>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</si>
  <si>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</si>
  <si>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</si>
  <si>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</si>
  <si>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</si>
  <si>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</si>
  <si>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</si>
  <si>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</si>
  <si>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</si>
  <si>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</si>
  <si>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</si>
  <si>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</si>
  <si>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</si>
  <si>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</si>
  <si>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</si>
  <si>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</si>
  <si>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</si>
  <si>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</si>
  <si>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</si>
  <si>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</si>
  <si>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</si>
  <si>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</si>
  <si>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</si>
  <si>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</si>
  <si>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</si>
  <si>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</si>
  <si>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</si>
  <si>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</si>
  <si>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</si>
  <si>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</si>
  <si>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</si>
  <si>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</si>
  <si>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</si>
  <si>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</si>
  <si>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</si>
  <si>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</si>
  <si>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</si>
  <si>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</si>
  <si>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</si>
  <si>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</si>
  <si>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</si>
  <si>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</si>
  <si>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</si>
  <si>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</si>
  <si>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</si>
  <si>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</si>
  <si>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</si>
  <si>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</si>
  <si>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</si>
  <si>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</si>
  <si>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</si>
  <si>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</si>
  <si>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</si>
  <si>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</si>
  <si>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</si>
  <si>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</si>
  <si>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</si>
  <si>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</si>
  <si>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</si>
  <si>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</si>
  <si>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</si>
  <si>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</si>
  <si>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</si>
  <si>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</si>
  <si>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</si>
  <si>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</si>
  <si>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</si>
  <si>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</si>
  <si>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</si>
  <si>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</si>
  <si>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</si>
  <si>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</si>
  <si>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</si>
  <si>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</si>
  <si>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</si>
  <si>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</si>
  <si>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</si>
  <si>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</si>
  <si>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</si>
  <si>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</si>
  <si>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</si>
  <si>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</si>
  <si>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</si>
  <si>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</si>
  <si>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</si>
  <si>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</si>
  <si>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</si>
  <si>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</si>
  <si>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</si>
  <si>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</si>
  <si>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</si>
  <si>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</si>
  <si>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</si>
  <si>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</si>
  <si>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</si>
  <si>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</si>
  <si>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</si>
  <si>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</si>
  <si>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</si>
  <si>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</si>
  <si>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</si>
  <si>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</si>
  <si>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</si>
  <si>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</si>
  <si>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</si>
  <si>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</si>
  <si>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</si>
  <si>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</si>
  <si>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</si>
  <si>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</si>
  <si>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</si>
  <si>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</si>
  <si>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</si>
  <si>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</si>
  <si>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</si>
  <si>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</si>
  <si>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</si>
  <si>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</si>
  <si>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</si>
  <si>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</si>
  <si>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</si>
  <si>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</si>
  <si>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</si>
  <si>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</si>
  <si>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</si>
  <si>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</si>
  <si>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</si>
  <si>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</si>
  <si>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</si>
  <si>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</si>
  <si>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</si>
  <si>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</si>
  <si>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</si>
  <si>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</si>
  <si>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</si>
  <si>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</si>
  <si>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</si>
  <si>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</si>
  <si>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</si>
  <si>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</si>
  <si>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</si>
  <si>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</si>
  <si>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</si>
  <si>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</si>
  <si>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</si>
  <si>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</si>
  <si>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</si>
  <si>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</si>
  <si>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</si>
  <si>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</si>
  <si>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</si>
  <si>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</si>
  <si>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</si>
  <si>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</si>
  <si>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</si>
  <si>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</si>
  <si>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</si>
  <si>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</si>
  <si>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</si>
  <si>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</si>
  <si>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</si>
  <si>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</si>
  <si>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</si>
  <si>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</si>
  <si>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</si>
  <si>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</si>
  <si>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</si>
  <si>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</si>
  <si>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</si>
  <si>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</si>
  <si>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</si>
  <si>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</si>
  <si>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</si>
  <si>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</si>
  <si>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</si>
  <si>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</si>
  <si>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</si>
  <si>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</si>
  <si>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</si>
  <si>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</si>
  <si>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</si>
  <si>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</si>
  <si>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</si>
  <si>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</si>
  <si>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</si>
  <si>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</si>
  <si>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</si>
  <si>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</si>
  <si>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</si>
  <si>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</si>
  <si>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</si>
  <si>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</si>
  <si>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</si>
  <si>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</si>
  <si>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</si>
  <si>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</si>
  <si>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</si>
  <si>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</si>
  <si>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</si>
  <si>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</si>
  <si>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</si>
  <si>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</si>
  <si>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</si>
  <si>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</si>
  <si>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</si>
  <si>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</si>
  <si>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</si>
  <si>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</si>
  <si>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</si>
  <si>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</si>
  <si>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</si>
  <si>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</si>
  <si>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</si>
  <si>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</si>
  <si>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</si>
  <si>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</si>
  <si>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</si>
  <si>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</si>
  <si>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</si>
  <si>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</si>
  <si>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</si>
  <si>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</si>
  <si>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</si>
  <si>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</si>
  <si>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</si>
  <si>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</si>
  <si>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</si>
  <si>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</si>
  <si>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</si>
  <si>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</si>
  <si>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</si>
  <si>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</si>
  <si>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</si>
  <si>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</si>
  <si>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</si>
  <si>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</si>
  <si>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</si>
  <si>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</si>
  <si>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</si>
  <si>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</si>
  <si>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</si>
  <si>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</si>
  <si>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</si>
  <si>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</si>
  <si>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</si>
  <si>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</si>
  <si>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</si>
  <si>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</si>
  <si>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</si>
  <si>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</si>
  <si>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</si>
  <si>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</si>
  <si>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</si>
  <si>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</si>
  <si>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</si>
  <si>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</si>
  <si>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</si>
  <si>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</si>
  <si>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</si>
  <si>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</si>
  <si>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</si>
  <si>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</si>
  <si>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</si>
  <si>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</si>
  <si>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</si>
  <si>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</si>
  <si>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</si>
  <si>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</si>
  <si>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</si>
  <si>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</si>
  <si>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</si>
  <si>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</si>
  <si>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</si>
  <si>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</si>
  <si>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</si>
  <si>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</si>
  <si>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</si>
  <si>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</si>
  <si>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</si>
  <si>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</si>
  <si>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</si>
  <si>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</si>
  <si>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</si>
  <si>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</si>
  <si>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</si>
  <si>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</si>
  <si>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</si>
  <si>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</si>
  <si>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</si>
  <si>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</si>
  <si>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</si>
  <si>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</si>
  <si>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</si>
  <si>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</si>
  <si>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</si>
  <si>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</si>
  <si>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</si>
  <si>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</si>
  <si>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</si>
  <si>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</si>
  <si>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</si>
  <si>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</si>
  <si>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</si>
  <si>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</si>
  <si>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</si>
  <si>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</si>
  <si>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</si>
  <si>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</si>
  <si>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</si>
  <si>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</si>
  <si>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</si>
  <si>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</si>
  <si>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</si>
  <si>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</si>
  <si>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</si>
  <si>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</si>
  <si>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</si>
  <si>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</si>
  <si>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</si>
  <si>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</si>
  <si>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</si>
  <si>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</si>
  <si>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</si>
  <si>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</si>
  <si>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</si>
  <si>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</si>
  <si>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</si>
  <si>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</si>
  <si>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</si>
  <si>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</si>
  <si>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</si>
  <si>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</si>
  <si>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</si>
  <si>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</si>
  <si>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</si>
  <si>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</si>
  <si>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</si>
  <si>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</si>
  <si>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</si>
  <si>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</si>
  <si>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</si>
  <si>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</si>
  <si>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</si>
  <si>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</si>
  <si>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</si>
  <si>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</si>
  <si>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</si>
  <si>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</si>
  <si>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</si>
  <si>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</si>
  <si>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</si>
  <si>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</si>
  <si>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</si>
  <si>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</si>
  <si>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</si>
  <si>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</si>
  <si>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</si>
  <si>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</si>
  <si>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</si>
  <si>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</si>
  <si>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</si>
  <si>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</si>
  <si>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</si>
  <si>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</si>
  <si>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</si>
  <si>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</si>
  <si>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</si>
  <si>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</si>
  <si>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</si>
  <si>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</si>
  <si>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</si>
  <si>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</si>
  <si>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</si>
  <si>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</si>
  <si>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</si>
  <si>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</si>
  <si>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</si>
  <si>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</si>
  <si>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</si>
  <si>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</si>
  <si>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</si>
  <si>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</si>
  <si>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</si>
  <si>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</si>
  <si>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</si>
  <si>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</si>
  <si>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</si>
  <si>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</si>
  <si>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</si>
  <si>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</si>
  <si>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</si>
  <si>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</si>
  <si>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</si>
  <si>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</si>
  <si>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</si>
  <si>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</si>
  <si>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</si>
  <si>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</si>
  <si>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</si>
  <si>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</si>
  <si>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</si>
  <si>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</si>
  <si>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</si>
  <si>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</si>
  <si>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</si>
  <si>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</si>
  <si>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</si>
  <si>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</si>
  <si>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</si>
  <si>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</si>
  <si>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</si>
  <si>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</si>
  <si>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</si>
  <si>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</si>
  <si>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</si>
  <si>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</si>
  <si>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</si>
  <si>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</si>
  <si>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</si>
  <si>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</si>
  <si>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</si>
  <si>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</si>
  <si>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</si>
  <si>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</si>
  <si>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</si>
  <si>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</si>
  <si>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</si>
  <si>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</si>
  <si>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</si>
  <si>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</si>
  <si>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</si>
  <si>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</si>
  <si>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</si>
  <si>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</si>
  <si>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</si>
  <si>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</si>
  <si>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</si>
  <si>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</si>
  <si>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</si>
  <si>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</si>
  <si>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</si>
  <si>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</si>
  <si>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</si>
  <si>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</si>
  <si>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</si>
  <si>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</si>
  <si>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</si>
  <si>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</si>
  <si>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</si>
  <si>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</si>
  <si>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</si>
  <si>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</si>
  <si>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</si>
  <si>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</si>
  <si>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</si>
  <si>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</si>
  <si>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</si>
  <si>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</si>
  <si>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</si>
  <si>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</si>
  <si>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</si>
  <si>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</si>
  <si>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</si>
  <si>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</si>
  <si>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</si>
  <si>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</si>
  <si>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</si>
  <si>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</si>
  <si>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</si>
  <si>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</si>
  <si>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</si>
  <si>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</si>
  <si>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</si>
  <si>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</si>
  <si>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</si>
  <si>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</si>
  <si>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</si>
  <si>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</si>
  <si>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</si>
  <si>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</si>
  <si>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</si>
  <si>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</si>
  <si>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</si>
  <si>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</si>
  <si>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</si>
  <si>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</si>
  <si>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</si>
  <si>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</si>
  <si>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</si>
  <si>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</si>
  <si>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</si>
  <si>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</si>
  <si>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</si>
  <si>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</si>
  <si>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</si>
  <si>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</si>
  <si>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</si>
  <si>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</si>
  <si>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</si>
  <si>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</si>
  <si>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</si>
  <si>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</si>
  <si>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</si>
  <si>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</si>
  <si>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</si>
  <si>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</si>
  <si>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</si>
  <si>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</si>
  <si>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</si>
  <si>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</si>
  <si>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</si>
  <si>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</si>
  <si>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</si>
  <si>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</si>
  <si>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</si>
  <si>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</si>
  <si>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</si>
  <si>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</si>
  <si>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</si>
  <si>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</si>
  <si>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</si>
  <si>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</si>
  <si>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</si>
  <si>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</si>
  <si>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</si>
  <si>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</si>
  <si>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</si>
  <si>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</si>
  <si>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</si>
  <si>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</si>
  <si>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</si>
  <si>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</si>
  <si>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</si>
  <si>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</si>
  <si>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</si>
  <si>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</si>
  <si>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</si>
  <si>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</si>
  <si>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</si>
  <si>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</si>
  <si>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</si>
  <si>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</si>
  <si>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</si>
  <si>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</si>
  <si>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</si>
  <si>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</si>
  <si>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</si>
  <si>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</si>
  <si>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</si>
  <si>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</si>
  <si>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</si>
  <si>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</si>
  <si>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</si>
  <si>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</si>
  <si>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</si>
  <si>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</si>
  <si>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</si>
  <si>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</si>
  <si>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</si>
  <si>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</si>
  <si>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</si>
  <si>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</si>
  <si>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</si>
  <si>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</si>
  <si>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</si>
  <si>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</si>
  <si>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</si>
  <si>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</si>
  <si>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</si>
  <si>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</si>
  <si>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</si>
  <si>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</si>
  <si>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</si>
  <si>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</si>
  <si>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</si>
  <si>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</si>
  <si>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</si>
  <si>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</si>
  <si>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</si>
  <si>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</si>
  <si>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</si>
  <si>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</si>
  <si>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</si>
  <si>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</si>
  <si>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</si>
  <si>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</si>
  <si>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</si>
  <si>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</si>
  <si>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</si>
  <si>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</si>
  <si>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</si>
  <si>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</si>
  <si>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</si>
  <si>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</si>
  <si>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</si>
  <si>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</si>
  <si>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</si>
  <si>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</si>
  <si>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</si>
  <si>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</si>
  <si>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</si>
  <si>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</si>
  <si>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</si>
  <si>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</si>
  <si>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</si>
  <si>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</si>
  <si>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</si>
  <si>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</si>
  <si>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</si>
  <si>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</si>
  <si>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</si>
  <si>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</si>
  <si>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</si>
  <si>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</si>
  <si>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</si>
  <si>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</si>
  <si>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</si>
  <si>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</si>
  <si>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</si>
  <si>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</si>
  <si>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</si>
  <si>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</si>
  <si>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</si>
  <si>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</si>
  <si>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</si>
  <si>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</si>
  <si>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</si>
  <si>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</si>
  <si>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</si>
  <si>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</si>
  <si>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</si>
  <si>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</si>
  <si>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</si>
  <si>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</si>
  <si>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</si>
  <si>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</si>
  <si>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</si>
  <si>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</si>
  <si>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</si>
  <si>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</si>
  <si>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</si>
  <si>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</si>
  <si>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</si>
  <si>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</si>
  <si>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</si>
  <si>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</si>
  <si>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</si>
  <si>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</si>
  <si>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</si>
  <si>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</si>
  <si>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</si>
  <si>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</si>
  <si>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</si>
  <si>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</si>
  <si>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</si>
  <si>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</si>
  <si>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</si>
  <si>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</si>
  <si>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</si>
  <si>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</si>
  <si>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</si>
  <si>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</si>
  <si>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</si>
  <si>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</si>
  <si>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</si>
  <si>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</si>
  <si>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</si>
  <si>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</si>
  <si>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</si>
  <si>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</si>
  <si>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</si>
  <si>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</si>
  <si>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</si>
  <si>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</si>
  <si>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</si>
  <si>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</si>
  <si>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</si>
  <si>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</si>
  <si>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</si>
  <si>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</si>
  <si>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</si>
  <si>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</si>
  <si>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</si>
  <si>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</si>
  <si>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</si>
  <si>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</si>
  <si>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</si>
  <si>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</si>
  <si>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</si>
  <si>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</si>
  <si>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</si>
  <si>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</si>
  <si>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</si>
  <si>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</si>
  <si>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</si>
  <si>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</si>
  <si>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</si>
  <si>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</si>
  <si>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</si>
  <si>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</si>
  <si>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</si>
  <si>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</si>
  <si>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</si>
  <si>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</si>
  <si>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</si>
  <si>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</si>
  <si>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</si>
  <si>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</si>
  <si>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</si>
  <si>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</si>
  <si>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</si>
  <si>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</si>
  <si>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</si>
  <si>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</si>
  <si>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</si>
  <si>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</si>
  <si>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</si>
  <si>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</si>
  <si>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</si>
  <si>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</si>
  <si>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</si>
  <si>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</si>
  <si>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</si>
  <si>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</si>
  <si>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</si>
  <si>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</si>
  <si>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</si>
  <si>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</si>
  <si>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</si>
  <si>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</si>
  <si>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</si>
  <si>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</si>
  <si>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</si>
  <si>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</si>
  <si>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</si>
  <si>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</si>
  <si>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</si>
  <si>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</si>
  <si>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</si>
  <si>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</si>
  <si>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</si>
  <si>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</si>
  <si>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</si>
  <si>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</si>
  <si>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</si>
  <si>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</si>
  <si>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</si>
  <si>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</si>
  <si>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</si>
  <si>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</si>
  <si>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</si>
  <si>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</si>
  <si>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</si>
  <si>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</si>
  <si>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</si>
  <si>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</si>
  <si>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</si>
  <si>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</si>
  <si>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</si>
  <si>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</si>
  <si>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</si>
  <si>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</si>
  <si>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</si>
  <si>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</si>
  <si>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</si>
  <si>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</si>
  <si>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</si>
  <si>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</si>
  <si>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</si>
  <si>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</si>
  <si>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</si>
  <si>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</si>
  <si>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</si>
  <si>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</si>
  <si>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</si>
  <si>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</si>
  <si>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</si>
  <si>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</si>
  <si>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</si>
  <si>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</si>
  <si>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</si>
  <si>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</si>
  <si>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</si>
  <si>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</si>
  <si>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</si>
  <si>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</si>
  <si>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</si>
  <si>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</si>
  <si>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</si>
  <si>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</si>
  <si>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</si>
  <si>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</si>
  <si>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</si>
  <si>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</si>
  <si>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</si>
  <si>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</si>
  <si>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</si>
  <si>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</si>
  <si>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</si>
  <si>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</si>
  <si>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</si>
  <si>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</si>
  <si>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</si>
  <si>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</si>
  <si>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</si>
  <si>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</si>
  <si>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</si>
  <si>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</si>
  <si>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</si>
  <si>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</si>
  <si>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</si>
  <si>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</si>
  <si>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</si>
  <si>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</si>
  <si>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</si>
  <si>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</si>
  <si>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</si>
  <si>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</si>
  <si>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</si>
  <si>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</si>
  <si>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</si>
  <si>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</si>
  <si>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</si>
  <si>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</si>
  <si>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</si>
  <si>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</si>
  <si>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</si>
  <si>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</si>
  <si>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</si>
  <si>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</si>
  <si>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</si>
  <si>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</si>
  <si>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</si>
  <si>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</si>
  <si>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</si>
  <si>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</si>
  <si>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</si>
  <si>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</si>
  <si>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</si>
  <si>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</si>
  <si>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</si>
  <si>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</si>
  <si>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</si>
  <si>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</si>
  <si>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</si>
  <si>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</si>
  <si>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</si>
  <si>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</si>
  <si>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</si>
  <si>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</si>
  <si>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</si>
  <si>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</si>
  <si>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</si>
  <si>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</si>
  <si>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</si>
  <si>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</si>
  <si>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</si>
  <si>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</si>
  <si>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</si>
  <si>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</si>
  <si>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</si>
  <si>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</si>
  <si>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</si>
  <si>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</si>
  <si>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</si>
  <si>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</si>
  <si>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</si>
  <si>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</si>
  <si>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</si>
  <si>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</si>
  <si>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</si>
  <si>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</si>
  <si>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</si>
  <si>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</si>
  <si>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</si>
  <si>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</si>
  <si>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</si>
  <si>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</si>
  <si>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</si>
  <si>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</si>
  <si>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</si>
  <si>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</si>
  <si>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</si>
  <si>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</si>
  <si>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</si>
  <si>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</si>
  <si>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</si>
  <si>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</si>
  <si>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</si>
  <si>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</si>
  <si>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</si>
  <si>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</si>
  <si>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</si>
  <si>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</si>
  <si>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</si>
  <si>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</si>
  <si>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</si>
  <si>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</si>
  <si>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</si>
  <si>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</si>
  <si>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</si>
  <si>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</si>
  <si>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</si>
  <si>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</si>
  <si>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</si>
  <si>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</si>
  <si>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</si>
  <si>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</si>
  <si>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</si>
  <si>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</si>
  <si>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</si>
  <si>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</si>
  <si>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</si>
  <si>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</si>
  <si>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</si>
  <si>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</si>
  <si>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</si>
  <si>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</si>
  <si>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</si>
  <si>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</si>
  <si>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</si>
  <si>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</si>
  <si>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</si>
  <si>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</si>
  <si>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</si>
  <si>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</si>
  <si>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</si>
  <si>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</si>
  <si>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</si>
  <si>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</si>
  <si>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</si>
  <si>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</si>
  <si>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</si>
  <si>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</si>
  <si>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</si>
  <si>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</si>
  <si>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</si>
  <si>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</si>
  <si>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</si>
  <si>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</si>
  <si>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</si>
  <si>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</si>
  <si>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</si>
  <si>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</si>
  <si>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</si>
  <si>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</si>
  <si>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</si>
  <si>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</si>
  <si>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</si>
  <si>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</si>
  <si>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</si>
  <si>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</si>
  <si>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</si>
  <si>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</si>
  <si>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</si>
  <si>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</si>
  <si>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</si>
  <si>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</si>
  <si>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</si>
  <si>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</si>
  <si>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</si>
  <si>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</si>
  <si>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</si>
  <si>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</si>
  <si>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</si>
  <si>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</si>
  <si>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</si>
  <si>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</si>
  <si>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</si>
  <si>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</si>
  <si>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</si>
  <si>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</si>
  <si>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</si>
  <si>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</si>
  <si>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</si>
  <si>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</si>
  <si>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</si>
  <si>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</si>
  <si>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</si>
  <si>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</si>
  <si>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</si>
  <si>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</si>
  <si>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</si>
  <si>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</si>
  <si>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</si>
  <si>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</si>
  <si>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</si>
  <si>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</si>
  <si>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</si>
  <si>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</si>
  <si>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</si>
  <si>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</si>
  <si>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</si>
  <si>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</si>
  <si>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</si>
  <si>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</si>
  <si>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</si>
  <si>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</si>
  <si>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</si>
  <si>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</si>
  <si>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</si>
  <si>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</si>
  <si>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</si>
  <si>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</si>
  <si>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</si>
  <si>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</si>
  <si>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</si>
  <si>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</si>
  <si>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</si>
  <si>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</si>
  <si>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</si>
  <si>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</si>
  <si>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</si>
  <si>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</si>
  <si>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</si>
  <si>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</si>
  <si>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</si>
  <si>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</si>
  <si>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</si>
  <si>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</si>
  <si>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</si>
  <si>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</si>
  <si>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</si>
  <si>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</si>
  <si>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</si>
  <si>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</si>
  <si>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</si>
  <si>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</si>
  <si>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</si>
  <si>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</si>
  <si>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</si>
  <si>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</si>
  <si>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</si>
  <si>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</si>
  <si>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</si>
  <si>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</si>
  <si>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</si>
  <si>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</si>
  <si>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</si>
  <si>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</si>
  <si>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</si>
  <si>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</si>
  <si>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</si>
  <si>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</si>
  <si>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</si>
  <si>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</si>
  <si>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</si>
  <si>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</si>
  <si>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</si>
  <si>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</si>
  <si>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</si>
  <si>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</si>
  <si>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</si>
  <si>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</si>
  <si>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</si>
  <si>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</si>
  <si>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</si>
  <si>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</si>
  <si>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</si>
  <si>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</si>
  <si>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</si>
  <si>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</si>
  <si>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</si>
  <si>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</si>
  <si>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</si>
  <si>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</si>
  <si>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</si>
  <si>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</si>
  <si>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</si>
  <si>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</si>
  <si>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</si>
  <si>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</si>
  <si>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</si>
  <si>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</si>
  <si>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</si>
  <si>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</si>
  <si>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</si>
  <si>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</si>
  <si>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</si>
  <si>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</si>
  <si>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</si>
  <si>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</si>
  <si>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</si>
  <si>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</si>
  <si>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</si>
  <si>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</si>
  <si>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</si>
  <si>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</si>
  <si>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</si>
  <si>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</si>
  <si>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</si>
  <si>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</si>
  <si>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</si>
  <si>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</si>
  <si>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</si>
  <si>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</si>
  <si>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</si>
  <si>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</si>
  <si>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</si>
  <si>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</si>
  <si>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</si>
  <si>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</si>
  <si>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</si>
  <si>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</si>
  <si>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</si>
  <si>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</si>
  <si>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</si>
  <si>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</si>
  <si>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</si>
  <si>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</si>
  <si>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</si>
  <si>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</si>
  <si>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</si>
  <si>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</si>
  <si>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</si>
  <si>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</si>
  <si>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</si>
  <si>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</si>
  <si>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</si>
  <si>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</si>
  <si>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</si>
  <si>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</si>
  <si>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</si>
  <si>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</si>
  <si>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</si>
  <si>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</si>
  <si>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</si>
  <si>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</si>
  <si>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</si>
  <si>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</si>
  <si>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</si>
  <si>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</si>
  <si>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</si>
  <si>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</si>
  <si>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</si>
  <si>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</si>
  <si>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</si>
  <si>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</si>
  <si>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</si>
  <si>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</si>
  <si>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</si>
  <si>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</si>
  <si>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</si>
  <si>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</si>
  <si>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</si>
  <si>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</si>
  <si>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</si>
  <si>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</si>
  <si>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</si>
  <si>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</si>
  <si>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</si>
  <si>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</si>
  <si>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</si>
  <si>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</si>
  <si>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</si>
  <si>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</si>
  <si>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</si>
  <si>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</si>
  <si>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</si>
  <si>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</si>
  <si>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</si>
  <si>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</si>
  <si>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</si>
  <si>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</si>
  <si>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</si>
  <si>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</si>
  <si>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</si>
  <si>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</si>
  <si>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</si>
  <si>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</si>
  <si>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</si>
  <si>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</si>
  <si>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</si>
  <si>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</si>
  <si>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</si>
  <si>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</si>
  <si>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</si>
  <si>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</si>
  <si>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</si>
  <si>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</si>
  <si>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</si>
  <si>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</si>
  <si>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</si>
  <si>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</si>
  <si>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</si>
  <si>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</si>
  <si>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</si>
  <si>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</si>
  <si>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</si>
  <si>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</si>
  <si>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</si>
  <si>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</si>
  <si>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</si>
  <si>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</si>
  <si>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</si>
  <si>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</si>
  <si>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</si>
  <si>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</si>
  <si>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</si>
  <si>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</si>
  <si>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</si>
  <si>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</si>
  <si>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</si>
  <si>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</si>
  <si>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</si>
  <si>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</si>
  <si>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</si>
  <si>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</si>
  <si>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</si>
  <si>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</si>
  <si>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</si>
  <si>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</si>
  <si>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</si>
  <si>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</si>
  <si>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</si>
  <si>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</si>
  <si>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</si>
  <si>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</si>
  <si>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</si>
  <si>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</si>
  <si>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</si>
  <si>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</si>
  <si>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</si>
  <si>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</si>
  <si>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</si>
  <si>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</si>
  <si>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</si>
  <si>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</si>
  <si>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</si>
  <si>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</si>
  <si>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</si>
  <si>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</si>
  <si>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</si>
  <si>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</si>
  <si>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</si>
  <si>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</si>
  <si>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</si>
  <si>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</si>
  <si>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</si>
  <si>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</si>
  <si>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</si>
  <si>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</si>
  <si>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</si>
  <si>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</si>
  <si>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</si>
  <si>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</si>
  <si>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</si>
  <si>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</si>
  <si>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</si>
  <si>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</si>
  <si>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</si>
  <si>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</si>
  <si>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</si>
  <si>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</si>
  <si>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</si>
  <si>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</si>
  <si>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</si>
  <si>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</si>
  <si>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</si>
  <si>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</si>
  <si>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</si>
  <si>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</si>
  <si>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</si>
  <si>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</si>
  <si>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</si>
  <si>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</si>
  <si>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</si>
  <si>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</si>
  <si>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</si>
  <si>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</si>
  <si>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</si>
  <si>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</si>
  <si>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</si>
  <si>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</si>
  <si>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</si>
  <si>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</si>
  <si>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</si>
  <si>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</si>
  <si>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</si>
  <si>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</si>
  <si>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</si>
  <si>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</si>
  <si>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</si>
  <si>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</si>
  <si>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</si>
  <si>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</si>
  <si>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</si>
  <si>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</si>
  <si>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</si>
  <si>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</si>
  <si>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</si>
  <si>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</si>
  <si>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</si>
  <si>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</si>
  <si>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</si>
  <si>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</si>
  <si>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</si>
  <si>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</si>
  <si>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</si>
  <si>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</si>
  <si>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</si>
  <si>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</si>
  <si>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</si>
  <si>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</si>
  <si>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</si>
  <si>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</si>
  <si>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</si>
  <si>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</si>
  <si>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</si>
  <si>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</si>
  <si>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</si>
  <si>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</si>
  <si>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</si>
  <si>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</si>
  <si>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</si>
  <si>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</si>
  <si>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</si>
  <si>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</si>
  <si>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</si>
  <si>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</si>
  <si>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</si>
  <si>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</si>
  <si>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</si>
  <si>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</si>
  <si>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</si>
  <si>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</si>
  <si>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</si>
  <si>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</si>
  <si>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</si>
  <si>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</si>
  <si>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</si>
  <si>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</si>
  <si>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</si>
  <si>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</si>
  <si>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</si>
  <si>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</si>
  <si>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</si>
  <si>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</si>
  <si>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</si>
  <si>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</si>
  <si>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</si>
  <si>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</si>
  <si>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</si>
  <si>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</si>
  <si>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</si>
  <si>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</si>
  <si>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</si>
  <si>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</si>
  <si>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</si>
  <si>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</si>
  <si>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</si>
  <si>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</si>
  <si>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</si>
  <si>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</si>
  <si>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</si>
  <si>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</si>
  <si>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</si>
  <si>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</si>
  <si>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</si>
  <si>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</si>
  <si>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</si>
  <si>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</si>
  <si>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</si>
  <si>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</si>
  <si>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</si>
  <si>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</si>
  <si>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</si>
  <si>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</si>
  <si>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</si>
  <si>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</si>
  <si>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</si>
  <si>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</si>
  <si>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</si>
  <si>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</si>
  <si>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</si>
  <si>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</si>
  <si>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</si>
  <si>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</si>
  <si>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</si>
  <si>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</si>
  <si>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</si>
  <si>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</si>
  <si>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</si>
  <si>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</si>
  <si>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</si>
  <si>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</si>
  <si>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</si>
  <si>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</si>
  <si>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</si>
  <si>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</si>
  <si>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</si>
  <si>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</si>
  <si>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</si>
  <si>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</si>
  <si>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</si>
  <si>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</si>
  <si>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</si>
  <si>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Full name</t>
  </si>
  <si>
    <t>Gender</t>
  </si>
  <si>
    <t>gender_raw</t>
  </si>
  <si>
    <t>name_raw</t>
  </si>
  <si>
    <t>Experience _buckets</t>
  </si>
  <si>
    <t>hourly_rate (USD)_raw</t>
  </si>
  <si>
    <t>Hourly_rate</t>
  </si>
  <si>
    <t>Not active</t>
  </si>
  <si>
    <t>Active</t>
  </si>
  <si>
    <t>client_satisfaction_raw</t>
  </si>
  <si>
    <t>Freelancer_ID</t>
  </si>
  <si>
    <t>Country</t>
  </si>
  <si>
    <t>Language</t>
  </si>
  <si>
    <t>Rating</t>
  </si>
  <si>
    <t>Age</t>
  </si>
  <si>
    <t>Customer_satisfaction</t>
  </si>
  <si>
    <t>Row Labels</t>
  </si>
  <si>
    <t>Grand Total</t>
  </si>
  <si>
    <t>Count of Freelancer_ID</t>
  </si>
  <si>
    <t>Average of Rating</t>
  </si>
  <si>
    <t>0-5</t>
  </si>
  <si>
    <t>11-15</t>
  </si>
  <si>
    <t>16-20</t>
  </si>
  <si>
    <t>20+</t>
  </si>
  <si>
    <t>6-10</t>
  </si>
  <si>
    <t>years of experience</t>
  </si>
  <si>
    <t>hourly pay</t>
  </si>
  <si>
    <t>Status</t>
  </si>
  <si>
    <t>Primary_skill</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</si>
  <si>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</si>
  <si>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</si>
  <si>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</si>
  <si>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</si>
  <si>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</si>
  <si>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</si>
  <si>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</si>
  <si>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</si>
  <si>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</si>
  <si>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</si>
  <si>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</si>
  <si>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</si>
  <si>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</si>
  <si>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</si>
  <si>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</si>
  <si>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</si>
  <si>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</si>
  <si>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</si>
  <si>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</si>
  <si>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</si>
  <si>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</si>
  <si>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</si>
  <si>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</si>
  <si>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</si>
  <si>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</si>
  <si>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</si>
  <si>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</si>
  <si>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</si>
  <si>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</si>
  <si>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</si>
  <si>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</si>
  <si>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</si>
  <si>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</si>
  <si>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</si>
  <si>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</si>
  <si>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</si>
  <si>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</si>
  <si>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</si>
  <si>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</si>
  <si>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</si>
  <si>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</si>
  <si>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</si>
  <si>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</si>
  <si>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</si>
  <si>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</si>
  <si>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</si>
  <si>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</si>
  <si>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</si>
  <si>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</si>
  <si>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</si>
  <si>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</si>
  <si>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</si>
  <si>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</si>
  <si>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</si>
  <si>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</si>
  <si>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</si>
  <si>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</si>
  <si>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</si>
  <si>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</si>
  <si>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</si>
  <si>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</si>
  <si>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</si>
  <si>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</si>
  <si>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</si>
  <si>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</si>
  <si>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</si>
  <si>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</si>
  <si>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</si>
  <si>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</si>
  <si>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</si>
  <si>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</si>
  <si>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</si>
  <si>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</si>
  <si>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</si>
  <si>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</si>
  <si>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</si>
  <si>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</si>
  <si>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</si>
  <si>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</si>
  <si>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</si>
  <si>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</si>
  <si>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</si>
  <si>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</si>
  <si>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</si>
  <si>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</si>
  <si>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</si>
  <si>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</si>
  <si>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</si>
  <si>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</si>
  <si>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</si>
  <si>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</si>
  <si>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</si>
  <si>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</si>
  <si>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</si>
  <si>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</si>
  <si>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</si>
  <si>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</si>
  <si>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</si>
  <si>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</si>
  <si>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</si>
  <si>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</si>
  <si>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</si>
  <si>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</si>
  <si>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</si>
  <si>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</si>
  <si>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</si>
  <si>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</si>
  <si>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</si>
  <si>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</si>
  <si>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</si>
  <si>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</si>
  <si>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</si>
  <si>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</si>
  <si>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</si>
  <si>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</si>
  <si>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</si>
  <si>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</si>
  <si>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</si>
  <si>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</si>
  <si>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</si>
  <si>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</si>
  <si>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</si>
  <si>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</si>
  <si>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</si>
  <si>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</si>
  <si>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</si>
  <si>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</si>
  <si>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</si>
  <si>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</si>
  <si>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</si>
  <si>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</si>
  <si>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</si>
  <si>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</si>
  <si>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</si>
  <si>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</si>
  <si>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</si>
  <si>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</si>
  <si>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</si>
  <si>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</si>
  <si>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</si>
  <si>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</si>
  <si>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</si>
  <si>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</si>
  <si>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</si>
  <si>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</si>
  <si>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</si>
  <si>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</si>
  <si>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</si>
  <si>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</si>
  <si>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</si>
  <si>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</si>
  <si>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</si>
  <si>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</si>
  <si>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</si>
  <si>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</si>
  <si>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</si>
  <si>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</si>
  <si>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</si>
  <si>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</si>
  <si>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</si>
  <si>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</si>
  <si>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</si>
  <si>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</si>
  <si>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</si>
  <si>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</si>
  <si>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</si>
  <si>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</si>
  <si>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</si>
  <si>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</si>
  <si>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</si>
  <si>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</si>
  <si>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</si>
  <si>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</si>
  <si>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</si>
  <si>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</si>
  <si>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</si>
  <si>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</si>
  <si>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</si>
  <si>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</si>
  <si>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</si>
  <si>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</si>
  <si>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</si>
  <si>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</si>
  <si>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</si>
  <si>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</si>
  <si>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</si>
  <si>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</si>
  <si>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</si>
  <si>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</si>
  <si>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</si>
  <si>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</si>
  <si>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</si>
  <si>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</si>
  <si>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</si>
  <si>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</si>
  <si>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</si>
  <si>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</si>
  <si>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</si>
  <si>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</si>
  <si>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</si>
  <si>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</si>
  <si>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</si>
  <si>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</si>
  <si>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</si>
  <si>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</si>
  <si>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</si>
  <si>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</si>
  <si>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</si>
  <si>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</si>
  <si>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</si>
  <si>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</si>
  <si>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</si>
  <si>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</si>
  <si>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</si>
  <si>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</si>
  <si>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</si>
  <si>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</si>
  <si>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</si>
  <si>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</si>
  <si>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</si>
  <si>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</si>
  <si>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</si>
  <si>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</si>
  <si>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</si>
  <si>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</si>
  <si>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</si>
  <si>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</si>
  <si>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</si>
  <si>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</si>
  <si>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</si>
  <si>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</si>
  <si>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</si>
  <si>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</si>
  <si>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</si>
  <si>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</si>
  <si>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</si>
  <si>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</si>
  <si>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</si>
  <si>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</si>
  <si>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</si>
  <si>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</si>
  <si>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</si>
  <si>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</si>
  <si>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</si>
  <si>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</si>
  <si>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</si>
  <si>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</si>
  <si>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</si>
  <si>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</si>
  <si>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</si>
  <si>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</si>
  <si>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</si>
  <si>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</si>
  <si>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</si>
  <si>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</si>
  <si>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</si>
  <si>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</si>
  <si>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</si>
  <si>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</si>
  <si>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</si>
  <si>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</si>
  <si>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</si>
  <si>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</si>
  <si>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</si>
  <si>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</si>
  <si>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</si>
  <si>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</si>
  <si>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</si>
  <si>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</si>
  <si>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</si>
  <si>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</si>
  <si>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</si>
  <si>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</si>
  <si>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</si>
  <si>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</si>
  <si>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</si>
  <si>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</si>
  <si>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</si>
  <si>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</si>
  <si>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</si>
  <si>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</si>
  <si>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</si>
  <si>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</si>
  <si>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</si>
  <si>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</si>
  <si>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</si>
  <si>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</si>
  <si>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</si>
  <si>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</si>
  <si>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</si>
  <si>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</si>
  <si>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</si>
  <si>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</si>
  <si>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</si>
  <si>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</si>
  <si>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</si>
  <si>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</si>
  <si>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</si>
  <si>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</si>
  <si>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</si>
  <si>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</si>
  <si>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</si>
  <si>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</si>
  <si>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</si>
  <si>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</si>
  <si>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</si>
  <si>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</si>
  <si>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</si>
  <si>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</si>
  <si>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</si>
  <si>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</si>
  <si>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</si>
  <si>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</si>
  <si>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</si>
  <si>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</si>
  <si>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</si>
  <si>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</si>
  <si>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</si>
  <si>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</si>
  <si>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</si>
  <si>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</si>
  <si>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</si>
  <si>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</si>
  <si>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</si>
  <si>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</si>
  <si>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</si>
  <si>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</si>
  <si>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</si>
  <si>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</si>
  <si>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</si>
  <si>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</si>
  <si>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</si>
  <si>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</si>
  <si>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</si>
  <si>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</si>
  <si>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</si>
  <si>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</si>
  <si>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</si>
  <si>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</si>
  <si>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</si>
  <si>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</si>
  <si>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</si>
  <si>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</si>
  <si>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</si>
  <si>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</si>
  <si>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</si>
  <si>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</si>
  <si>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</si>
  <si>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</si>
  <si>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</si>
  <si>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</si>
  <si>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</si>
  <si>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</si>
  <si>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</si>
  <si>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</si>
  <si>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</si>
  <si>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</si>
  <si>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</si>
  <si>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</si>
  <si>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</si>
  <si>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</si>
  <si>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</si>
  <si>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</si>
  <si>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</si>
  <si>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</si>
  <si>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</si>
  <si>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</si>
  <si>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</si>
  <si>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</si>
  <si>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</si>
  <si>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</si>
  <si>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</si>
  <si>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</si>
  <si>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</si>
  <si>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</si>
  <si>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</si>
  <si>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</si>
  <si>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</si>
  <si>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</si>
  <si>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</si>
  <si>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</si>
  <si>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</si>
  <si>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</si>
  <si>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</si>
  <si>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</si>
  <si>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</si>
  <si>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</si>
  <si>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</si>
  <si>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</si>
  <si>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</si>
  <si>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</si>
  <si>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</si>
  <si>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</si>
  <si>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</si>
  <si>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</si>
  <si>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</si>
  <si>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</si>
  <si>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</si>
  <si>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</si>
  <si>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</si>
  <si>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</si>
  <si>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</si>
  <si>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</si>
  <si>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</si>
  <si>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</si>
  <si>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</si>
  <si>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</si>
  <si>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</si>
  <si>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</si>
  <si>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</si>
  <si>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</si>
  <si>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</si>
  <si>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</si>
  <si>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</si>
  <si>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</si>
  <si>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</si>
  <si>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</si>
  <si>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</si>
  <si>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</si>
  <si>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</si>
  <si>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</si>
  <si>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</si>
  <si>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</si>
  <si>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</si>
  <si>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</si>
  <si>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</si>
  <si>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</si>
  <si>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</si>
  <si>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</si>
  <si>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</si>
  <si>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</si>
  <si>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</si>
  <si>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</si>
  <si>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</si>
  <si>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</si>
  <si>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</si>
  <si>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</si>
  <si>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</si>
  <si>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</si>
  <si>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</si>
  <si>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</si>
  <si>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</si>
  <si>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</si>
  <si>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</si>
  <si>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</si>
  <si>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</si>
  <si>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</si>
  <si>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</si>
  <si>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</si>
  <si>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</si>
  <si>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</si>
  <si>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</si>
  <si>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</si>
  <si>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</si>
  <si>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</si>
  <si>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</si>
  <si>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</si>
  <si>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</si>
  <si>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</si>
  <si>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</si>
  <si>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</si>
  <si>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</si>
  <si>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</si>
  <si>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</si>
  <si>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</si>
  <si>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</si>
  <si>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</si>
  <si>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</si>
  <si>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</si>
  <si>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</si>
  <si>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</si>
  <si>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</si>
  <si>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</si>
  <si>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</si>
  <si>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</si>
  <si>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</si>
  <si>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</si>
  <si>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</si>
  <si>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</si>
  <si>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</si>
  <si>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</si>
  <si>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</si>
  <si>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</si>
  <si>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</si>
  <si>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</si>
  <si>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</si>
  <si>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</si>
  <si>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</si>
  <si>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</si>
  <si>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</si>
  <si>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</si>
  <si>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</si>
  <si>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</si>
  <si>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</si>
  <si>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</si>
  <si>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</si>
  <si>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</si>
  <si>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</si>
  <si>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</si>
  <si>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</si>
  <si>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</si>
  <si>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</si>
  <si>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</si>
  <si>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</si>
  <si>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</si>
  <si>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</si>
  <si>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</si>
  <si>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</si>
  <si>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</si>
  <si>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</si>
  <si>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</si>
  <si>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</si>
  <si>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</si>
  <si>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</si>
  <si>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</si>
  <si>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</si>
  <si>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</si>
  <si>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</si>
  <si>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</si>
  <si>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</si>
  <si>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</si>
  <si>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</si>
  <si>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</si>
  <si>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</si>
  <si>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</si>
  <si>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</si>
  <si>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</si>
  <si>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</si>
  <si>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</si>
  <si>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</si>
  <si>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</si>
  <si>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</si>
  <si>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</si>
  <si>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</si>
  <si>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</si>
  <si>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</si>
  <si>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</si>
  <si>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</si>
  <si>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</si>
  <si>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</si>
  <si>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</si>
  <si>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</si>
  <si>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</si>
  <si>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</si>
  <si>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</si>
  <si>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</si>
  <si>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</si>
  <si>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</si>
  <si>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</si>
  <si>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</si>
  <si>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</si>
  <si>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</si>
  <si>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</si>
  <si>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</si>
  <si>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</si>
  <si>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</si>
  <si>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</si>
  <si>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</si>
  <si>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</si>
  <si>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</si>
  <si>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</si>
  <si>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</si>
  <si>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</si>
  <si>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</si>
  <si>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</si>
  <si>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</si>
  <si>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</si>
  <si>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</si>
  <si>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</si>
  <si>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</si>
  <si>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</si>
  <si>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</si>
  <si>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</si>
  <si>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</si>
  <si>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</si>
  <si>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</si>
  <si>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</si>
  <si>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</si>
  <si>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</si>
  <si>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</si>
  <si>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</si>
  <si>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</si>
  <si>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</si>
  <si>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</si>
  <si>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</si>
  <si>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</si>
  <si>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</si>
  <si>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</si>
  <si>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</si>
  <si>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</si>
  <si>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</si>
  <si>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</si>
  <si>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</si>
  <si>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</si>
  <si>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</si>
  <si>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</si>
  <si>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</si>
  <si>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</si>
  <si>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</si>
  <si>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</si>
  <si>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</si>
  <si>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</si>
  <si>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</si>
  <si>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</si>
  <si>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</si>
  <si>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</si>
  <si>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</si>
  <si>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</si>
  <si>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</si>
  <si>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</si>
  <si>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</si>
  <si>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</si>
  <si>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</si>
  <si>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</si>
  <si>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</si>
  <si>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</si>
  <si>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</si>
  <si>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</si>
  <si>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</si>
  <si>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</si>
  <si>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</si>
  <si>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</si>
  <si>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</si>
  <si>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</si>
  <si>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</si>
  <si>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</si>
  <si>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</si>
  <si>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</si>
  <si>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</si>
  <si>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</si>
  <si>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</si>
  <si>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</si>
  <si>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</si>
  <si>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</si>
  <si>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</si>
  <si>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</si>
  <si>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</si>
  <si>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</si>
  <si>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</si>
  <si>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</si>
  <si>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</si>
  <si>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</si>
  <si>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</si>
  <si>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</si>
  <si>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</si>
  <si>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</si>
  <si>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</si>
  <si>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</si>
  <si>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</si>
  <si>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</si>
  <si>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</si>
  <si>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</si>
  <si>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</si>
  <si>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</si>
  <si>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</si>
  <si>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</si>
  <si>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</si>
  <si>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</si>
  <si>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</si>
  <si>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</si>
  <si>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</si>
  <si>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</si>
  <si>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</si>
  <si>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</si>
  <si>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</si>
  <si>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</si>
  <si>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</si>
  <si>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</si>
  <si>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</si>
  <si>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</si>
  <si>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</si>
  <si>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</si>
  <si>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</si>
  <si>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</si>
  <si>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</si>
  <si>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</si>
  <si>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</si>
  <si>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</si>
  <si>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</si>
  <si>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</si>
  <si>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</si>
  <si>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</si>
  <si>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</si>
  <si>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</si>
  <si>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</si>
  <si>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</si>
  <si>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</si>
  <si>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</si>
  <si>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</si>
  <si>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</si>
  <si>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</si>
  <si>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</si>
  <si>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</si>
  <si>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</si>
  <si>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</si>
  <si>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</si>
  <si>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</si>
  <si>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</si>
  <si>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</si>
  <si>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</si>
  <si>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</si>
  <si>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</si>
  <si>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</si>
  <si>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</si>
  <si>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</si>
  <si>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</si>
  <si>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</si>
  <si>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</si>
  <si>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</si>
  <si>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</si>
  <si>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</si>
  <si>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</si>
  <si>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</si>
  <si>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</si>
  <si>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</si>
  <si>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</si>
  <si>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</si>
  <si>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</si>
  <si>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</si>
  <si>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</si>
  <si>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</si>
  <si>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</si>
  <si>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</si>
  <si>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</si>
  <si>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</si>
  <si>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</si>
  <si>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</si>
  <si>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</si>
  <si>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</si>
  <si>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</si>
  <si>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</si>
  <si>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</si>
  <si>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</si>
  <si>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</si>
  <si>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</si>
  <si>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</si>
  <si>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</si>
  <si>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</si>
  <si>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</si>
  <si>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</si>
  <si>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</si>
  <si>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</si>
  <si>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</si>
  <si>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</si>
  <si>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</si>
  <si>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</si>
  <si>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</si>
  <si>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</si>
  <si>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</si>
  <si>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</si>
  <si>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</si>
  <si>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</si>
  <si>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</si>
  <si>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</si>
  <si>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</si>
  <si>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</si>
  <si>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</si>
  <si>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</si>
  <si>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</si>
  <si>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</si>
  <si>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</si>
  <si>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</si>
  <si>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</si>
  <si>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</si>
  <si>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</si>
  <si>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</si>
  <si>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</si>
  <si>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</si>
  <si>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</si>
  <si>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</si>
  <si>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</si>
  <si>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</si>
  <si>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</si>
  <si>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</si>
  <si>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</si>
  <si>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</si>
  <si>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</si>
  <si>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</si>
  <si>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</si>
  <si>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</si>
  <si>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</si>
  <si>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</si>
  <si>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</si>
  <si>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</si>
  <si>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</si>
  <si>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</si>
  <si>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</si>
  <si>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</si>
  <si>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</si>
  <si>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</si>
  <si>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</si>
  <si>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</si>
  <si>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</si>
  <si>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</si>
  <si>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</si>
  <si>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</si>
  <si>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</si>
  <si>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</si>
  <si>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</si>
  <si>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</si>
  <si>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</si>
  <si>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</si>
  <si>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</si>
  <si>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</si>
  <si>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</si>
  <si>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</si>
  <si>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</si>
  <si>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</si>
  <si>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</si>
  <si>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</si>
  <si>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</si>
  <si>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</si>
  <si>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</si>
  <si>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</si>
  <si>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</si>
  <si>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</si>
  <si>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</si>
  <si>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</si>
  <si>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</si>
  <si>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</si>
  <si>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</si>
  <si>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</si>
  <si>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</si>
  <si>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</si>
  <si>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</si>
  <si>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</si>
  <si>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</si>
  <si>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</si>
  <si>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</si>
  <si>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</si>
  <si>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</si>
  <si>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</si>
  <si>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</si>
  <si>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</si>
  <si>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</si>
  <si>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</si>
  <si>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</si>
  <si>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</si>
  <si>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</si>
  <si>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</si>
  <si>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</si>
  <si>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</si>
  <si>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</si>
  <si>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</si>
  <si>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</si>
  <si>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</si>
  <si>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</si>
  <si>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</si>
  <si>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</si>
  <si>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</si>
  <si>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</si>
  <si>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</si>
  <si>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</si>
  <si>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</si>
  <si>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</si>
  <si>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</si>
  <si>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</si>
  <si>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</si>
  <si>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</si>
  <si>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</si>
  <si>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</si>
  <si>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</si>
  <si>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</si>
  <si>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</si>
  <si>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</si>
  <si>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</si>
  <si>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</si>
  <si>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</si>
  <si>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</si>
  <si>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</si>
  <si>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</si>
  <si>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</si>
  <si>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</si>
  <si>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</si>
  <si>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</si>
  <si>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</si>
  <si>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</si>
  <si>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</si>
  <si>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</si>
  <si>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</si>
  <si>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</si>
  <si>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</si>
  <si>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</si>
  <si>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</si>
  <si>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</si>
  <si>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</si>
  <si>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</si>
  <si>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</si>
  <si>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</si>
  <si>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</si>
  <si>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</si>
  <si>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</si>
  <si>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</si>
  <si>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</si>
  <si>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</si>
  <si>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</si>
  <si>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</si>
  <si>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</si>
  <si>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</si>
  <si>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</si>
  <si>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</si>
  <si>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</si>
  <si>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</si>
  <si>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</si>
  <si>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</si>
  <si>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</si>
  <si>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</si>
  <si>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</si>
  <si>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</si>
  <si>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</si>
  <si>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</si>
  <si>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</si>
  <si>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</si>
  <si>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</si>
  <si>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</si>
  <si>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</si>
  <si>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</si>
  <si>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</si>
  <si>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</si>
  <si>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</si>
  <si>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</si>
  <si>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</si>
  <si>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</si>
  <si>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</si>
  <si>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</si>
  <si>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</si>
  <si>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</si>
  <si>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</si>
  <si>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</si>
  <si>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</si>
  <si>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</si>
  <si>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</si>
  <si>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</si>
  <si>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</si>
  <si>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</si>
  <si>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</si>
  <si>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</si>
  <si>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</si>
  <si>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</si>
  <si>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</si>
  <si>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</si>
  <si>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</si>
  <si>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</si>
  <si>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</si>
  <si>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</si>
  <si>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</si>
  <si>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</si>
  <si>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</si>
  <si>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</si>
  <si>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</si>
  <si>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</si>
  <si>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</si>
  <si>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</si>
  <si>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</si>
  <si>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</si>
  <si>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</si>
  <si>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</si>
  <si>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</si>
  <si>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</si>
  <si>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</si>
  <si>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</si>
  <si>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</si>
  <si>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</si>
  <si>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</si>
  <si>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</si>
  <si>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</si>
  <si>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</si>
  <si>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</si>
  <si>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</si>
  <si>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</si>
  <si>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</si>
  <si>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</si>
  <si>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</si>
  <si>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</si>
  <si>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</si>
  <si>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</si>
  <si>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</si>
  <si>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</si>
  <si>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</si>
  <si>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</si>
  <si>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</si>
  <si>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</si>
  <si>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</si>
  <si>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</si>
  <si>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</si>
  <si>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</si>
  <si>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</si>
  <si>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</si>
  <si>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</si>
  <si>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</si>
  <si>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</si>
  <si>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</si>
  <si>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</si>
  <si>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</si>
  <si>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</si>
  <si>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</si>
  <si>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</si>
  <si>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</si>
  <si>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</si>
  <si>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</si>
  <si>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</si>
  <si>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</si>
  <si>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</si>
  <si>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</si>
  <si>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</si>
  <si>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</si>
  <si>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</si>
  <si>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</si>
  <si>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</si>
  <si>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</si>
  <si>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</si>
  <si>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</si>
  <si>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</si>
  <si>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</si>
  <si>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</si>
  <si>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</si>
  <si>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</si>
  <si>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</si>
  <si>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</si>
  <si>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</si>
  <si>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</si>
  <si>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</si>
  <si>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</si>
  <si>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</si>
  <si>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</si>
  <si>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</si>
  <si>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</si>
  <si>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</si>
  <si>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</si>
  <si>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</si>
  <si>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</si>
  <si>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</si>
  <si>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</si>
  <si>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</si>
  <si>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</si>
  <si>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</si>
  <si>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</si>
  <si>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</si>
  <si>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</si>
  <si>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</si>
  <si>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</si>
  <si>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</si>
  <si>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</si>
  <si>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</si>
  <si>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</si>
  <si>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</si>
  <si>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</si>
  <si>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</si>
  <si>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</si>
  <si>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</si>
  <si>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</si>
  <si>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</si>
  <si>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</si>
  <si>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</si>
  <si>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</si>
  <si>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</si>
  <si>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</si>
  <si>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</si>
  <si>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</si>
  <si>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</si>
  <si>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</si>
  <si>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</si>
  <si>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</si>
  <si>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</si>
  <si>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</si>
  <si>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</si>
  <si>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</si>
  <si>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</si>
  <si>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</si>
  <si>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</si>
  <si>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</si>
  <si>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</si>
  <si>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</si>
  <si>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</si>
  <si>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</si>
  <si>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</si>
  <si>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</si>
  <si>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</si>
  <si>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</si>
  <si>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</si>
  <si>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</si>
  <si>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</si>
  <si>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</si>
  <si>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</si>
  <si>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</si>
  <si>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</si>
  <si>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</si>
  <si>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</si>
  <si>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</si>
  <si>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</si>
  <si>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</si>
  <si>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</si>
  <si>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</si>
  <si>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</si>
  <si>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</si>
  <si>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</si>
  <si>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</si>
  <si>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</si>
  <si>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</si>
  <si>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</si>
  <si>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</si>
  <si>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</si>
  <si>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</si>
  <si>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</si>
  <si>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</si>
  <si>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</si>
  <si>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</si>
  <si>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</si>
  <si>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</si>
  <si>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</si>
  <si>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</si>
  <si>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</si>
  <si>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</si>
  <si>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</si>
  <si>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</si>
  <si>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</si>
  <si>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</si>
  <si>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</si>
  <si>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</si>
  <si>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</si>
  <si>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</si>
  <si>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</si>
  <si>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</si>
  <si>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</si>
  <si>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</si>
  <si>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</si>
  <si>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</si>
  <si>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</si>
  <si>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</si>
  <si>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</si>
  <si>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</si>
  <si>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</si>
  <si>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</si>
  <si>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</si>
  <si>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</si>
  <si>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</si>
  <si>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</si>
  <si>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</si>
  <si>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</si>
  <si>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</si>
  <si>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</si>
  <si>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</si>
  <si>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</si>
  <si>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</si>
  <si>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</si>
  <si>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</si>
  <si>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</si>
  <si>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</si>
  <si>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</si>
  <si>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</si>
  <si>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</si>
  <si>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</si>
  <si>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</si>
  <si>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</si>
  <si>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</si>
  <si>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</si>
  <si>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</si>
  <si>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</si>
  <si>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</si>
  <si>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</si>
  <si>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</si>
  <si>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</si>
  <si>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</si>
  <si>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</si>
  <si>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</si>
  <si>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</si>
  <si>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</si>
  <si>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</si>
  <si>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</si>
  <si>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</si>
  <si>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</si>
  <si>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</si>
  <si>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</si>
  <si>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</si>
  <si>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</si>
  <si>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</si>
  <si>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</si>
  <si>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</si>
  <si>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</si>
  <si>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</si>
  <si>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</si>
  <si>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</si>
  <si>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</si>
  <si>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</si>
  <si>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</si>
  <si>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</si>
  <si>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</si>
  <si>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</si>
  <si>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</si>
  <si>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</si>
  <si>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</si>
  <si>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</si>
  <si>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</si>
  <si>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</si>
  <si>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</si>
  <si>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</si>
  <si>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</si>
  <si>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</si>
  <si>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</si>
  <si>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</si>
  <si>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</si>
  <si>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</si>
  <si>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</si>
  <si>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</si>
  <si>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</si>
  <si>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</si>
  <si>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</si>
  <si>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</si>
  <si>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</si>
  <si>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</si>
  <si>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</si>
  <si>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</si>
  <si>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</si>
  <si>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</si>
  <si>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</si>
  <si>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</si>
  <si>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</si>
  <si>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</si>
  <si>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</si>
  <si>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</si>
  <si>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</si>
  <si>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</si>
  <si>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</si>
  <si>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</si>
  <si>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</si>
  <si>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</si>
  <si>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</si>
  <si>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</si>
  <si>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</si>
  <si>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</si>
  <si>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</si>
  <si>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</si>
  <si>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</si>
  <si>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</si>
  <si>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</si>
  <si>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</si>
  <si>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</si>
  <si>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</si>
  <si>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</si>
  <si>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</si>
  <si>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</si>
  <si>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</si>
  <si>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</si>
  <si>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</si>
  <si>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</si>
  <si>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</si>
  <si>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</si>
  <si>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</si>
  <si>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</si>
  <si>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</si>
  <si>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</si>
  <si>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</si>
  <si>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</si>
  <si>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</si>
  <si>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</si>
  <si>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</si>
  <si>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</si>
  <si>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</si>
  <si>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</si>
  <si>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</si>
  <si>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</si>
  <si>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</si>
  <si>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</si>
  <si>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</si>
  <si>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</si>
  <si>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</si>
  <si>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</si>
  <si>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</si>
  <si>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</si>
  <si>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</si>
  <si>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</si>
  <si>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</si>
  <si>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</si>
  <si>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</si>
  <si>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</si>
  <si>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</si>
  <si>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</si>
  <si>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</si>
  <si>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</si>
  <si>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</si>
  <si>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</si>
  <si>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</si>
  <si>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</si>
  <si>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</si>
  <si>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</si>
  <si>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</si>
  <si>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</si>
  <si>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</si>
  <si>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</si>
  <si>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</si>
  <si>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</si>
  <si>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</si>
  <si>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</si>
  <si>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</si>
  <si>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</si>
  <si>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</si>
  <si>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</si>
  <si>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</si>
  <si>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</si>
  <si>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</si>
  <si>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</si>
  <si>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</si>
  <si>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</si>
  <si>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</si>
  <si>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</si>
  <si>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</si>
  <si>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</si>
  <si>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</si>
  <si>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</si>
  <si>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</si>
  <si>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</si>
  <si>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</si>
  <si>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</si>
  <si>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</si>
  <si>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</si>
  <si>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</si>
  <si>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</si>
  <si>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</si>
  <si>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</si>
  <si>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</si>
  <si>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</si>
  <si>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</si>
  <si>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</si>
  <si>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</si>
  <si>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</si>
  <si>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</si>
  <si>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</si>
  <si>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</si>
  <si>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</si>
  <si>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</si>
  <si>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</si>
  <si>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</si>
  <si>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</si>
  <si>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</si>
  <si>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</si>
  <si>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</si>
  <si>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</si>
  <si>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</si>
  <si>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</si>
  <si>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</si>
  <si>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</si>
  <si>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</si>
  <si>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</si>
  <si>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</si>
  <si>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</si>
  <si>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</si>
  <si>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</si>
  <si>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</si>
  <si>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</si>
  <si>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</si>
  <si>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</si>
  <si>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</si>
  <si>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</si>
  <si>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</si>
  <si>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</si>
  <si>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</si>
  <si>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</si>
  <si>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</si>
  <si>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</si>
  <si>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</si>
  <si>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</si>
  <si>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</si>
  <si>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</si>
  <si>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</si>
  <si>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</si>
  <si>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</si>
  <si>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</si>
  <si>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</si>
  <si>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</si>
  <si>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</si>
  <si>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</si>
  <si>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</si>
  <si>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</si>
  <si>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</si>
  <si>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</si>
  <si>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</si>
  <si>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</si>
  <si>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</si>
  <si>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</si>
  <si>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</si>
  <si>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</si>
  <si>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</si>
  <si>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</si>
  <si>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</si>
  <si>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</si>
  <si>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</si>
  <si>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</si>
  <si>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</si>
  <si>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</si>
  <si>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</si>
  <si>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</si>
  <si>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</si>
  <si>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</si>
  <si>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</si>
  <si>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</si>
  <si>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</si>
  <si>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</si>
  <si>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</si>
  <si>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</si>
  <si>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</si>
  <si>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</si>
  <si>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</si>
  <si>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</si>
  <si>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</si>
  <si>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</si>
  <si>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</si>
  <si>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</si>
  <si>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</si>
  <si>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</si>
  <si>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</si>
  <si>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</si>
  <si>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</si>
  <si>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</si>
  <si>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</si>
  <si>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</si>
  <si>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</si>
  <si>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</si>
  <si>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</si>
  <si>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</si>
  <si>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</si>
  <si>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</si>
  <si>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</si>
  <si>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</si>
  <si>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</si>
  <si>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</si>
  <si>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</si>
  <si>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</si>
  <si>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</si>
  <si>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</si>
  <si>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</si>
  <si>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</si>
  <si>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</si>
  <si>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</si>
  <si>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</si>
  <si>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</si>
  <si>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</si>
  <si>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</si>
  <si>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</si>
  <si>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</si>
  <si>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</si>
  <si>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</si>
  <si>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</si>
  <si>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</si>
  <si>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</si>
  <si>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</si>
  <si>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</si>
  <si>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</si>
  <si>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</si>
  <si>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</si>
  <si>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</si>
  <si>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</si>
  <si>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</si>
  <si>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</si>
  <si>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</si>
  <si>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</si>
  <si>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</si>
  <si>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</si>
  <si>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</si>
  <si>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</si>
  <si>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</si>
  <si>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</si>
  <si>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</si>
  <si>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</si>
  <si>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</si>
  <si>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</si>
  <si>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</si>
  <si>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</si>
  <si>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</si>
  <si>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</si>
  <si>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</si>
  <si>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</si>
  <si>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</si>
  <si>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</si>
  <si>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</si>
  <si>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</si>
  <si>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</si>
  <si>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</si>
  <si>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</si>
  <si>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</si>
  <si>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</si>
  <si>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</si>
  <si>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</si>
  <si>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</si>
  <si>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</si>
  <si>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</si>
  <si>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</si>
  <si>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</si>
  <si>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</si>
  <si>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</si>
  <si>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</si>
  <si>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</si>
  <si>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</si>
  <si>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</si>
  <si>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</si>
  <si>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</si>
  <si>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</si>
  <si>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</si>
  <si>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</si>
  <si>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</si>
  <si>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</si>
  <si>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</si>
  <si>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</si>
  <si>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</si>
  <si>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</si>
  <si>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</si>
  <si>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</si>
  <si>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</si>
  <si>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</si>
  <si>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</si>
  <si>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</si>
  <si>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</si>
  <si>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</si>
  <si>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</si>
  <si>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</si>
  <si>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</si>
  <si>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</si>
  <si>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</si>
  <si>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</si>
  <si>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</si>
  <si>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</si>
  <si>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</si>
  <si>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</si>
  <si>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</si>
  <si>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</si>
  <si>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</si>
  <si>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</si>
  <si>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</si>
  <si>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</si>
  <si>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</si>
  <si>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</si>
  <si>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</si>
  <si>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</si>
  <si>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</si>
  <si>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</si>
  <si>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</si>
  <si>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</si>
  <si>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</si>
  <si>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</si>
  <si>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</si>
  <si>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</si>
  <si>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</si>
  <si>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</si>
  <si>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</si>
  <si>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</si>
  <si>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</si>
  <si>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</si>
  <si>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</si>
  <si>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</si>
  <si>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</si>
  <si>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</si>
  <si>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</si>
  <si>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</si>
  <si>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</si>
  <si>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</si>
  <si>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</si>
  <si>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</si>
  <si>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</si>
  <si>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</si>
  <si>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</si>
  <si>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</si>
  <si>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</si>
  <si>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</si>
  <si>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</si>
  <si>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</si>
  <si>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</si>
  <si>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</si>
  <si>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</si>
  <si>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</si>
  <si>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</si>
  <si>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</si>
  <si>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</si>
  <si>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</si>
  <si>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</si>
  <si>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</si>
  <si>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</si>
  <si>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</si>
  <si>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</si>
  <si>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</si>
  <si>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</si>
  <si>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</si>
  <si>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</si>
  <si>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</si>
  <si>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</si>
  <si>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</si>
  <si>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</si>
  <si>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</si>
  <si>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</si>
  <si>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</si>
  <si>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</si>
  <si>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</si>
  <si>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</si>
  <si>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</si>
  <si>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</si>
  <si>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</si>
  <si>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</si>
  <si>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</si>
  <si>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</si>
  <si>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</si>
  <si>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</si>
  <si>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</si>
  <si>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</si>
  <si>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</si>
  <si>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</si>
  <si>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</si>
  <si>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</si>
  <si>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</si>
  <si>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</si>
  <si>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</si>
  <si>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</si>
  <si>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</si>
  <si>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</si>
  <si>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</si>
  <si>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</si>
  <si>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</si>
  <si>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</si>
  <si>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</si>
  <si>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</si>
  <si>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</si>
  <si>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</si>
  <si>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</si>
  <si>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</si>
  <si>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</si>
  <si>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</si>
  <si>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</si>
  <si>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</si>
  <si>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</si>
  <si>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</si>
  <si>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</si>
  <si>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</si>
  <si>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</si>
  <si>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</si>
  <si>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</si>
  <si>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</si>
  <si>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</si>
  <si>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</si>
  <si>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</si>
  <si>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</si>
  <si>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</si>
  <si>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</si>
  <si>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</si>
  <si>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</si>
  <si>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</si>
  <si>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</si>
  <si>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</si>
  <si>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</si>
  <si>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</si>
  <si>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</si>
  <si>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</si>
  <si>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</si>
  <si>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</si>
  <si>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</si>
  <si>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</si>
  <si>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</si>
  <si>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</si>
  <si>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</si>
  <si>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</si>
  <si>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</si>
  <si>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</si>
  <si>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</si>
  <si>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</si>
  <si>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</si>
  <si>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</si>
  <si>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</si>
  <si>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</si>
  <si>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</si>
  <si>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</si>
  <si>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</si>
  <si>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</si>
  <si>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</si>
  <si>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</si>
  <si>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</si>
  <si>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</si>
  <si>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</si>
  <si>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</si>
  <si>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</si>
  <si>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</si>
  <si>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</si>
  <si>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</si>
  <si>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</si>
  <si>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</si>
  <si>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</si>
  <si>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</si>
  <si>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</si>
  <si>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</si>
  <si>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</si>
  <si>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</si>
  <si>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</si>
  <si>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</si>
  <si>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</si>
  <si>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</si>
  <si>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</si>
  <si>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</si>
  <si>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</si>
  <si>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</si>
  <si>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</si>
  <si>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</si>
  <si>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</si>
  <si>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</si>
  <si>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</si>
  <si>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</si>
  <si>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</si>
  <si>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</si>
  <si>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</si>
  <si>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</si>
  <si>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</si>
  <si>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</si>
  <si>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</si>
  <si>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</si>
  <si>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</si>
  <si>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</si>
  <si>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</si>
  <si>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</si>
  <si>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</si>
  <si>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</si>
  <si>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</si>
  <si>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</si>
  <si>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</si>
  <si>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</si>
  <si>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</si>
  <si>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</si>
  <si>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</si>
  <si>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</si>
  <si>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</si>
  <si>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</si>
  <si>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</si>
  <si>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</si>
  <si>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</si>
  <si>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</si>
  <si>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</si>
  <si>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</si>
  <si>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</si>
  <si>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</si>
  <si>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</si>
  <si>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</si>
  <si>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</si>
  <si>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</si>
  <si>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</si>
  <si>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</si>
  <si>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</si>
  <si>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</si>
  <si>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</si>
  <si>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</si>
  <si>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</si>
  <si>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</si>
  <si>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</si>
  <si>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</si>
  <si>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</si>
  <si>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</si>
  <si>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</si>
  <si>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</si>
  <si>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</si>
  <si>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</si>
  <si>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</si>
  <si>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</si>
  <si>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</si>
  <si>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</si>
  <si>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</si>
  <si>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</si>
  <si>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</si>
  <si>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</si>
  <si>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</si>
  <si>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</si>
  <si>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</si>
  <si>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</si>
  <si>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</si>
  <si>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</si>
  <si>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</si>
  <si>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</si>
  <si>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</si>
  <si>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</si>
  <si>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</si>
  <si>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</si>
  <si>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</si>
  <si>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</si>
  <si>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</si>
  <si>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</si>
  <si>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</si>
  <si>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</si>
  <si>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</si>
  <si>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</si>
  <si>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</si>
  <si>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</si>
  <si>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</si>
  <si>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</si>
  <si>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</si>
  <si>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</si>
  <si>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</si>
  <si>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</si>
  <si>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</si>
  <si>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</si>
  <si>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</si>
  <si>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</si>
  <si>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</si>
  <si>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</si>
  <si>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</si>
  <si>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</si>
  <si>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</si>
  <si>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</si>
  <si>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</si>
  <si>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</si>
  <si>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</si>
  <si>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</si>
  <si>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</si>
  <si>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</si>
  <si>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</si>
  <si>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</si>
  <si>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</si>
  <si>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</si>
  <si>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</si>
  <si>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</si>
  <si>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</si>
  <si>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</si>
  <si>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</si>
  <si>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</si>
  <si>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</si>
  <si>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</si>
  <si>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</si>
  <si>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</si>
  <si>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</si>
  <si>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</si>
  <si>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</si>
  <si>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</si>
  <si>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</si>
  <si>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</si>
  <si>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</si>
  <si>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</si>
  <si>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</si>
  <si>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</si>
  <si>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</si>
  <si>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</si>
  <si>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</si>
  <si>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</si>
  <si>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</si>
  <si>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</si>
  <si>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</si>
  <si>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</si>
  <si>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</si>
  <si>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</si>
  <si>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</si>
  <si>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</si>
  <si>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</si>
  <si>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</si>
  <si>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</si>
  <si>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</si>
  <si>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</si>
  <si>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</si>
  <si>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</si>
  <si>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</si>
  <si>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</si>
  <si>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</si>
  <si>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</si>
  <si>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</si>
  <si>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</si>
  <si>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</si>
  <si>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</si>
  <si>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</si>
  <si>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</si>
  <si>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</si>
  <si>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</si>
  <si>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</si>
  <si>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</si>
  <si>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</si>
  <si>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</si>
  <si>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</si>
  <si>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</si>
  <si>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</si>
  <si>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</si>
  <si>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</si>
  <si>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</si>
  <si>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</si>
  <si>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</si>
  <si>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</si>
  <si>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</si>
  <si>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</si>
  <si>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</si>
  <si>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</si>
  <si>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</si>
  <si>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</si>
  <si>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</si>
  <si>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</si>
  <si>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</si>
  <si>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</si>
  <si>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</si>
  <si>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</si>
  <si>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</si>
  <si>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</si>
  <si>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</si>
  <si>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</si>
  <si>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</si>
  <si>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</si>
  <si>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</si>
  <si>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</si>
  <si>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</si>
  <si>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</si>
  <si>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</si>
  <si>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</si>
  <si>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</si>
  <si>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</si>
  <si>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</si>
  <si>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</si>
  <si>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</si>
  <si>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</si>
  <si>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</si>
  <si>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</si>
  <si>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</si>
  <si>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</si>
  <si>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</si>
  <si>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</si>
  <si>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</si>
  <si>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</si>
  <si>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</si>
  <si>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</si>
  <si>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</si>
  <si>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</si>
  <si>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</si>
  <si>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</si>
  <si>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</si>
  <si>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</si>
  <si>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</si>
  <si>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</si>
  <si>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</si>
  <si>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</si>
  <si>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</si>
  <si>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</si>
  <si>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</si>
  <si>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</si>
  <si>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</si>
  <si>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</si>
  <si>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</si>
  <si>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</si>
  <si>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</si>
  <si>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</si>
  <si>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</si>
  <si>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</si>
  <si>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</si>
  <si>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</si>
  <si>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</si>
  <si>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</si>
  <si>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</si>
  <si>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</si>
  <si>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</si>
  <si>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</si>
  <si>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</si>
  <si>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</si>
  <si>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</si>
  <si>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</si>
  <si>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</si>
  <si>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</si>
  <si>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</si>
  <si>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</si>
  <si>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</si>
  <si>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</si>
  <si>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</si>
  <si>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</si>
  <si>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</si>
  <si>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</si>
  <si>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</si>
  <si>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</si>
  <si>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</si>
  <si>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</si>
  <si>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</si>
  <si>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</si>
  <si>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</si>
  <si>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</si>
  <si>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</si>
  <si>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</si>
  <si>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</si>
  <si>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</si>
  <si>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</si>
  <si>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</si>
  <si>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</si>
  <si>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</si>
  <si>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</si>
  <si>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</si>
  <si>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</si>
  <si>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</si>
  <si>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</si>
  <si>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</si>
  <si>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</si>
  <si>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</si>
  <si>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</si>
  <si>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</si>
  <si>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</si>
  <si>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</si>
  <si>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</si>
  <si>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</si>
  <si>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</si>
  <si>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</si>
  <si>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</si>
  <si>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</si>
  <si>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</si>
  <si>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</si>
  <si>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</si>
  <si>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</si>
  <si>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</si>
  <si>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</si>
  <si>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</si>
  <si>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</si>
  <si>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</si>
  <si>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</si>
  <si>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</si>
  <si>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</si>
  <si>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</si>
  <si>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</si>
  <si>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</si>
  <si>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</si>
  <si>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</si>
  <si>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</si>
  <si>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</si>
  <si>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</si>
  <si>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</si>
  <si>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</si>
  <si>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</si>
  <si>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</si>
  <si>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</si>
  <si>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</si>
  <si>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</si>
  <si>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</si>
  <si>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</si>
  <si>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</si>
  <si>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</si>
  <si>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</si>
  <si>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</si>
  <si>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</si>
  <si>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</si>
  <si>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</si>
  <si>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</si>
  <si>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</si>
  <si>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</si>
  <si>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</si>
  <si>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</si>
  <si>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</si>
  <si>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</si>
  <si>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</si>
  <si>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</si>
  <si>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</si>
  <si>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</si>
  <si>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</si>
  <si>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</si>
  <si>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</si>
  <si>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</si>
  <si>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</si>
  <si>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</si>
  <si>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</si>
  <si>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</si>
  <si>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</si>
  <si>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</si>
  <si>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</si>
  <si>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</si>
  <si>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</si>
  <si>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</si>
  <si>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</si>
  <si>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</si>
  <si>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</si>
  <si>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</si>
  <si>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</si>
  <si>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</si>
  <si>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</si>
  <si>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</si>
  <si>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</si>
  <si>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</si>
  <si>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</si>
  <si>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</si>
  <si>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</si>
  <si>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</si>
  <si>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</si>
  <si>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</si>
  <si>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</si>
  <si>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</si>
  <si>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</si>
  <si>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</si>
  <si>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</si>
  <si>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</si>
  <si>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</si>
  <si>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</si>
  <si>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</si>
  <si>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</si>
  <si>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</si>
  <si>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</si>
  <si>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</si>
  <si>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</si>
  <si>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</si>
  <si>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</si>
  <si>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</si>
  <si>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</si>
  <si>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</si>
  <si>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</si>
  <si>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</si>
  <si>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</si>
  <si>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</si>
  <si>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</si>
  <si>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</si>
  <si>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</si>
  <si>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</si>
  <si>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</si>
  <si>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</si>
  <si>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</si>
  <si>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</si>
  <si>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</si>
  <si>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</si>
  <si>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</si>
  <si>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</si>
  <si>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</si>
  <si>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</si>
  <si>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</si>
  <si>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</si>
  <si>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</si>
  <si>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</si>
  <si>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</si>
  <si>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</si>
  <si>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</si>
  <si>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</si>
  <si>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</si>
  <si>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</si>
  <si>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</si>
  <si>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</si>
  <si>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</si>
  <si>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</si>
  <si>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</si>
  <si>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</si>
  <si>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</si>
  <si>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</si>
  <si>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</si>
  <si>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</si>
  <si>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</si>
  <si>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</si>
  <si>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</si>
  <si>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</si>
  <si>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</si>
  <si>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</si>
  <si>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</si>
  <si>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</si>
  <si>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</si>
  <si>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</si>
  <si>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</si>
  <si>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</si>
  <si>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</si>
  <si>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</si>
  <si>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</si>
  <si>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</si>
  <si>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</si>
  <si>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</si>
  <si>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</si>
  <si>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</si>
  <si>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</si>
  <si>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</si>
  <si>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</si>
  <si>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</si>
  <si>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</si>
  <si>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</si>
  <si>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</si>
  <si>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</si>
  <si>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</si>
  <si>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</si>
  <si>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</si>
  <si>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</si>
  <si>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</si>
  <si>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</si>
  <si>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</si>
  <si>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</si>
  <si>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</si>
  <si>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</si>
  <si>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</si>
  <si>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</si>
  <si>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</si>
  <si>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</si>
  <si>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</si>
  <si>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</si>
  <si>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</si>
  <si>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</si>
  <si>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</si>
  <si>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</si>
  <si>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</si>
  <si>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</si>
  <si>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</si>
  <si>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</si>
  <si>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</si>
  <si>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</si>
  <si>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</si>
  <si>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</si>
  <si>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</si>
  <si>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</si>
  <si>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</si>
  <si>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</si>
  <si>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</si>
  <si>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</si>
  <si>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</si>
  <si>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</si>
  <si>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</si>
  <si>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</si>
  <si>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</si>
  <si>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</si>
  <si>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</si>
  <si>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</si>
  <si>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</si>
  <si>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</si>
  <si>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</si>
  <si>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</si>
  <si>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</si>
  <si>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</si>
  <si>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</si>
  <si>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</si>
  <si>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</si>
  <si>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</si>
  <si>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</si>
  <si>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</si>
  <si>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</si>
  <si>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</si>
  <si>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</si>
  <si>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</si>
  <si>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</si>
  <si>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</si>
  <si>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</si>
  <si>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</si>
  <si>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</si>
  <si>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</si>
  <si>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</si>
  <si>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</si>
  <si>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</si>
  <si>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</si>
  <si>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</si>
  <si>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</si>
  <si>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</si>
  <si>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</si>
  <si>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</si>
  <si>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</si>
  <si>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</si>
  <si>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</si>
  <si>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</si>
  <si>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</si>
  <si>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</si>
  <si>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</si>
  <si>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</si>
  <si>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</si>
  <si>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</si>
  <si>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</si>
  <si>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</si>
  <si>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</si>
  <si>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</si>
  <si>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</si>
  <si>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</si>
  <si>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</si>
  <si>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</si>
  <si>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</si>
  <si>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</si>
  <si>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</si>
  <si>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</si>
  <si>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</si>
  <si>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</si>
  <si>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</si>
  <si>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</si>
  <si>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</si>
  <si>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</si>
  <si>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</si>
  <si>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</si>
  <si>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</si>
  <si>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</si>
  <si>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</si>
  <si>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</si>
  <si>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</si>
  <si>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</si>
  <si>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</si>
  <si>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</si>
  <si>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</si>
  <si>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</si>
  <si>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</si>
  <si>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</si>
  <si>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</si>
  <si>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</si>
  <si>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</si>
  <si>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</si>
  <si>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</si>
  <si>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</si>
  <si>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</si>
  <si>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</si>
  <si>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</si>
  <si>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</si>
  <si>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</si>
  <si>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</si>
  <si>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</si>
  <si>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</si>
  <si>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</si>
  <si>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</si>
  <si>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</si>
  <si>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</si>
  <si>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</si>
  <si>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</si>
  <si>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</si>
  <si>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</si>
  <si>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</si>
  <si>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</si>
  <si>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</si>
  <si>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</si>
  <si>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</si>
  <si>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</si>
  <si>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</si>
  <si>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</si>
  <si>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</si>
  <si>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</si>
  <si>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</si>
  <si>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</si>
  <si>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</si>
  <si>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</si>
  <si>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</si>
  <si>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</si>
  <si>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</si>
  <si>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</si>
  <si>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</si>
  <si>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</si>
  <si>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</si>
  <si>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</si>
  <si>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</si>
  <si>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</si>
  <si>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</si>
  <si>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</si>
  <si>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</si>
  <si>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</si>
  <si>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</si>
  <si>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</si>
  <si>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</si>
  <si>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</si>
  <si>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</si>
  <si>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</si>
  <si>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</si>
  <si>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</si>
  <si>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</si>
  <si>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</si>
  <si>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</si>
  <si>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</si>
  <si>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</si>
  <si>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</si>
  <si>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</si>
  <si>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</si>
  <si>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</si>
  <si>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</si>
  <si>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</si>
  <si>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</si>
  <si>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</si>
  <si>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</si>
  <si>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</si>
  <si>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</si>
  <si>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</si>
  <si>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</si>
  <si>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</si>
  <si>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</si>
  <si>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</si>
  <si>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</si>
  <si>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</si>
  <si>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</si>
  <si>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</si>
  <si>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</si>
  <si>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</si>
  <si>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</si>
  <si>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</si>
  <si>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</si>
  <si>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</si>
  <si>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</si>
  <si>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</si>
  <si>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</si>
  <si>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</si>
  <si>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</si>
  <si>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</si>
  <si>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</si>
  <si>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</si>
  <si>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</si>
  <si>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</si>
  <si>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</si>
  <si>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</si>
  <si>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</si>
  <si>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</si>
  <si>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</si>
  <si>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</si>
  <si>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</si>
  <si>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</si>
  <si>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</si>
  <si>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</si>
  <si>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</si>
  <si>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</si>
  <si>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</si>
  <si>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</si>
  <si>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</si>
  <si>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</si>
  <si>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</si>
  <si>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</si>
  <si>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</si>
  <si>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</si>
  <si>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</si>
  <si>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</si>
  <si>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</si>
  <si>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</si>
  <si>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</si>
  <si>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</si>
  <si>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</si>
  <si>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</si>
  <si>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</si>
  <si>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</si>
  <si>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</si>
  <si>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</si>
  <si>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</si>
  <si>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</si>
  <si>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</si>
  <si>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</si>
  <si>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</si>
  <si>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</si>
  <si>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</si>
  <si>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</si>
  <si>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</si>
  <si>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</si>
  <si>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</si>
  <si>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</si>
  <si>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</si>
  <si>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</si>
  <si>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</si>
  <si>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</si>
  <si>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</si>
  <si>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</si>
  <si>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</si>
  <si>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</si>
  <si>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</si>
  <si>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</si>
  <si>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</si>
  <si>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</si>
  <si>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</si>
  <si>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</si>
  <si>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</si>
  <si>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</si>
  <si>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</si>
  <si>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</si>
  <si>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</si>
  <si>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</si>
  <si>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</si>
  <si>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</si>
  <si>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</si>
  <si>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</si>
  <si>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</si>
  <si>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</si>
  <si>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</si>
  <si>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</si>
  <si>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</si>
  <si>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</si>
  <si>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</si>
  <si>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</si>
  <si>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</si>
  <si>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</si>
  <si>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</si>
  <si>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</si>
  <si>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</si>
  <si>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</si>
  <si>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</si>
  <si>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</si>
  <si>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</si>
  <si>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</si>
  <si>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</si>
  <si>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</si>
  <si>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</si>
  <si>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</si>
  <si>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</si>
  <si>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</si>
  <si>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</si>
  <si>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</si>
  <si>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</si>
  <si>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</si>
  <si>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</si>
  <si>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</si>
  <si>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</si>
  <si>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</si>
  <si>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</si>
  <si>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</si>
  <si>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</si>
  <si>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</si>
  <si>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</si>
  <si>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</si>
  <si>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</si>
  <si>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</si>
  <si>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</si>
  <si>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</si>
  <si>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</si>
  <si>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</si>
  <si>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</si>
  <si>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</si>
  <si>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</si>
  <si>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</si>
  <si>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</si>
  <si>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</si>
  <si>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</si>
  <si>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</si>
  <si>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</si>
  <si>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</si>
  <si>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</si>
  <si>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</si>
  <si>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</si>
  <si>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</si>
  <si>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</si>
  <si>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</si>
  <si>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</si>
  <si>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</si>
  <si>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</si>
  <si>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</si>
  <si>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</si>
  <si>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</si>
  <si>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</si>
  <si>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</si>
  <si>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</si>
  <si>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</si>
  <si>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</si>
  <si>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</si>
  <si>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</si>
  <si>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</si>
  <si>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</si>
  <si>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</si>
  <si>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</si>
  <si>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</si>
  <si>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</si>
  <si>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</si>
  <si>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</si>
  <si>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</si>
  <si>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</si>
  <si>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</si>
  <si>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</si>
  <si>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</si>
  <si>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</si>
  <si>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</si>
  <si>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</si>
  <si>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</si>
  <si>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</si>
  <si>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</si>
  <si>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</si>
  <si>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</si>
  <si>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</si>
  <si>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</si>
  <si>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</si>
  <si>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</si>
  <si>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</si>
  <si>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</si>
  <si>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</si>
  <si>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</si>
  <si>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</si>
  <si>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</si>
  <si>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</si>
  <si>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</si>
  <si>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</si>
  <si>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</si>
  <si>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</si>
  <si>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</si>
  <si>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</si>
  <si>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</si>
  <si>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</si>
  <si>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</si>
  <si>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</si>
  <si>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</si>
  <si>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</si>
  <si>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</si>
  <si>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</si>
  <si>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</si>
  <si>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</si>
  <si>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</si>
  <si>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</si>
  <si>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</si>
  <si>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</si>
  <si>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</si>
  <si>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</si>
  <si>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</si>
  <si>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</si>
  <si>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</si>
  <si>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</si>
  <si>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</si>
  <si>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</si>
  <si>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</si>
  <si>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</si>
  <si>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</si>
  <si>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</si>
  <si>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</si>
  <si>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</si>
  <si>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</si>
  <si>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</si>
  <si>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</si>
  <si>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</si>
  <si>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</si>
  <si>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</si>
  <si>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</si>
  <si>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</si>
  <si>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</si>
  <si>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</si>
  <si>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</si>
  <si>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</si>
  <si>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</si>
  <si>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</si>
  <si>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</si>
  <si>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</si>
  <si>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</si>
  <si>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</si>
  <si>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</si>
  <si>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</si>
  <si>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</si>
  <si>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</si>
  <si>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</si>
  <si>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</si>
  <si>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</si>
  <si>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</si>
  <si>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</si>
  <si>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</si>
  <si>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</si>
  <si>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</si>
  <si>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</si>
  <si>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</si>
  <si>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</si>
  <si>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</si>
  <si>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</si>
  <si>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</si>
  <si>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</si>
  <si>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</si>
  <si>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</si>
  <si>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</si>
  <si>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</si>
  <si>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</si>
  <si>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</si>
  <si>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</si>
  <si>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</si>
  <si>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</si>
  <si>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</si>
  <si>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</si>
  <si>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</si>
  <si>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</si>
  <si>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</si>
  <si>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</si>
  <si>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</si>
  <si>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</si>
  <si>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</si>
  <si>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</si>
  <si>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</si>
  <si>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</si>
  <si>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</si>
  <si>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</si>
  <si>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</si>
  <si>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</si>
  <si>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</si>
  <si>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</si>
  <si>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</si>
  <si>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</si>
  <si>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</si>
  <si>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</si>
  <si>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</si>
  <si>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</si>
  <si>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</si>
  <si>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</si>
  <si>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</si>
  <si>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</si>
  <si>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</si>
  <si>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</si>
  <si>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</si>
  <si>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</si>
  <si>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</si>
  <si>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</si>
  <si>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</si>
  <si>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</si>
  <si>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</si>
  <si>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</si>
  <si>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</si>
  <si>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</si>
  <si>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</si>
  <si>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</si>
  <si>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</si>
  <si>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</si>
  <si>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</si>
  <si>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</si>
  <si>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</si>
  <si>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</si>
  <si>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</si>
  <si>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</si>
  <si>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</si>
  <si>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</si>
  <si>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</si>
  <si>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</si>
  <si>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</si>
  <si>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</si>
  <si>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</si>
  <si>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</si>
  <si>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</si>
  <si>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</si>
  <si>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</si>
  <si>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</si>
  <si>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</si>
  <si>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</si>
  <si>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</si>
  <si>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</si>
  <si>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</si>
  <si>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</si>
  <si>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</si>
  <si>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</si>
  <si>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</si>
  <si>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</si>
  <si>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</si>
  <si>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</si>
  <si>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</si>
  <si>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</si>
  <si>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</si>
  <si>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</si>
  <si>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</si>
  <si>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</si>
  <si>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</si>
  <si>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</si>
  <si>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</si>
  <si>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</si>
  <si>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</si>
  <si>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</si>
  <si>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</si>
  <si>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</si>
  <si>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</si>
  <si>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</si>
  <si>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</si>
  <si>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</si>
  <si>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</si>
  <si>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</si>
  <si>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</si>
  <si>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</si>
  <si>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</si>
  <si>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</si>
  <si>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</si>
  <si>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</si>
  <si>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</si>
  <si>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</si>
  <si>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</si>
  <si>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</si>
  <si>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</si>
  <si>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</si>
  <si>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</si>
  <si>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</si>
  <si>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</si>
  <si>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</si>
  <si>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</si>
  <si>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</si>
  <si>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</si>
  <si>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</si>
  <si>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</si>
  <si>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</si>
  <si>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</si>
  <si>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</si>
  <si>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</si>
  <si>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</si>
  <si>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</si>
  <si>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</si>
  <si>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</si>
  <si>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</si>
  <si>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</si>
  <si>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</si>
  <si>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</si>
  <si>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</si>
  <si>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</si>
  <si>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</si>
  <si>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</si>
  <si>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</si>
  <si>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</si>
  <si>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</si>
  <si>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</si>
  <si>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</si>
  <si>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</si>
  <si>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</si>
  <si>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</si>
  <si>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</si>
  <si>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</si>
  <si>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</si>
  <si>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</si>
  <si>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</si>
  <si>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</si>
  <si>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</si>
  <si>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</si>
  <si>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</si>
  <si>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</si>
  <si>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</si>
  <si>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</si>
  <si>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</si>
  <si>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</si>
  <si>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</si>
  <si>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</si>
  <si>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</si>
  <si>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</si>
  <si>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</si>
  <si>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</si>
  <si>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</si>
  <si>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</si>
  <si>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</si>
  <si>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</si>
  <si>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</si>
  <si>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</si>
  <si>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</si>
  <si>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</si>
  <si>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</si>
  <si>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</si>
  <si>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</si>
  <si>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</si>
  <si>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</si>
  <si>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</si>
  <si>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</si>
  <si>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</si>
  <si>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</si>
  <si>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</si>
  <si>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</si>
  <si>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</si>
  <si>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</si>
  <si>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</si>
  <si>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</si>
  <si>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</si>
  <si>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</si>
  <si>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</si>
  <si>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</si>
  <si>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</si>
  <si>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</si>
  <si>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</si>
  <si>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</si>
  <si>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</si>
  <si>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</si>
  <si>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</si>
  <si>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</si>
  <si>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</si>
  <si>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</si>
  <si>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</si>
  <si>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</si>
  <si>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</si>
  <si>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</si>
  <si>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</si>
  <si>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</si>
  <si>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</si>
  <si>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</si>
  <si>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</si>
  <si>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</si>
  <si>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</si>
  <si>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</si>
  <si>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</si>
  <si>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</si>
  <si>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</si>
  <si>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</si>
  <si>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</si>
  <si>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</si>
  <si>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</si>
  <si>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</si>
  <si>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</si>
  <si>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</si>
  <si>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</si>
  <si>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</si>
  <si>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</si>
  <si>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</si>
  <si>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</si>
  <si>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</si>
  <si>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</si>
  <si>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</si>
  <si>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</si>
  <si>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</si>
  <si>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</si>
  <si>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</si>
  <si>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</si>
  <si>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</si>
  <si>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</si>
  <si>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</si>
  <si>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</si>
  <si>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</si>
  <si>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</si>
  <si>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</si>
  <si>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</si>
  <si>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</si>
  <si>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</si>
  <si>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</si>
  <si>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</si>
  <si>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</si>
  <si>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</si>
  <si>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</si>
  <si>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</si>
  <si>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</si>
  <si>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</si>
  <si>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</si>
  <si>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</si>
  <si>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</si>
  <si>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</si>
  <si>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</si>
  <si>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</si>
  <si>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</si>
  <si>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</si>
  <si>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</si>
  <si>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</si>
  <si>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</si>
  <si>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</si>
  <si>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</si>
  <si>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</si>
  <si>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</si>
  <si>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</si>
  <si>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</si>
  <si>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</si>
  <si>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</si>
  <si>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</si>
  <si>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</si>
  <si>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</si>
  <si>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</si>
  <si>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</si>
  <si>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</si>
  <si>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</si>
  <si>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</si>
  <si>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</si>
  <si>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</si>
  <si>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</si>
  <si>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</si>
  <si>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</si>
  <si>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</si>
  <si>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</si>
  <si>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</si>
  <si>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</si>
  <si>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</si>
  <si>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</si>
  <si>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</si>
  <si>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</si>
  <si>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</si>
  <si>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</si>
  <si>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</si>
  <si>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</si>
  <si>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</si>
  <si>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</si>
  <si>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</si>
  <si>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</si>
  <si>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</si>
  <si>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</si>
  <si>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</si>
  <si>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</si>
  <si>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</si>
  <si>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</si>
  <si>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</si>
  <si>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</si>
  <si>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</si>
  <si>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</si>
  <si>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</si>
  <si>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</si>
  <si>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</si>
  <si>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</si>
  <si>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</si>
  <si>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</si>
  <si>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</si>
  <si>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</si>
  <si>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</si>
  <si>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</si>
  <si>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</si>
  <si>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</si>
  <si>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</si>
  <si>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</si>
  <si>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</si>
  <si>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</si>
  <si>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</si>
  <si>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</si>
  <si>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</si>
  <si>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</si>
  <si>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</si>
  <si>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</si>
  <si>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</si>
  <si>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</si>
  <si>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</si>
  <si>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</si>
  <si>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</si>
  <si>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</si>
  <si>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</si>
  <si>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</si>
  <si>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</si>
  <si>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</si>
  <si>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</si>
  <si>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</si>
  <si>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</si>
  <si>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</si>
  <si>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</si>
  <si>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</si>
  <si>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</si>
  <si>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</si>
  <si>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</si>
  <si>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</si>
  <si>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</si>
  <si>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</si>
  <si>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</si>
  <si>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</si>
  <si>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</si>
  <si>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</si>
  <si>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</si>
  <si>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</si>
  <si>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</si>
  <si>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</si>
  <si>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</si>
  <si>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</si>
  <si>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</si>
  <si>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</si>
  <si>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</si>
  <si>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</si>
  <si>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</si>
  <si>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</si>
  <si>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</si>
  <si>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</si>
  <si>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</si>
  <si>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</si>
  <si>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</si>
  <si>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</si>
  <si>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</si>
  <si>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</si>
  <si>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</si>
  <si>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</si>
  <si>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</si>
  <si>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</si>
  <si>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</si>
  <si>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</si>
  <si>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</si>
  <si>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</si>
  <si>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</si>
  <si>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</si>
  <si>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</si>
  <si>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</si>
  <si>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</si>
  <si>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</si>
  <si>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</si>
  <si>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</si>
  <si>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</si>
  <si>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</si>
  <si>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</si>
  <si>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</si>
  <si>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</si>
  <si>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</si>
  <si>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</si>
  <si>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</si>
  <si>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</si>
  <si>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</si>
  <si>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</si>
  <si>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</si>
  <si>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</si>
  <si>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</si>
  <si>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</si>
  <si>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</si>
  <si>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</si>
  <si>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</si>
  <si>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</si>
  <si>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</si>
  <si>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</si>
  <si>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</si>
  <si>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</si>
  <si>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</si>
  <si>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</si>
  <si>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</si>
  <si>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</si>
  <si>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</si>
  <si>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</si>
  <si>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</si>
  <si>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</si>
  <si>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</si>
  <si>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</si>
  <si>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</si>
  <si>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</si>
  <si>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</si>
  <si>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</si>
  <si>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</si>
  <si>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</si>
  <si>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</si>
  <si>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</si>
  <si>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</si>
  <si>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</si>
  <si>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</si>
  <si>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</si>
  <si>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</si>
  <si>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</si>
  <si>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</si>
  <si>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</si>
  <si>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</si>
  <si>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</si>
  <si>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</si>
  <si>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</si>
  <si>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</si>
  <si>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</si>
  <si>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</si>
  <si>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</si>
  <si>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</si>
  <si>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</si>
  <si>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</si>
  <si>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</si>
  <si>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</si>
  <si>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</si>
  <si>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</si>
  <si>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</si>
  <si>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</si>
  <si>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</si>
  <si>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</si>
  <si>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</si>
  <si>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</si>
  <si>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</si>
  <si>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</si>
  <si>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</si>
  <si>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</si>
  <si>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</si>
  <si>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</si>
  <si>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</si>
  <si>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</si>
  <si>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</si>
  <si>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</si>
  <si>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</si>
  <si>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</si>
  <si>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</si>
  <si>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</si>
  <si>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</si>
  <si>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</si>
  <si>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</si>
  <si>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</si>
  <si>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</si>
  <si>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</si>
  <si>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</si>
  <si>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</si>
  <si>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</si>
  <si>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</si>
  <si>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</si>
  <si>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</si>
  <si>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</si>
  <si>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</si>
  <si>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</si>
  <si>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</si>
  <si>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</si>
  <si>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</si>
  <si>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</si>
  <si>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</si>
  <si>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</si>
  <si>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</si>
  <si>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</si>
  <si>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</si>
  <si>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</si>
  <si>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</si>
  <si>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</si>
  <si>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</si>
  <si>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</si>
  <si>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</si>
  <si>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</si>
  <si>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</si>
  <si>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</si>
  <si>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</si>
  <si>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</si>
  <si>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</si>
  <si>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</si>
  <si>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</si>
  <si>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</si>
  <si>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</si>
  <si>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</si>
  <si>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</si>
  <si>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</si>
  <si>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</si>
  <si>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</si>
  <si>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</si>
  <si>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</si>
  <si>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</si>
  <si>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</si>
  <si>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</si>
  <si>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</si>
  <si>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</si>
  <si>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</si>
  <si>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</si>
  <si>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</si>
  <si>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</si>
  <si>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</si>
  <si>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</si>
  <si>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</si>
  <si>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</si>
  <si>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</si>
  <si>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</si>
  <si>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</si>
  <si>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</si>
  <si>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</si>
  <si>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</si>
  <si>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</si>
  <si>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</si>
  <si>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</si>
  <si>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</si>
  <si>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</si>
  <si>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</si>
  <si>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</si>
  <si>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</si>
  <si>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</si>
  <si>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</si>
  <si>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</si>
  <si>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</si>
  <si>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</si>
  <si>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</si>
  <si>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</si>
  <si>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</si>
  <si>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</si>
  <si>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</si>
  <si>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</si>
  <si>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</si>
  <si>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</si>
  <si>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</si>
  <si>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</si>
  <si>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</si>
  <si>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</si>
  <si>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</si>
  <si>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</si>
  <si>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</si>
  <si>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</si>
  <si>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</si>
  <si>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</si>
  <si>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</si>
  <si>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</si>
  <si>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</si>
  <si>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</si>
  <si>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</si>
  <si>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</si>
  <si>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</si>
  <si>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</si>
  <si>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</si>
  <si>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</si>
  <si>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</si>
  <si>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</si>
  <si>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</si>
  <si>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</si>
  <si>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</si>
  <si>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</si>
  <si>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</si>
  <si>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</si>
  <si>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</si>
  <si>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</si>
  <si>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</si>
  <si>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</si>
  <si>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</si>
  <si>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</si>
  <si>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</si>
  <si>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</si>
  <si>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</si>
  <si>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</si>
  <si>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</si>
  <si>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</si>
  <si>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</si>
  <si>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</si>
  <si>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</si>
  <si>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</si>
  <si>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</si>
  <si>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</si>
  <si>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</si>
  <si>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</si>
  <si>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</si>
  <si>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</si>
  <si>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</si>
  <si>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</si>
  <si>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</si>
  <si>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</si>
  <si>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</si>
  <si>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</si>
  <si>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</si>
  <si>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</si>
  <si>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</si>
  <si>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</si>
  <si>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</si>
  <si>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</si>
  <si>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</si>
  <si>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</si>
  <si>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</si>
  <si>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</si>
  <si>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</si>
  <si>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</si>
  <si>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</si>
  <si>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</si>
  <si>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</si>
  <si>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</si>
  <si>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</si>
  <si>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</si>
  <si>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</si>
  <si>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</si>
  <si>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</si>
  <si>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</si>
  <si>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</si>
  <si>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</si>
  <si>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</si>
  <si>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</si>
  <si>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</si>
  <si>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</si>
  <si>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</si>
  <si>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</si>
  <si>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</si>
  <si>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</si>
  <si>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</si>
  <si>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</si>
  <si>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</si>
  <si>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</si>
  <si>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</si>
  <si>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</si>
  <si>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</si>
  <si>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</si>
  <si>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</si>
  <si>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</si>
  <si>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</si>
  <si>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</si>
  <si>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</si>
  <si>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</si>
  <si>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</si>
  <si>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</si>
  <si>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</si>
  <si>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</si>
  <si>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</si>
  <si>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</si>
  <si>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</si>
  <si>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</si>
  <si>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</si>
  <si>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</si>
  <si>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</si>
  <si>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</si>
  <si>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</si>
  <si>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</si>
  <si>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</si>
  <si>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</si>
  <si>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</si>
  <si>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</si>
  <si>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</si>
  <si>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</si>
  <si>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</si>
  <si>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</si>
  <si>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</si>
  <si>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</si>
  <si>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</si>
  <si>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</si>
  <si>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</si>
  <si>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</si>
  <si>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</si>
  <si>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</si>
  <si>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</si>
  <si>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</si>
  <si>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</si>
  <si>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</si>
  <si>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</si>
  <si>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</si>
  <si>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</si>
  <si>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</si>
  <si>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</si>
  <si>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</si>
  <si>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</si>
  <si>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</si>
  <si>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</si>
  <si>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</si>
  <si>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</si>
  <si>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</si>
  <si>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</si>
  <si>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</si>
  <si>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</si>
  <si>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</si>
  <si>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</si>
  <si>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</si>
  <si>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</si>
  <si>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</si>
  <si>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</si>
  <si>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</si>
  <si>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</si>
  <si>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</si>
  <si>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</si>
  <si>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</si>
  <si>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</si>
  <si>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</si>
  <si>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</si>
  <si>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</si>
  <si>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</si>
  <si>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</si>
  <si>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</si>
  <si>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</si>
  <si>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</si>
  <si>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</si>
  <si>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</si>
  <si>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</si>
  <si>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</si>
  <si>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</si>
  <si>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</si>
  <si>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</si>
  <si>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</si>
  <si>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</si>
  <si>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</si>
  <si>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</si>
  <si>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</si>
  <si>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</si>
  <si>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</si>
  <si>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</si>
  <si>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</si>
  <si>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</si>
  <si>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</si>
  <si>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</si>
  <si>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</si>
  <si>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</si>
  <si>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</si>
  <si>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</si>
  <si>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</si>
  <si>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</si>
  <si>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</si>
  <si>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</si>
  <si>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</si>
  <si>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</si>
  <si>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</si>
  <si>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</si>
  <si>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</si>
  <si>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</si>
  <si>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</si>
  <si>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</si>
  <si>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</si>
  <si>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</si>
  <si>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</si>
  <si>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</si>
  <si>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</si>
  <si>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</si>
  <si>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</si>
  <si>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</si>
  <si>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</si>
  <si>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</si>
  <si>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</si>
  <si>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</si>
  <si>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</si>
  <si>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</si>
  <si>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</si>
  <si>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</si>
  <si>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</si>
  <si>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</si>
  <si>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</si>
  <si>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</si>
  <si>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</si>
  <si>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</si>
  <si>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</si>
  <si>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</si>
  <si>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</si>
  <si>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</si>
  <si>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</si>
  <si>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</si>
  <si>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</si>
  <si>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</si>
  <si>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</si>
  <si>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</si>
  <si>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</si>
  <si>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</si>
  <si>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</si>
  <si>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</si>
  <si>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</si>
  <si>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</si>
  <si>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</si>
  <si>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</si>
  <si>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</si>
  <si>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</si>
  <si>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</si>
  <si>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</si>
  <si>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</si>
  <si>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</si>
  <si>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</si>
  <si>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</si>
  <si>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</si>
  <si>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</si>
  <si>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</si>
  <si>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</si>
  <si>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</si>
  <si>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</si>
  <si>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</si>
  <si>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</si>
  <si>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</si>
  <si>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</si>
  <si>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</si>
  <si>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</si>
  <si>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</si>
  <si>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</si>
  <si>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</si>
  <si>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</si>
  <si>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</si>
  <si>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</si>
  <si>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</si>
  <si>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</si>
  <si>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</si>
  <si>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</si>
  <si>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</si>
  <si>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</si>
  <si>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</si>
  <si>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</si>
  <si>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</si>
  <si>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</si>
  <si>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</si>
  <si>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</si>
  <si>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</si>
  <si>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</si>
  <si>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</si>
  <si>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</si>
  <si>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</si>
  <si>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</si>
  <si>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</si>
  <si>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</si>
  <si>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</si>
  <si>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</si>
  <si>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</si>
  <si>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</si>
  <si>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</si>
  <si>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</si>
  <si>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</si>
  <si>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</si>
  <si>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</si>
  <si>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</si>
  <si>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</si>
  <si>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</si>
  <si>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</si>
  <si>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</si>
  <si>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</si>
  <si>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</si>
  <si>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</si>
  <si>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</si>
  <si>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</si>
  <si>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</si>
  <si>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</si>
  <si>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</si>
  <si>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</si>
  <si>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</si>
  <si>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</si>
  <si>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</si>
  <si>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</si>
  <si>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</si>
  <si>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</si>
  <si>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</si>
  <si>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</si>
  <si>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</si>
  <si>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</si>
  <si>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</si>
  <si>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</si>
  <si>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</si>
  <si>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</si>
  <si>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</si>
  <si>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</si>
  <si>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</si>
  <si>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</si>
  <si>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</si>
  <si>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</si>
  <si>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</si>
  <si>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</si>
  <si>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</si>
  <si>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</si>
  <si>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</si>
  <si>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</si>
  <si>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</si>
  <si>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</si>
  <si>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</si>
  <si>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</si>
  <si>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</si>
  <si>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</si>
  <si>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</si>
  <si>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</si>
  <si>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</si>
  <si>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</si>
  <si>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</si>
  <si>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</si>
  <si>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</si>
  <si>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</si>
  <si>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</si>
  <si>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</si>
  <si>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</si>
  <si>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</si>
  <si>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</si>
  <si>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</si>
  <si>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</si>
  <si>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</si>
  <si>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</si>
  <si>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</si>
  <si>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</si>
  <si>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</si>
  <si>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</si>
  <si>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</si>
  <si>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</si>
  <si>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</si>
  <si>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</si>
  <si>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</si>
  <si>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</si>
  <si>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</si>
  <si>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</si>
  <si>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</si>
  <si>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</si>
  <si>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</si>
  <si>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</si>
  <si>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</si>
  <si>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</si>
  <si>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</si>
  <si>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</si>
  <si>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</si>
  <si>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</si>
  <si>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</si>
  <si>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</si>
  <si>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</si>
  <si>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</si>
  <si>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</si>
  <si>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</si>
  <si>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</si>
  <si>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</si>
  <si>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</si>
  <si>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</si>
  <si>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</si>
  <si>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</si>
  <si>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</si>
  <si>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</si>
  <si>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</si>
  <si>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</si>
  <si>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</si>
  <si>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</si>
  <si>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</si>
  <si>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</si>
  <si>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</si>
  <si>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</si>
  <si>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</si>
  <si>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</si>
  <si>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</si>
  <si>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</si>
  <si>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</si>
  <si>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</si>
  <si>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</si>
  <si>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</si>
  <si>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</si>
  <si>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</si>
  <si>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</si>
  <si>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</si>
  <si>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</si>
  <si>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</si>
  <si>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</si>
  <si>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</si>
  <si>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</si>
  <si>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</si>
  <si>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</si>
  <si>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</si>
  <si>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</si>
  <si>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</si>
  <si>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</si>
  <si>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</si>
  <si>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</si>
  <si>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</si>
  <si>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</si>
  <si>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</si>
  <si>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</si>
  <si>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</si>
  <si>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</si>
  <si>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</si>
  <si>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</si>
  <si>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</si>
  <si>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</si>
  <si>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</si>
  <si>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</si>
  <si>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</si>
  <si>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</si>
  <si>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</si>
  <si>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</si>
  <si>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</si>
  <si>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</si>
  <si>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</si>
  <si>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</si>
  <si>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</si>
  <si>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</si>
  <si>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</si>
  <si>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</si>
  <si>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</si>
  <si>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</si>
  <si>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</si>
  <si>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</si>
  <si>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</si>
  <si>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</si>
  <si>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</si>
  <si>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</si>
  <si>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</si>
  <si>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</si>
  <si>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</si>
  <si>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</si>
  <si>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</si>
  <si>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</si>
  <si>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</si>
  <si>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</si>
  <si>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</si>
  <si>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</si>
  <si>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</si>
  <si>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</si>
  <si>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</si>
  <si>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</si>
  <si>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</si>
  <si>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</si>
  <si>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</si>
  <si>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</si>
  <si>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</si>
  <si>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</si>
  <si>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</si>
  <si>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</si>
  <si>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</si>
  <si>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</si>
  <si>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</si>
  <si>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</si>
  <si>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</si>
  <si>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</si>
  <si>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</si>
  <si>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</si>
  <si>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</si>
  <si>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</si>
  <si>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</si>
  <si>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</si>
  <si>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</si>
  <si>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</si>
  <si>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</si>
  <si>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</si>
  <si>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</si>
  <si>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</si>
  <si>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</si>
  <si>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</si>
  <si>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</si>
  <si>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</si>
  <si>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</si>
  <si>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</si>
  <si>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</si>
  <si>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</si>
  <si>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</si>
  <si>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</si>
  <si>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</si>
  <si>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</si>
  <si>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</si>
  <si>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</si>
  <si>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</si>
  <si>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</si>
  <si>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</si>
  <si>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</si>
  <si>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</si>
  <si>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</si>
  <si>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</si>
  <si>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</si>
  <si>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</si>
  <si>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</si>
  <si>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</si>
  <si>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</si>
  <si>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</si>
  <si>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</si>
  <si>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</si>
  <si>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</si>
  <si>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</si>
  <si>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</si>
  <si>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</si>
  <si>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</si>
  <si>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</si>
  <si>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</si>
  <si>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</si>
  <si>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</si>
  <si>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</si>
  <si>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</si>
  <si>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</si>
  <si>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</si>
  <si>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</si>
  <si>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</si>
  <si>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</si>
  <si>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</si>
  <si>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</si>
  <si>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</si>
  <si>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</si>
  <si>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</si>
  <si>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</si>
  <si>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</si>
  <si>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</si>
  <si>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</si>
  <si>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</si>
  <si>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</si>
  <si>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</si>
  <si>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</si>
  <si>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</si>
  <si>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</si>
  <si>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</si>
  <si>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</si>
  <si>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</si>
  <si>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</si>
  <si>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</si>
  <si>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</si>
  <si>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</si>
  <si>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</si>
  <si>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</si>
  <si>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</si>
  <si>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</si>
  <si>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</si>
  <si>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</si>
  <si>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</si>
  <si>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</si>
  <si>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</si>
  <si>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</si>
  <si>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</si>
  <si>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</si>
  <si>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</si>
  <si>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</si>
  <si>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</si>
  <si>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</si>
  <si>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</si>
  <si>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</si>
  <si>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</si>
  <si>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</si>
  <si>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</si>
  <si>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</si>
  <si>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</si>
  <si>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</si>
  <si>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</si>
  <si>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</si>
  <si>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</si>
  <si>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</si>
  <si>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</si>
  <si>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</si>
  <si>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</si>
  <si>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</si>
  <si>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</si>
  <si>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</si>
  <si>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</si>
  <si>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</si>
  <si>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</si>
  <si>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</si>
  <si>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</si>
  <si>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</si>
  <si>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</si>
  <si>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</si>
  <si>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</si>
  <si>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</si>
  <si>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</si>
  <si>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</si>
  <si>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</si>
  <si>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</si>
  <si>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</si>
  <si>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</si>
  <si>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</si>
  <si>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</si>
  <si>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</si>
  <si>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</si>
  <si>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</si>
  <si>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</si>
  <si>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</si>
  <si>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</si>
  <si>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</si>
  <si>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</si>
  <si>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</si>
  <si>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</si>
  <si>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</si>
  <si>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</si>
  <si>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</si>
  <si>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</si>
  <si>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</si>
  <si>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</si>
  <si>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</si>
  <si>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</si>
  <si>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</si>
  <si>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</si>
  <si>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</si>
  <si>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</si>
  <si>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</si>
  <si>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</si>
  <si>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</si>
  <si>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</si>
  <si>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</si>
  <si>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</si>
  <si>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</si>
  <si>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</si>
  <si>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</si>
  <si>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</si>
  <si>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</si>
  <si>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</si>
  <si>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</si>
  <si>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</si>
  <si>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</si>
  <si>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</si>
  <si>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</si>
  <si>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</si>
  <si>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</si>
  <si>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</si>
  <si>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</si>
  <si>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</si>
  <si>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</si>
  <si>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</si>
  <si>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</si>
  <si>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</si>
  <si>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</si>
  <si>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</si>
  <si>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</si>
  <si>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</si>
  <si>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</si>
  <si>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</si>
  <si>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</si>
  <si>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</si>
  <si>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</si>
  <si>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</si>
  <si>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</si>
  <si>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</si>
  <si>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</si>
  <si>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</si>
  <si>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</si>
  <si>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</si>
  <si>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</si>
  <si>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</si>
  <si>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</si>
  <si>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</si>
  <si>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</si>
  <si>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</si>
  <si>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</si>
  <si>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</si>
  <si>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</si>
  <si>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</si>
  <si>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</si>
  <si>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</si>
  <si>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</si>
  <si>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</si>
  <si>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</si>
  <si>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</si>
  <si>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</si>
  <si>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</si>
  <si>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</si>
  <si>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</si>
  <si>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</si>
  <si>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</si>
  <si>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</si>
  <si>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</si>
  <si>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</si>
  <si>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</si>
  <si>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</si>
  <si>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</si>
  <si>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</si>
  <si>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</si>
  <si>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</si>
  <si>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</si>
  <si>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</si>
  <si>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</si>
  <si>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</si>
  <si>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</si>
  <si>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</si>
  <si>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</si>
  <si>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</si>
  <si>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</si>
  <si>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</si>
  <si>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</si>
  <si>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</si>
  <si>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</si>
  <si>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</si>
  <si>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</si>
  <si>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</si>
  <si>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</si>
  <si>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</si>
  <si>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</si>
  <si>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</si>
  <si>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</si>
  <si>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</si>
  <si>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</si>
  <si>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</si>
  <si>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</si>
  <si>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</si>
  <si>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</si>
  <si>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</si>
  <si>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</si>
  <si>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</si>
  <si>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</si>
  <si>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</si>
  <si>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</si>
  <si>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</si>
  <si>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</si>
  <si>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</si>
  <si>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</si>
  <si>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</si>
  <si>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</si>
  <si>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</si>
  <si>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</si>
  <si>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</si>
  <si>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</si>
  <si>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</si>
  <si>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</si>
  <si>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</si>
  <si>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</si>
  <si>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</si>
  <si>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</si>
  <si>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</si>
  <si>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</si>
  <si>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</si>
  <si>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</si>
  <si>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</si>
  <si>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</si>
  <si>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</si>
  <si>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</si>
  <si>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</si>
  <si>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</si>
  <si>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</si>
  <si>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</si>
  <si>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</si>
  <si>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</si>
  <si>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</si>
  <si>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</si>
  <si>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</si>
  <si>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</si>
  <si>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</si>
  <si>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</si>
  <si>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</si>
  <si>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</si>
  <si>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</si>
  <si>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</si>
  <si>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</si>
  <si>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</si>
  <si>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</si>
  <si>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</si>
  <si>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</si>
  <si>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</si>
  <si>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</si>
  <si>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</si>
  <si>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</si>
  <si>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</si>
  <si>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</si>
  <si>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</si>
  <si>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</si>
  <si>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</si>
  <si>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</si>
  <si>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</si>
  <si>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</si>
  <si>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</si>
  <si>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</si>
  <si>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</si>
  <si>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</si>
  <si>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</si>
  <si>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</si>
  <si>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</si>
  <si>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</si>
  <si>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</si>
  <si>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</si>
  <si>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</si>
  <si>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</si>
  <si>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</si>
  <si>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</si>
  <si>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</si>
  <si>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</si>
  <si>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</si>
  <si>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</si>
  <si>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</si>
  <si>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</si>
  <si>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</si>
  <si>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</si>
  <si>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</si>
  <si>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</si>
  <si>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</si>
  <si>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</si>
  <si>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</si>
  <si>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</si>
  <si>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</si>
  <si>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</si>
  <si>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</si>
  <si>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</si>
  <si>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</si>
  <si>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</si>
  <si>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</si>
  <si>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</si>
  <si>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</si>
  <si>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</si>
  <si>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</si>
  <si>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</si>
  <si>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</si>
  <si>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</si>
  <si>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</si>
  <si>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</si>
  <si>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</si>
  <si>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</si>
  <si>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</si>
  <si>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</si>
  <si>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</si>
  <si>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</si>
  <si>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</si>
  <si>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</si>
  <si>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</si>
  <si>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</si>
  <si>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</si>
  <si>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</si>
  <si>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</si>
  <si>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</si>
  <si>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</si>
  <si>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</si>
  <si>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</si>
  <si>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</si>
  <si>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</si>
  <si>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</si>
  <si>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</si>
  <si>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</si>
  <si>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</si>
  <si>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</si>
  <si>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</si>
  <si>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</si>
  <si>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</si>
  <si>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</si>
  <si>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</si>
  <si>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</si>
  <si>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</si>
  <si>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</si>
  <si>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</si>
  <si>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</si>
  <si>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</si>
  <si>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</si>
  <si>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</si>
  <si>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</si>
  <si>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</si>
  <si>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</si>
  <si>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</si>
  <si>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</si>
  <si>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</si>
  <si>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</si>
  <si>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</si>
  <si>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</si>
  <si>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</si>
  <si>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</si>
  <si>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</si>
  <si>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</si>
  <si>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</si>
  <si>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</si>
  <si>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</si>
  <si>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</si>
  <si>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</si>
  <si>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</si>
  <si>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</si>
  <si>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</si>
  <si>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</si>
  <si>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</si>
  <si>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</si>
  <si>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</si>
  <si>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</si>
  <si>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</si>
  <si>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</si>
  <si>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</si>
  <si>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</si>
  <si>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</si>
  <si>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</si>
  <si>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</si>
  <si>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</si>
  <si>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</si>
  <si>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</si>
  <si>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</si>
  <si>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</si>
  <si>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</si>
  <si>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</si>
  <si>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</si>
  <si>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</si>
  <si>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</si>
  <si>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</si>
  <si>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</si>
  <si>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</si>
  <si>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</si>
  <si>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</si>
  <si>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</si>
  <si>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</si>
  <si>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</si>
  <si>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</si>
  <si>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</si>
  <si>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</si>
  <si>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</si>
  <si>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</si>
  <si>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</si>
  <si>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</si>
  <si>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</si>
  <si>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</si>
  <si>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</si>
  <si>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</si>
  <si>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</si>
  <si>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</si>
  <si>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</si>
  <si>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</si>
  <si>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</si>
  <si>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</si>
  <si>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</si>
  <si>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</si>
  <si>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</si>
  <si>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</si>
  <si>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</si>
  <si>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</si>
  <si>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</si>
  <si>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</si>
  <si>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</si>
  <si>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</si>
  <si>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</si>
  <si>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</si>
  <si>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</si>
  <si>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</si>
  <si>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</si>
  <si>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</si>
  <si>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</si>
  <si>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</si>
  <si>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</si>
  <si>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</si>
  <si>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</si>
  <si>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</si>
  <si>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</si>
  <si>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</si>
  <si>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</si>
  <si>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</si>
  <si>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</si>
  <si>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</si>
  <si>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</si>
  <si>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</si>
  <si>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</si>
  <si>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</si>
  <si>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</si>
  <si>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</si>
  <si>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</si>
  <si>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</si>
  <si>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</si>
  <si>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</si>
  <si>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</si>
  <si>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</si>
  <si>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</si>
  <si>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</si>
  <si>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</si>
  <si>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</si>
  <si>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</si>
  <si>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</si>
  <si>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</si>
  <si>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</si>
  <si>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</si>
  <si>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</si>
  <si>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</si>
  <si>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</si>
  <si>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</si>
  <si>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</si>
  <si>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</si>
  <si>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</si>
  <si>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</si>
  <si>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</si>
  <si>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</si>
  <si>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</si>
  <si>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</si>
  <si>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</si>
  <si>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</si>
  <si>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</si>
  <si>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</si>
  <si>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</si>
  <si>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</si>
  <si>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</si>
  <si>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</si>
  <si>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</si>
  <si>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</si>
  <si>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</si>
  <si>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</si>
  <si>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</si>
  <si>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</si>
  <si>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</si>
  <si>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</si>
  <si>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</si>
  <si>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</si>
  <si>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</si>
  <si>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</si>
  <si>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</si>
  <si>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</si>
  <si>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</si>
  <si>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</si>
  <si>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</si>
  <si>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</si>
  <si>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</si>
  <si>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</si>
  <si>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</si>
  <si>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</si>
  <si>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</si>
  <si>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</si>
  <si>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</si>
  <si>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</si>
  <si>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</si>
  <si>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</si>
  <si>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</si>
  <si>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</si>
  <si>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</si>
  <si>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</si>
  <si>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</si>
  <si>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</si>
  <si>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</si>
  <si>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</si>
  <si>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</si>
  <si>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</si>
  <si>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</si>
  <si>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</si>
  <si>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</si>
  <si>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</si>
  <si>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</si>
  <si>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</si>
  <si>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</si>
  <si>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</si>
  <si>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</si>
  <si>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</si>
  <si>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</si>
  <si>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</si>
  <si>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</si>
  <si>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</si>
  <si>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</si>
  <si>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</si>
  <si>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</si>
  <si>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</si>
  <si>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</si>
  <si>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</si>
  <si>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</si>
  <si>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</si>
  <si>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</si>
  <si>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</si>
  <si>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</si>
  <si>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</si>
  <si>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</si>
  <si>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</si>
  <si>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</si>
  <si>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</si>
  <si>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</si>
  <si>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</si>
  <si>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</si>
  <si>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</si>
  <si>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</si>
  <si>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</si>
  <si>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</si>
  <si>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</si>
  <si>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</si>
  <si>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</si>
  <si>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</si>
  <si>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</si>
  <si>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</si>
  <si>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</si>
  <si>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</si>
  <si>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</si>
  <si>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</si>
  <si>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</si>
  <si>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</si>
  <si>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</si>
  <si>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</si>
  <si>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</si>
  <si>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</si>
  <si>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</si>
  <si>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</si>
  <si>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</si>
  <si>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</si>
  <si>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</si>
  <si>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</si>
  <si>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</si>
  <si>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</si>
  <si>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</si>
  <si>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</si>
  <si>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</si>
  <si>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</si>
  <si>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</si>
  <si>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</si>
  <si>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</si>
  <si>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</si>
  <si>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</si>
  <si>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</si>
  <si>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</si>
  <si>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</si>
  <si>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</si>
  <si>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</si>
  <si>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</si>
  <si>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</si>
  <si>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</si>
  <si>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</si>
  <si>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</si>
  <si>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</si>
  <si>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</si>
  <si>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</si>
  <si>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</si>
  <si>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</si>
  <si>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</si>
  <si>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</si>
  <si>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</si>
  <si>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</si>
  <si>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</si>
  <si>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</si>
  <si>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</si>
  <si>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</si>
  <si>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</si>
  <si>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</si>
  <si>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</si>
  <si>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</si>
  <si>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</si>
  <si>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</si>
  <si>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</si>
  <si>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</si>
  <si>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</si>
  <si>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</si>
  <si>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</si>
  <si>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</si>
  <si>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</si>
  <si>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</si>
  <si>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</si>
  <si>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</si>
  <si>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</si>
  <si>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</si>
  <si>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</si>
  <si>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</si>
  <si>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</si>
  <si>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</si>
  <si>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</si>
  <si>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</si>
  <si>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</si>
  <si>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</si>
  <si>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</si>
  <si>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</si>
  <si>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</si>
  <si>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</si>
  <si>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</si>
  <si>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</si>
  <si>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</si>
  <si>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</si>
  <si>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</si>
  <si>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</si>
  <si>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</si>
  <si>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</si>
  <si>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</si>
  <si>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</si>
  <si>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</si>
  <si>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</si>
  <si>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</si>
  <si>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</si>
  <si>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</si>
  <si>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</si>
  <si>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</si>
  <si>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</si>
  <si>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</si>
  <si>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</si>
  <si>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</si>
  <si>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</si>
  <si>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</si>
  <si>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</si>
  <si>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</si>
  <si>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</si>
  <si>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</si>
  <si>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</si>
  <si>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</si>
  <si>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</si>
  <si>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</si>
  <si>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</si>
  <si>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</si>
  <si>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</si>
  <si>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</si>
  <si>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</si>
  <si>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</si>
  <si>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</si>
  <si>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</si>
  <si>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</si>
  <si>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</si>
  <si>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</si>
  <si>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</si>
  <si>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</si>
  <si>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</si>
  <si>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</si>
  <si>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</si>
  <si>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</si>
  <si>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</si>
  <si>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</si>
  <si>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</si>
  <si>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</si>
  <si>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</si>
  <si>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</si>
  <si>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</si>
  <si>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</si>
  <si>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</si>
  <si>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</si>
  <si>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</si>
  <si>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</si>
  <si>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</si>
  <si>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</si>
  <si>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</si>
  <si>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</si>
  <si>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</si>
  <si>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</si>
  <si>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</si>
  <si>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</si>
  <si>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</si>
  <si>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</si>
  <si>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</si>
  <si>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</si>
  <si>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</si>
  <si>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</si>
  <si>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</si>
  <si>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</si>
  <si>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</si>
  <si>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</si>
  <si>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</si>
  <si>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</si>
  <si>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</si>
  <si>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</si>
  <si>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</si>
  <si>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</si>
  <si>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</si>
  <si>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</si>
  <si>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</si>
  <si>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</si>
  <si>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</si>
  <si>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</si>
  <si>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</si>
  <si>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</si>
  <si>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</si>
  <si>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</si>
  <si>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</si>
  <si>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</si>
  <si>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</si>
  <si>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</si>
  <si>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</si>
  <si>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</si>
  <si>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</si>
  <si>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</si>
  <si>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</si>
  <si>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</si>
  <si>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</si>
  <si>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</si>
  <si>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</si>
  <si>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</si>
  <si>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</si>
  <si>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</si>
  <si>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</si>
  <si>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</si>
  <si>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</si>
  <si>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</si>
  <si>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</si>
  <si>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</si>
  <si>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</si>
  <si>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</si>
  <si>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</si>
  <si>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</si>
  <si>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</si>
  <si>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</si>
  <si>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</si>
  <si>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</si>
  <si>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</si>
  <si>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</si>
  <si>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</si>
  <si>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</si>
  <si>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</si>
  <si>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</si>
  <si>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</si>
  <si>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</si>
  <si>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</si>
  <si>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</si>
  <si>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</si>
  <si>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</si>
  <si>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</si>
  <si>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</si>
  <si>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</si>
  <si>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</si>
  <si>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</si>
  <si>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</si>
  <si>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</si>
  <si>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</si>
  <si>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</si>
  <si>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</si>
  <si>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</si>
  <si>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</si>
  <si>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</si>
  <si>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</si>
  <si>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</si>
  <si>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</si>
  <si>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</si>
  <si>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</si>
  <si>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</si>
  <si>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</si>
  <si>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</si>
  <si>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</si>
  <si>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</si>
  <si>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</si>
  <si>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</si>
  <si>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</si>
  <si>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</si>
  <si>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</si>
  <si>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</si>
  <si>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</si>
  <si>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</si>
  <si>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</si>
  <si>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</si>
  <si>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</si>
  <si>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</si>
  <si>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</si>
  <si>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</si>
  <si>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</si>
  <si>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</si>
  <si>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</si>
  <si>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</si>
  <si>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</si>
  <si>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</si>
  <si>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</si>
  <si>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</si>
  <si>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</si>
  <si>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</si>
  <si>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</si>
  <si>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</si>
  <si>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</si>
  <si>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</si>
  <si>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</si>
  <si>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</si>
  <si>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</si>
  <si>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</si>
  <si>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</si>
  <si>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</si>
  <si>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</si>
  <si>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</si>
  <si>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</si>
  <si>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</si>
  <si>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</si>
  <si>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</si>
  <si>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</si>
  <si>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</si>
  <si>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</si>
  <si>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</si>
  <si>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</si>
  <si>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</si>
  <si>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</si>
  <si>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</si>
  <si>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</si>
  <si>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</si>
  <si>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</si>
  <si>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</si>
  <si>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</si>
  <si>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</si>
  <si>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</si>
  <si>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</si>
  <si>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</si>
  <si>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</si>
  <si>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</si>
  <si>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</si>
  <si>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</si>
  <si>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</si>
  <si>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</si>
  <si>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</si>
  <si>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</si>
  <si>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</si>
  <si>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</si>
  <si>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</si>
  <si>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</si>
  <si>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</si>
  <si>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</si>
  <si>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</si>
  <si>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</si>
  <si>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</si>
  <si>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</si>
  <si>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</si>
  <si>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</si>
  <si>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</si>
  <si>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</si>
  <si>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</si>
  <si>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</si>
  <si>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</si>
  <si>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</si>
  <si>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</si>
  <si>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</si>
  <si>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</si>
  <si>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</si>
  <si>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</si>
  <si>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</si>
  <si>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</si>
  <si>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</si>
  <si>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</si>
  <si>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</si>
  <si>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</si>
  <si>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</si>
  <si>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</si>
  <si>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</si>
  <si>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</si>
  <si>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</si>
  <si>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</si>
  <si>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</si>
  <si>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</si>
  <si>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</si>
  <si>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</si>
  <si>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</si>
  <si>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</si>
  <si>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</si>
  <si>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</si>
  <si>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</si>
  <si>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</si>
  <si>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</si>
  <si>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</si>
  <si>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</si>
  <si>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</si>
  <si>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</si>
  <si>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</si>
  <si>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</si>
  <si>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</si>
  <si>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</si>
  <si>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</si>
  <si>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</si>
  <si>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</si>
  <si>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</si>
  <si>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</si>
  <si>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</si>
  <si>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</si>
  <si>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</si>
  <si>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</si>
  <si>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</si>
  <si>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</si>
  <si>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</si>
  <si>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</si>
  <si>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</si>
  <si>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</si>
  <si>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</si>
  <si>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</si>
  <si>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</si>
  <si>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</si>
  <si>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</si>
  <si>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</si>
  <si>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</si>
  <si>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</si>
  <si>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</si>
  <si>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</si>
  <si>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</si>
  <si>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</si>
  <si>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</si>
  <si>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</si>
  <si>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</si>
  <si>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</si>
  <si>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</si>
  <si>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</si>
  <si>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</si>
  <si>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</si>
  <si>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</si>
  <si>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</si>
  <si>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</si>
  <si>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</si>
  <si>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</si>
  <si>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</si>
  <si>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</si>
  <si>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</si>
  <si>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</si>
  <si>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</si>
  <si>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</si>
  <si>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</si>
  <si>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</si>
  <si>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</si>
  <si>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</si>
  <si>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</si>
  <si>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</si>
  <si>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</si>
  <si>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</si>
  <si>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</si>
  <si>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</si>
  <si>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</si>
  <si>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</si>
  <si>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</si>
  <si>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</si>
  <si>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</si>
  <si>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</si>
  <si>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</si>
  <si>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</si>
  <si>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</si>
  <si>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</si>
  <si>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</si>
  <si>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</si>
  <si>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</si>
  <si>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</si>
  <si>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</si>
  <si>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</si>
  <si>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</si>
  <si>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</si>
  <si>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</si>
  <si>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</si>
  <si>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</si>
  <si>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</si>
  <si>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</si>
  <si>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</si>
  <si>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</si>
  <si>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</si>
  <si>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</si>
  <si>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</si>
  <si>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</si>
  <si>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</si>
  <si>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</si>
  <si>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</si>
  <si>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</si>
  <si>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</si>
  <si>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</si>
  <si>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</si>
  <si>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</si>
  <si>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</si>
  <si>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</si>
  <si>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</si>
  <si>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</si>
  <si>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</si>
  <si>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</si>
  <si>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</si>
  <si>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</si>
  <si>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</si>
  <si>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</si>
  <si>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</si>
  <si>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</si>
  <si>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</si>
  <si>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</si>
  <si>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</si>
  <si>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</si>
  <si>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</si>
  <si>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</si>
  <si>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</si>
  <si>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</si>
  <si>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</si>
  <si>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</si>
  <si>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</si>
  <si>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</si>
  <si>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</si>
  <si>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</si>
  <si>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</si>
  <si>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</si>
  <si>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</si>
  <si>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</si>
  <si>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</si>
  <si>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</si>
  <si>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</si>
  <si>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</si>
  <si>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</si>
  <si>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</si>
  <si>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</si>
  <si>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</si>
  <si>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</si>
  <si>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</si>
  <si>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</si>
  <si>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</si>
  <si>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</si>
  <si>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</si>
  <si>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</si>
  <si>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</si>
  <si>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</si>
  <si>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</si>
  <si>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</si>
  <si>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</si>
  <si>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</si>
  <si>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</si>
  <si>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</si>
  <si>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</si>
  <si>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</si>
  <si>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</si>
  <si>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</si>
  <si>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</si>
  <si>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</si>
  <si>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</si>
  <si>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</si>
  <si>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</si>
  <si>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</si>
  <si>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</si>
  <si>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</si>
  <si>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</si>
  <si>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</si>
  <si>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</si>
  <si>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</si>
  <si>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</si>
  <si>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</si>
  <si>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</si>
  <si>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</si>
  <si>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</si>
  <si>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</si>
  <si>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</si>
  <si>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</si>
  <si>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</si>
  <si>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</si>
  <si>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</si>
  <si>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</si>
  <si>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</si>
  <si>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</si>
  <si>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</si>
  <si>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</si>
  <si>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</si>
  <si>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</si>
  <si>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</si>
  <si>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</si>
  <si>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</si>
  <si>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</si>
  <si>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</si>
  <si>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</si>
  <si>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</si>
  <si>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</si>
  <si>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</si>
  <si>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</si>
  <si>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</si>
  <si>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</si>
  <si>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</si>
  <si>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</si>
  <si>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</si>
  <si>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</si>
  <si>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</si>
  <si>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</si>
  <si>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</si>
  <si>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</si>
  <si>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</si>
  <si>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</si>
  <si>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</si>
  <si>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</si>
  <si>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</si>
  <si>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</si>
  <si>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</si>
  <si>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</si>
  <si>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</si>
  <si>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</si>
  <si>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</si>
  <si>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</si>
  <si>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</si>
  <si>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</si>
  <si>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</si>
  <si>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</si>
  <si>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</si>
  <si>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</si>
  <si>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</si>
  <si>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</si>
  <si>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</si>
  <si>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</si>
  <si>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</si>
  <si>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</si>
  <si>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</si>
  <si>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</si>
  <si>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</si>
  <si>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</si>
  <si>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</si>
  <si>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</si>
  <si>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</si>
  <si>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</si>
  <si>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</si>
  <si>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</si>
  <si>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</si>
  <si>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</si>
  <si>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</si>
  <si>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</si>
  <si>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</si>
  <si>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</si>
  <si>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</si>
  <si>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</si>
  <si>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</si>
  <si>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</si>
  <si>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</si>
  <si>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</si>
  <si>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</si>
  <si>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</si>
  <si>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</si>
  <si>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</si>
  <si>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</si>
  <si>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</si>
  <si>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</si>
  <si>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</si>
  <si>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</si>
  <si>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</si>
  <si>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</si>
  <si>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</si>
  <si>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</si>
  <si>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</si>
  <si>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</si>
  <si>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</si>
  <si>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</si>
  <si>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</si>
  <si>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</si>
  <si>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</si>
  <si>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</si>
  <si>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</si>
  <si>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</si>
  <si>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</si>
  <si>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</si>
  <si>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</si>
  <si>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</si>
  <si>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</si>
  <si>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</si>
  <si>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</si>
  <si>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</si>
  <si>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</si>
  <si>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</si>
  <si>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</si>
  <si>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</si>
  <si>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</si>
  <si>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</si>
  <si>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</si>
  <si>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</si>
  <si>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</si>
  <si>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</si>
  <si>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</si>
  <si>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</si>
  <si>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</si>
  <si>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</si>
  <si>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</si>
  <si>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</si>
  <si>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</si>
  <si>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</si>
  <si>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</si>
  <si>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</si>
  <si>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</si>
  <si>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</si>
  <si>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</si>
  <si>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</si>
  <si>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</si>
  <si>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</si>
  <si>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</si>
  <si>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</si>
  <si>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</si>
  <si>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</si>
  <si>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</si>
  <si>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</si>
  <si>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</si>
  <si>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</si>
  <si>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</si>
  <si>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</si>
  <si>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</si>
  <si>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</si>
  <si>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</si>
  <si>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</si>
  <si>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</si>
  <si>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</si>
  <si>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</si>
  <si>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</si>
  <si>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</si>
  <si>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</si>
  <si>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</si>
  <si>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</si>
  <si>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</si>
  <si>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</si>
  <si>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</si>
  <si>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</si>
  <si>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</si>
  <si>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</si>
  <si>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</si>
  <si>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</si>
  <si>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</si>
  <si>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</si>
  <si>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</si>
  <si>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</si>
  <si>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</si>
  <si>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</si>
  <si>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</si>
  <si>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</si>
  <si>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</si>
  <si>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</si>
  <si>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</si>
  <si>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</si>
  <si>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</si>
  <si>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</si>
  <si>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</si>
  <si>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</si>
  <si>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</si>
  <si>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</si>
  <si>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</si>
  <si>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</si>
  <si>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</si>
  <si>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</si>
  <si>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</si>
  <si>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</si>
  <si>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</si>
  <si>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</si>
  <si>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</si>
  <si>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</si>
  <si>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</si>
  <si>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</si>
  <si>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</si>
  <si>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</si>
  <si>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</si>
  <si>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</si>
  <si>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</si>
  <si>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</si>
  <si>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</si>
  <si>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</si>
  <si>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</si>
  <si>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</si>
  <si>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</si>
  <si>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</si>
  <si>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</si>
  <si>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</si>
  <si>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</si>
  <si>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</si>
  <si>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</si>
  <si>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</si>
  <si>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</si>
  <si>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</si>
  <si>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</si>
  <si>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</si>
  <si>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</si>
  <si>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</si>
  <si>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</si>
  <si>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</si>
  <si>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</si>
  <si>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</si>
  <si>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</si>
  <si>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</si>
  <si>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</si>
  <si>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</si>
  <si>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</si>
  <si>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</si>
  <si>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</si>
  <si>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</si>
  <si>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</si>
  <si>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</si>
  <si>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</si>
  <si>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</si>
  <si>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</si>
  <si>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</si>
  <si>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</si>
  <si>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</si>
  <si>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</si>
  <si>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</si>
  <si>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</si>
  <si>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</si>
  <si>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</si>
  <si>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</si>
  <si>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</si>
  <si>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</si>
  <si>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</si>
  <si>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</si>
  <si>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</si>
  <si>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</si>
  <si>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</si>
  <si>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</si>
  <si>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</si>
  <si>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</si>
  <si>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</si>
  <si>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</si>
  <si>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</si>
  <si>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</si>
  <si>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</si>
  <si>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</si>
  <si>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</si>
  <si>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</si>
  <si>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</si>
  <si>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</si>
  <si>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</si>
  <si>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</si>
  <si>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</si>
  <si>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</si>
  <si>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</si>
  <si>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</si>
  <si>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</si>
  <si>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</si>
  <si>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</si>
  <si>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</si>
  <si>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</si>
  <si>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</si>
  <si>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</si>
  <si>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</si>
  <si>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</si>
  <si>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</si>
  <si>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</si>
  <si>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</si>
  <si>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</si>
  <si>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</si>
  <si>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</si>
  <si>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</si>
  <si>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</si>
  <si>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</si>
  <si>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</si>
  <si>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</si>
  <si>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</si>
  <si>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</si>
  <si>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</si>
  <si>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</si>
  <si>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</si>
  <si>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</si>
  <si>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</si>
  <si>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</si>
  <si>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</si>
  <si>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</si>
  <si>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</si>
  <si>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</si>
  <si>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</si>
  <si>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</si>
  <si>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</si>
  <si>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</si>
  <si>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</si>
  <si>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</si>
  <si>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</si>
  <si>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</si>
  <si>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</si>
  <si>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</si>
  <si>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</si>
  <si>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</si>
  <si>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</si>
  <si>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</si>
  <si>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</si>
  <si>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</si>
  <si>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</si>
  <si>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</si>
  <si>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</si>
  <si>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</si>
  <si>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</si>
  <si>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</si>
  <si>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</si>
  <si>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</si>
  <si>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</si>
  <si>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</si>
  <si>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</si>
  <si>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</si>
  <si>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</si>
  <si>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</si>
  <si>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</si>
  <si>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</si>
  <si>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</si>
  <si>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</si>
  <si>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</si>
  <si>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</si>
  <si>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</si>
  <si>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</si>
  <si>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</si>
  <si>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</si>
  <si>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</si>
  <si>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</si>
  <si>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</si>
  <si>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</si>
  <si>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</si>
  <si>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</si>
  <si>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</si>
  <si>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</si>
  <si>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</si>
  <si>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</si>
  <si>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</si>
  <si>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</si>
  <si>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</si>
  <si>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</si>
  <si>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</si>
  <si>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</si>
  <si>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</si>
  <si>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</si>
  <si>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</si>
  <si>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</si>
  <si>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</si>
  <si>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</si>
  <si>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</si>
  <si>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</si>
  <si>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</si>
  <si>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</si>
  <si>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</si>
  <si>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</si>
  <si>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</si>
  <si>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</si>
  <si>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</si>
  <si>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</si>
  <si>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</si>
  <si>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</si>
  <si>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</si>
  <si>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</si>
  <si>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</si>
  <si>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</si>
  <si>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</si>
  <si>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</si>
  <si>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</si>
  <si>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</si>
  <si>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</si>
  <si>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</si>
  <si>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</si>
  <si>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</si>
  <si>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</si>
  <si>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</si>
  <si>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</si>
  <si>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</si>
  <si>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</si>
  <si>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</si>
  <si>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</si>
  <si>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</si>
  <si>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</si>
  <si>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</si>
  <si>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</si>
  <si>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</si>
  <si>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</si>
  <si>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</si>
  <si>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</si>
  <si>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</si>
  <si>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</si>
  <si>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</si>
  <si>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</si>
  <si>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</si>
  <si>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</si>
  <si>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</si>
  <si>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</si>
  <si>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</si>
  <si>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</si>
  <si>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</si>
  <si>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</si>
  <si>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</si>
  <si>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</si>
  <si>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</si>
  <si>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</si>
  <si>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</si>
  <si>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</si>
  <si>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</si>
  <si>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</si>
  <si>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</si>
  <si>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</si>
  <si>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</si>
  <si>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</si>
  <si>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</si>
  <si>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</si>
  <si>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</si>
  <si>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</si>
  <si>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</si>
  <si>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</si>
  <si>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</si>
  <si>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</si>
  <si>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</si>
  <si>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</si>
  <si>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</si>
  <si>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</si>
  <si>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</si>
  <si>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</si>
  <si>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</si>
  <si>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</si>
  <si>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</si>
  <si>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</si>
  <si>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</si>
  <si>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</si>
  <si>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</si>
  <si>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</si>
  <si>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</si>
  <si>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</si>
  <si>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</si>
  <si>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</si>
  <si>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</si>
  <si>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</si>
  <si>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</si>
  <si>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</si>
  <si>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</si>
  <si>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</si>
  <si>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</si>
  <si>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</si>
  <si>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</si>
  <si>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</si>
  <si>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</si>
  <si>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</si>
  <si>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</si>
  <si>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</si>
  <si>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</si>
  <si>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</si>
  <si>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</si>
  <si>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</si>
  <si>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</si>
  <si>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</si>
  <si>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</si>
  <si>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</si>
  <si>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</si>
  <si>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</si>
  <si>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</si>
  <si>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</si>
  <si>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</si>
  <si>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</si>
  <si>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</si>
  <si>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</si>
  <si>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</si>
  <si>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</si>
  <si>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</si>
  <si>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</si>
  <si>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</si>
  <si>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</si>
  <si>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</si>
  <si>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</si>
  <si>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</si>
  <si>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</si>
  <si>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</si>
  <si>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</si>
  <si>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</si>
  <si>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</si>
  <si>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</si>
  <si>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</si>
  <si>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</si>
  <si>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</si>
  <si>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</si>
  <si>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</si>
  <si>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</si>
  <si>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</si>
  <si>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</si>
  <si>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</si>
  <si>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</si>
  <si>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</si>
  <si>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</si>
  <si>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</si>
  <si>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</si>
  <si>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</si>
  <si>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</si>
  <si>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</si>
  <si>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</si>
  <si>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</si>
  <si>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</si>
  <si>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</si>
  <si>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</si>
  <si>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</si>
  <si>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</si>
  <si>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</si>
  <si>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</si>
  <si>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</si>
  <si>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</si>
  <si>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</si>
  <si>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</si>
  <si>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</si>
  <si>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</si>
  <si>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</si>
  <si>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</si>
  <si>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</si>
  <si>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</si>
  <si>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</si>
  <si>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</si>
  <si>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</si>
  <si>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</si>
  <si>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</si>
  <si>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</si>
  <si>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</si>
  <si>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</si>
  <si>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</si>
  <si>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</si>
  <si>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</si>
  <si>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</si>
  <si>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</si>
  <si>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</si>
  <si>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</si>
  <si>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</si>
  <si>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</si>
  <si>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</si>
  <si>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</si>
  <si>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</si>
  <si>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</si>
  <si>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</si>
  <si>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</si>
  <si>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</si>
  <si>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</si>
  <si>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</si>
  <si>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</si>
  <si>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</si>
  <si>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</si>
  <si>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</si>
  <si>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</si>
  <si>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</si>
  <si>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</si>
  <si>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</si>
  <si>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</si>
  <si>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</si>
  <si>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</si>
  <si>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</si>
  <si>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</si>
  <si>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</si>
  <si>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</si>
  <si>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</si>
  <si>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</si>
  <si>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</si>
  <si>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</si>
  <si>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</si>
  <si>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</si>
  <si>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</si>
  <si>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</si>
  <si>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</si>
  <si>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</si>
  <si>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</si>
  <si>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</si>
  <si>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</si>
  <si>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</si>
  <si>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</si>
  <si>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</si>
  <si>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</si>
  <si>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</si>
  <si>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</si>
  <si>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</si>
  <si>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</si>
  <si>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</si>
  <si>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</si>
  <si>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</si>
  <si>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</si>
  <si>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</si>
  <si>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</si>
  <si>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</si>
  <si>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</si>
  <si>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</si>
  <si>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</si>
  <si>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</si>
  <si>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</si>
  <si>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</si>
  <si>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</si>
  <si>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</si>
  <si>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</si>
  <si>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</si>
  <si>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</si>
  <si>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</si>
  <si>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</si>
  <si>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</si>
  <si>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</si>
  <si>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</si>
  <si>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</si>
  <si>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</si>
  <si>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</si>
  <si>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</si>
  <si>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</si>
  <si>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</si>
  <si>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</si>
  <si>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</si>
  <si>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</si>
  <si>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</si>
  <si>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</si>
  <si>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</si>
  <si>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</si>
  <si>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</si>
  <si>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</si>
  <si>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</si>
  <si>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</si>
  <si>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</si>
  <si>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</si>
  <si>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</si>
  <si>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</si>
  <si>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</si>
  <si>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</si>
  <si>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</si>
  <si>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</si>
  <si>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</si>
  <si>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</si>
  <si>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</si>
  <si>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</si>
  <si>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</si>
  <si>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</si>
  <si>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</si>
  <si>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</si>
  <si>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</si>
  <si>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</si>
  <si>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</si>
  <si>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</si>
  <si>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</si>
  <si>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</si>
  <si>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</si>
  <si>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</si>
  <si>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</si>
  <si>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</si>
  <si>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</si>
  <si>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</si>
  <si>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</si>
  <si>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</si>
  <si>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</si>
  <si>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</si>
  <si>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</si>
  <si>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</si>
  <si>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</si>
  <si>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</si>
  <si>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</si>
  <si>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</si>
  <si>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</si>
  <si>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</si>
  <si>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</si>
  <si>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</si>
  <si>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</si>
  <si>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</si>
  <si>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</si>
  <si>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</si>
  <si>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</si>
  <si>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</si>
  <si>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</si>
  <si>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</si>
  <si>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</si>
  <si>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</si>
  <si>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</si>
  <si>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</si>
  <si>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</si>
  <si>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</si>
  <si>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</si>
  <si>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</si>
  <si>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</si>
  <si>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</si>
  <si>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</si>
  <si>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</si>
  <si>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</si>
  <si>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</si>
  <si>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</si>
  <si>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</si>
  <si>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</si>
  <si>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</si>
  <si>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</si>
  <si>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</si>
  <si>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</si>
  <si>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</si>
  <si>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</si>
  <si>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</si>
  <si>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</si>
  <si>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</si>
  <si>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</si>
  <si>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</si>
  <si>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</si>
  <si>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</si>
  <si>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</si>
  <si>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</si>
  <si>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</si>
  <si>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</si>
  <si>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</si>
  <si>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</si>
  <si>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</si>
  <si>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</si>
  <si>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</si>
  <si>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</si>
  <si>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</si>
  <si>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</si>
  <si>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</si>
  <si>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</si>
  <si>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</si>
  <si>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</si>
  <si>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</si>
  <si>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</si>
  <si>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</si>
  <si>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</si>
  <si>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</si>
  <si>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</si>
  <si>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</si>
  <si>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</si>
  <si>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</si>
  <si>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</si>
  <si>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</si>
  <si>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</si>
  <si>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</si>
  <si>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</si>
  <si>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</si>
  <si>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</si>
  <si>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</si>
  <si>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</si>
  <si>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</si>
  <si>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</si>
  <si>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</si>
  <si>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</si>
  <si>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</si>
  <si>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</si>
  <si>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</si>
  <si>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</si>
  <si>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</si>
  <si>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</si>
  <si>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</si>
  <si>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</si>
  <si>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</si>
  <si>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</si>
  <si>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</si>
  <si>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</si>
  <si>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</si>
  <si>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</si>
  <si>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</si>
  <si>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</si>
  <si>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</si>
  <si>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</si>
  <si>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</si>
  <si>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</si>
  <si>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</si>
  <si>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</si>
  <si>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</si>
  <si>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</si>
  <si>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</si>
  <si>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</si>
  <si>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</si>
  <si>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</si>
  <si>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</si>
  <si>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</si>
  <si>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</si>
  <si>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</si>
  <si>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</si>
  <si>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</si>
  <si>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</si>
  <si>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</si>
  <si>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</si>
  <si>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</si>
  <si>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</si>
  <si>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</si>
  <si>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</si>
  <si>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</si>
  <si>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</si>
  <si>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</si>
  <si>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</si>
  <si>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</si>
  <si>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</si>
  <si>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</si>
  <si>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</si>
  <si>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</si>
  <si>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</si>
  <si>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</si>
  <si>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</si>
  <si>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</si>
  <si>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</si>
  <si>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</si>
  <si>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</si>
  <si>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</si>
  <si>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</si>
  <si>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</si>
  <si>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</si>
  <si>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</si>
  <si>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</si>
  <si>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</si>
  <si>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</si>
  <si>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</si>
  <si>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</si>
  <si>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</si>
  <si>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</si>
  <si>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</si>
  <si>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</si>
  <si>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</si>
  <si>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</si>
  <si>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</si>
  <si>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</si>
  <si>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</si>
  <si>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</si>
  <si>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</si>
  <si>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</si>
  <si>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</si>
  <si>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</si>
  <si>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</si>
  <si>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</si>
  <si>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</si>
  <si>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</si>
  <si>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</si>
  <si>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</si>
  <si>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</si>
  <si>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</si>
  <si>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</si>
  <si>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</si>
  <si>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</si>
  <si>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</si>
  <si>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</si>
  <si>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</si>
  <si>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</si>
  <si>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</si>
  <si>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</si>
  <si>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</si>
  <si>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</si>
  <si>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</si>
  <si>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</si>
  <si>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</si>
  <si>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</si>
  <si>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</si>
  <si>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</si>
  <si>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</si>
  <si>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</si>
  <si>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</si>
  <si>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</si>
  <si>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</si>
  <si>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</si>
  <si>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</si>
  <si>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</si>
  <si>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</si>
  <si>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</si>
  <si>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</si>
  <si>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</si>
  <si>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</si>
  <si>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</si>
  <si>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</si>
  <si>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</si>
  <si>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</si>
  <si>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</si>
  <si>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</si>
  <si>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</si>
  <si>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</si>
  <si>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</si>
  <si>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</si>
  <si>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</si>
  <si>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</si>
  <si>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</si>
  <si>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</si>
  <si>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</si>
  <si>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</si>
  <si>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</si>
  <si>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</si>
  <si>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</si>
  <si>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</si>
  <si>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</si>
  <si>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</si>
  <si>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</si>
  <si>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</si>
  <si>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</si>
  <si>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</si>
  <si>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</si>
  <si>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</si>
  <si>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</si>
  <si>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</si>
  <si>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</si>
  <si>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</si>
  <si>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</si>
  <si>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</si>
  <si>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</si>
  <si>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</si>
  <si>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</si>
  <si>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</si>
  <si>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</si>
  <si>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</si>
  <si>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</si>
  <si>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</si>
  <si>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</si>
  <si>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</si>
  <si>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</si>
  <si>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</si>
  <si>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</si>
  <si>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</si>
  <si>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</si>
  <si>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</si>
  <si>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</si>
  <si>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</si>
  <si>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</si>
  <si>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</si>
  <si>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</si>
  <si>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</si>
  <si>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</si>
  <si>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</si>
  <si>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</si>
  <si>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</si>
  <si>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</si>
  <si>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</si>
  <si>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</si>
  <si>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</si>
  <si>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</si>
  <si>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</si>
  <si>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</si>
  <si>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</si>
  <si>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</si>
  <si>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</si>
  <si>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</si>
  <si>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</si>
  <si>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</si>
  <si>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</si>
  <si>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</si>
  <si>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</si>
  <si>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</si>
  <si>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</si>
  <si>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</si>
  <si>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</si>
  <si>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</si>
  <si>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</si>
  <si>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</si>
  <si>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</si>
  <si>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</si>
  <si>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</si>
  <si>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</si>
  <si>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</si>
  <si>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</si>
  <si>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</si>
  <si>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</si>
  <si>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</si>
  <si>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</si>
  <si>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</si>
  <si>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</si>
  <si>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</si>
  <si>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</si>
  <si>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</si>
  <si>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</si>
  <si>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</si>
  <si>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</si>
  <si>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</si>
  <si>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</si>
  <si>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</si>
  <si>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</si>
  <si>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</si>
  <si>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</si>
  <si>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</si>
  <si>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</si>
  <si>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</si>
  <si>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</si>
  <si>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</si>
  <si>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</si>
  <si>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</si>
  <si>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</si>
  <si>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</si>
  <si>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</si>
  <si>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</si>
  <si>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</si>
  <si>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</si>
  <si>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</si>
  <si>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</si>
  <si>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</si>
  <si>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</si>
  <si>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</si>
  <si>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</si>
  <si>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</si>
  <si>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</si>
  <si>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</si>
  <si>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</si>
  <si>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</si>
  <si>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</si>
  <si>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</si>
  <si>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</si>
  <si>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</si>
  <si>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</si>
  <si>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</si>
  <si>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</si>
  <si>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</si>
  <si>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</si>
  <si>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</si>
  <si>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</si>
  <si>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</si>
  <si>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</si>
  <si>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</si>
  <si>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</si>
  <si>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</si>
  <si>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</si>
  <si>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</si>
  <si>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</si>
  <si>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</si>
  <si>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</si>
  <si>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</si>
  <si>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</si>
  <si>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</si>
  <si>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</si>
  <si>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</si>
  <si>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</si>
  <si>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</si>
  <si>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</si>
  <si>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</si>
  <si>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</si>
  <si>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</si>
  <si>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</si>
  <si>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</si>
  <si>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</si>
  <si>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</si>
  <si>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</si>
  <si>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</si>
  <si>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</si>
  <si>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</si>
  <si>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</si>
  <si>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</si>
  <si>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</si>
  <si>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</si>
  <si>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</si>
  <si>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</si>
  <si>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</si>
  <si>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</si>
  <si>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</si>
  <si>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</si>
  <si>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</si>
  <si>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</si>
  <si>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</si>
  <si>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</si>
  <si>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</si>
  <si>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</si>
  <si>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</si>
  <si>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</si>
  <si>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</si>
  <si>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</si>
  <si>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</si>
  <si>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</si>
  <si>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</si>
  <si>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</si>
  <si>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</si>
  <si>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</si>
  <si>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</si>
  <si>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</si>
  <si>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</si>
  <si>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</si>
  <si>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</si>
  <si>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</si>
  <si>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</si>
  <si>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</si>
  <si>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</si>
  <si>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</si>
  <si>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</si>
  <si>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</si>
  <si>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</si>
  <si>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</si>
  <si>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</si>
  <si>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</si>
  <si>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</si>
  <si>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</si>
  <si>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</si>
  <si>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</si>
  <si>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</si>
  <si>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</si>
  <si>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</si>
  <si>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</si>
  <si>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</si>
  <si>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</si>
  <si>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</si>
  <si>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</si>
  <si>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</si>
  <si>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</si>
  <si>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</si>
  <si>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</si>
  <si>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</si>
  <si>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</si>
  <si>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</si>
  <si>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</si>
  <si>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</si>
  <si>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</si>
  <si>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</si>
  <si>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</si>
  <si>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</si>
  <si>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</si>
  <si>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</si>
  <si>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</si>
  <si>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</si>
  <si>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</si>
  <si>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</si>
  <si>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</si>
  <si>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</si>
  <si>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</si>
  <si>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</si>
  <si>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</si>
  <si>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</si>
  <si>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</si>
  <si>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</si>
  <si>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</si>
  <si>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</si>
  <si>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</si>
  <si>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</si>
  <si>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</si>
  <si>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</si>
  <si>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</si>
  <si>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</si>
  <si>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</si>
  <si>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</si>
  <si>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</si>
  <si>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</si>
  <si>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</si>
  <si>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</si>
  <si>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</si>
  <si>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</si>
  <si>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</si>
  <si>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</si>
  <si>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</si>
  <si>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</si>
  <si>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</si>
  <si>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</si>
  <si>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</si>
  <si>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</si>
  <si>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</si>
  <si>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</si>
  <si>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</si>
  <si>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</si>
  <si>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</si>
  <si>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</si>
  <si>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</si>
  <si>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</si>
  <si>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</si>
  <si>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</si>
  <si>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</si>
  <si>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</si>
  <si>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</si>
  <si>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</si>
  <si>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</si>
  <si>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</si>
  <si>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</si>
  <si>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</si>
  <si>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</si>
  <si>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</si>
  <si>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</si>
  <si>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</si>
  <si>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</si>
  <si>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</si>
  <si>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</si>
  <si>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</si>
  <si>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</si>
  <si>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</si>
  <si>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</si>
  <si>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</si>
  <si>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</si>
  <si>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</si>
  <si>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</si>
  <si>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</si>
  <si>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</si>
  <si>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</si>
  <si>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</si>
  <si>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</si>
  <si>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</si>
  <si>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</si>
  <si>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</si>
  <si>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</si>
  <si>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</si>
  <si>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</si>
  <si>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</si>
  <si>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</si>
  <si>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</si>
  <si>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</si>
  <si>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</si>
  <si>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</si>
  <si>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</si>
  <si>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</si>
  <si>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</si>
  <si>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</si>
  <si>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</si>
  <si>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</si>
  <si>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</si>
  <si>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</si>
  <si>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</si>
  <si>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</si>
  <si>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</si>
  <si>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</si>
  <si>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</si>
  <si>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</si>
  <si>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</si>
  <si>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</si>
  <si>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</si>
  <si>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</si>
  <si>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</si>
  <si>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</si>
  <si>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</si>
  <si>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</si>
  <si>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</si>
  <si>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</si>
  <si>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</si>
  <si>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</si>
  <si>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</si>
  <si>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</si>
  <si>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</si>
  <si>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</si>
  <si>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</si>
  <si>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</si>
  <si>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</si>
  <si>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</si>
  <si>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</si>
  <si>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</si>
  <si>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</si>
  <si>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</si>
  <si>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</si>
  <si>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</si>
  <si>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</si>
  <si>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</si>
  <si>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</si>
  <si>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</si>
  <si>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</si>
  <si>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</si>
  <si>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</si>
  <si>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</si>
  <si>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</si>
  <si>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</si>
  <si>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</si>
  <si>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</si>
  <si>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</si>
  <si>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</si>
  <si>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</si>
  <si>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</si>
  <si>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</si>
  <si>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</si>
  <si>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</si>
  <si>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</si>
  <si>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</si>
  <si>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</si>
  <si>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</si>
  <si>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</si>
  <si>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</si>
  <si>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</si>
  <si>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</si>
  <si>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</si>
  <si>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</si>
  <si>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</si>
  <si>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</si>
  <si>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</si>
  <si>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</si>
  <si>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</si>
  <si>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</si>
  <si>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</si>
  <si>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</si>
  <si>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</si>
  <si>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</si>
  <si>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</si>
  <si>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</si>
  <si>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</si>
  <si>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</si>
  <si>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</si>
  <si>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</si>
  <si>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</si>
  <si>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</si>
  <si>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</si>
  <si>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</si>
  <si>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</si>
  <si>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</si>
  <si>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</si>
  <si>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</si>
  <si>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</si>
  <si>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</si>
  <si>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</si>
  <si>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</si>
  <si>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</si>
  <si>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</si>
  <si>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</si>
  <si>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</si>
  <si>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</si>
  <si>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</si>
  <si>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</si>
  <si>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</si>
  <si>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</si>
  <si>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</si>
  <si>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</si>
  <si>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</si>
  <si>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</si>
  <si>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</si>
  <si>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</si>
  <si>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</si>
  <si>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</si>
  <si>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</si>
  <si>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</si>
  <si>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</si>
  <si>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</si>
  <si>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</si>
  <si>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</si>
  <si>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</si>
  <si>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</si>
  <si>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</si>
  <si>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</si>
  <si>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</si>
  <si>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</si>
  <si>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</si>
  <si>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</si>
  <si>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</si>
  <si>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</si>
  <si>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</si>
  <si>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</si>
  <si>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</si>
  <si>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</si>
  <si>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</si>
  <si>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</si>
  <si>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</si>
  <si>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</si>
  <si>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</si>
  <si>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</si>
  <si>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</si>
  <si>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</si>
  <si>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</si>
  <si>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</si>
  <si>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</si>
  <si>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</si>
  <si>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</si>
  <si>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</si>
  <si>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</si>
  <si>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</si>
  <si>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</si>
  <si>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</si>
  <si>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</si>
  <si>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</si>
  <si>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</si>
  <si>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</si>
  <si>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</si>
  <si>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</si>
  <si>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</si>
  <si>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</si>
  <si>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</si>
  <si>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</si>
  <si>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</si>
  <si>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</si>
  <si>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</si>
  <si>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</si>
  <si>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</si>
  <si>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</si>
  <si>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</si>
  <si>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</si>
  <si>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</si>
  <si>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</si>
  <si>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</si>
  <si>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</si>
  <si>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</si>
  <si>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</si>
  <si>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</si>
  <si>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</si>
  <si>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</si>
  <si>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</si>
  <si>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</si>
  <si>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</si>
  <si>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</si>
  <si>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</si>
  <si>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</si>
  <si>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</si>
  <si>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</si>
  <si>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</si>
  <si>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</si>
  <si>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</si>
  <si>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</si>
  <si>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</si>
  <si>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</si>
  <si>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</si>
  <si>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</si>
  <si>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</si>
  <si>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</si>
  <si>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</si>
  <si>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</si>
  <si>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</si>
  <si>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</si>
  <si>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</si>
  <si>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</si>
  <si>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</si>
  <si>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</si>
  <si>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</si>
  <si>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</si>
  <si>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</si>
  <si>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</si>
  <si>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</si>
  <si>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</si>
  <si>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</si>
  <si>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</si>
  <si>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</si>
  <si>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</si>
  <si>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</si>
  <si>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</si>
  <si>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</si>
  <si>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</si>
  <si>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</si>
  <si>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</si>
  <si>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</si>
  <si>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</si>
  <si>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</si>
  <si>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</si>
  <si>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</si>
  <si>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</si>
  <si>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</si>
  <si>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</si>
  <si>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</si>
  <si>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</si>
  <si>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</si>
  <si>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</si>
  <si>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</si>
  <si>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</si>
  <si>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</si>
  <si>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</si>
  <si>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</si>
  <si>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</si>
  <si>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</si>
  <si>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</si>
  <si>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</si>
  <si>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</si>
  <si>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</si>
  <si>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</si>
  <si>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</si>
  <si>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</si>
  <si>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</si>
  <si>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</si>
  <si>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</si>
  <si>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</si>
  <si>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</si>
  <si>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</si>
  <si>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</si>
  <si>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</si>
  <si>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</si>
  <si>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</si>
  <si>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</si>
  <si>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</si>
  <si>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</si>
  <si>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</si>
  <si>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</si>
  <si>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</si>
  <si>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</si>
  <si>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</si>
  <si>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</si>
  <si>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</si>
  <si>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</si>
  <si>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</si>
  <si>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</si>
  <si>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</si>
  <si>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</si>
  <si>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</si>
  <si>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</si>
  <si>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</si>
  <si>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</si>
  <si>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</si>
  <si>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</si>
  <si>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</si>
  <si>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</si>
  <si>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</si>
  <si>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</si>
  <si>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</si>
  <si>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</si>
  <si>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</si>
  <si>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</si>
  <si>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</si>
  <si>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</si>
  <si>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</si>
  <si>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</si>
  <si>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</si>
  <si>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</si>
  <si>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</si>
  <si>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</si>
  <si>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</si>
  <si>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</si>
  <si>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</si>
  <si>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</si>
  <si>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</si>
  <si>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</si>
  <si>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</si>
  <si>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</si>
  <si>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</si>
  <si>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</si>
  <si>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</si>
  <si>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</si>
  <si>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</si>
  <si>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</si>
  <si>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</si>
  <si>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</si>
  <si>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</si>
  <si>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</si>
  <si>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</si>
  <si>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</si>
  <si>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</si>
  <si>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</si>
  <si>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</si>
  <si>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</si>
  <si>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</si>
  <si>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</si>
  <si>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</si>
  <si>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</si>
  <si>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</si>
  <si>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</si>
  <si>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</si>
  <si>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</si>
  <si>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</si>
  <si>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</si>
  <si>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</si>
  <si>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</si>
  <si>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</si>
  <si>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</si>
  <si>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</si>
  <si>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</si>
  <si>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</si>
  <si>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</si>
  <si>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</si>
  <si>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</si>
  <si>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</si>
  <si>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</si>
  <si>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</si>
  <si>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</si>
  <si>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</si>
  <si>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</si>
  <si>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</si>
  <si>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</si>
  <si>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</si>
  <si>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</si>
  <si>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</si>
  <si>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</si>
  <si>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</si>
  <si>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</si>
  <si>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</si>
  <si>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</si>
  <si>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</si>
  <si>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</si>
  <si>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</si>
  <si>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</si>
  <si>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</si>
  <si>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</si>
  <si>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</si>
  <si>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</si>
  <si>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</si>
  <si>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</si>
  <si>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</si>
  <si>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</si>
  <si>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</si>
  <si>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</si>
  <si>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</si>
  <si>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</si>
  <si>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</si>
  <si>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</si>
  <si>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</si>
  <si>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</si>
  <si>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</si>
  <si>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</si>
  <si>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</si>
  <si>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</si>
  <si>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</si>
  <si>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</si>
  <si>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</si>
  <si>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</si>
  <si>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</si>
  <si>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</si>
  <si>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</si>
  <si>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</si>
  <si>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</si>
  <si>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</si>
  <si>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</si>
  <si>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</si>
  <si>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</si>
  <si>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</si>
  <si>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</si>
  <si>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</si>
  <si>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</si>
  <si>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</si>
  <si>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</si>
  <si>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</si>
  <si>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</si>
  <si>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</si>
  <si>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</si>
  <si>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</si>
  <si>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</si>
  <si>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</si>
  <si>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</si>
  <si>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</si>
  <si>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</si>
  <si>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</si>
  <si>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</si>
  <si>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</si>
  <si>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</si>
  <si>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</si>
  <si>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</si>
  <si>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</si>
  <si>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</si>
  <si>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</si>
  <si>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</si>
  <si>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</si>
  <si>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</si>
  <si>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</si>
  <si>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</si>
  <si>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</si>
  <si>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</si>
  <si>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</si>
  <si>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</si>
  <si>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</si>
  <si>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</si>
  <si>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</si>
  <si>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</si>
  <si>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</si>
  <si>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</si>
  <si>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</si>
  <si>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</si>
  <si>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</si>
  <si>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</si>
  <si>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</si>
  <si>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</si>
  <si>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</si>
  <si>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</si>
  <si>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</si>
  <si>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</si>
  <si>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</si>
  <si>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</si>
  <si>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</si>
  <si>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</si>
  <si>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</si>
  <si>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</si>
  <si>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</si>
  <si>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</si>
  <si>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</si>
  <si>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</si>
  <si>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</si>
  <si>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</si>
  <si>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</si>
  <si>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</si>
  <si>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</si>
  <si>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</si>
  <si>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</si>
  <si>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</si>
  <si>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</si>
  <si>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</si>
  <si>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</si>
  <si>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</si>
  <si>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</si>
  <si>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</si>
  <si>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</si>
  <si>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</si>
  <si>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</si>
  <si>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</si>
  <si>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</si>
  <si>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</si>
  <si>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</si>
  <si>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</si>
  <si>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</si>
  <si>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</si>
  <si>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</si>
  <si>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</si>
  <si>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</si>
  <si>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</si>
  <si>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</si>
  <si>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</si>
  <si>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</si>
  <si>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</si>
  <si>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</si>
  <si>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</si>
  <si>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</si>
  <si>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</si>
  <si>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</si>
  <si>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</si>
  <si>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</si>
  <si>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</si>
  <si>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</si>
  <si>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</si>
  <si>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</si>
  <si>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</si>
  <si>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</si>
  <si>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</si>
  <si>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</si>
  <si>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</si>
  <si>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</si>
  <si>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</si>
  <si>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</si>
  <si>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</si>
  <si>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</si>
  <si>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</si>
  <si>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</si>
  <si>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</si>
  <si>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</si>
  <si>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</si>
  <si>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</si>
  <si>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</si>
  <si>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</si>
  <si>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</si>
  <si>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</si>
  <si>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</si>
  <si>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</si>
  <si>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</si>
  <si>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</si>
  <si>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</si>
  <si>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</si>
  <si>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</si>
  <si>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</si>
  <si>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</si>
  <si>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</si>
  <si>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</si>
  <si>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</si>
  <si>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</si>
  <si>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</si>
  <si>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</si>
  <si>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</si>
  <si>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</si>
  <si>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</si>
  <si>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</si>
  <si>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</si>
  <si>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</si>
  <si>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</si>
  <si>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</si>
  <si>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</si>
  <si>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</si>
  <si>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</si>
  <si>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</si>
  <si>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</si>
  <si>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</si>
  <si>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</si>
  <si>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</si>
  <si>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</si>
  <si>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</si>
  <si>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</si>
  <si>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</si>
  <si>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</si>
  <si>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</si>
  <si>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</si>
  <si>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</si>
  <si>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</si>
  <si>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</si>
  <si>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</si>
  <si>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</si>
  <si>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</si>
  <si>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</si>
  <si>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</si>
  <si>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</si>
  <si>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</si>
  <si>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</si>
  <si>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</si>
  <si>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</si>
  <si>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</si>
  <si>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</si>
  <si>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</si>
  <si>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</si>
  <si>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</si>
  <si>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</si>
  <si>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</si>
  <si>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</si>
  <si>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</si>
  <si>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</si>
  <si>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</si>
  <si>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</si>
  <si>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</si>
  <si>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</si>
  <si>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</si>
  <si>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</si>
  <si>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</si>
  <si>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</si>
  <si>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</si>
  <si>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</si>
  <si>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</si>
  <si>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</si>
  <si>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</si>
  <si>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</si>
  <si>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</si>
  <si>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</si>
  <si>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</si>
  <si>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</si>
  <si>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</si>
  <si>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</si>
  <si>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</si>
  <si>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</si>
  <si>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</si>
  <si>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</si>
  <si>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</si>
  <si>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</si>
  <si>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</si>
  <si>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</si>
  <si>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</si>
  <si>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</si>
  <si>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</si>
  <si>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</si>
  <si>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</si>
  <si>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</si>
  <si>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</si>
  <si>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</si>
  <si>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</si>
  <si>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</si>
  <si>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</si>
  <si>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</si>
  <si>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</si>
  <si>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</si>
  <si>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</si>
  <si>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</si>
  <si>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</si>
  <si>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</si>
  <si>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</si>
  <si>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</si>
  <si>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</si>
  <si>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</si>
  <si>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</si>
  <si>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</si>
  <si>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</si>
  <si>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</si>
  <si>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</si>
  <si>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</si>
  <si>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</si>
  <si>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</si>
  <si>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</si>
  <si>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</si>
  <si>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</si>
  <si>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</si>
  <si>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</si>
  <si>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</si>
  <si>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</si>
  <si>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</si>
  <si>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</si>
  <si>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</si>
  <si>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</si>
  <si>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</si>
  <si>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</si>
  <si>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</si>
  <si>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</si>
  <si>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</si>
  <si>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</si>
  <si>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</si>
  <si>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</si>
  <si>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</si>
  <si>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</si>
  <si>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</si>
  <si>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</si>
  <si>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</si>
  <si>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</si>
  <si>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</si>
  <si>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</si>
  <si>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</si>
  <si>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</si>
  <si>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</si>
  <si>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</si>
  <si>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</si>
  <si>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</si>
  <si>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</si>
  <si>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</si>
  <si>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</si>
  <si>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</si>
  <si>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</si>
  <si>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</si>
  <si>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</si>
  <si>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</si>
  <si>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</si>
  <si>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</si>
  <si>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</si>
  <si>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</si>
  <si>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</si>
  <si>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</si>
  <si>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</si>
  <si>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</si>
  <si>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</si>
  <si>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</si>
  <si>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</si>
  <si>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</si>
  <si>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</si>
  <si>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</si>
  <si>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</si>
  <si>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</si>
  <si>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</si>
  <si>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</si>
  <si>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</si>
  <si>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</si>
  <si>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</si>
  <si>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</si>
  <si>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</si>
  <si>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</si>
  <si>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</si>
  <si>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</si>
  <si>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</si>
  <si>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</si>
  <si>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</si>
  <si>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</si>
  <si>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</si>
  <si>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</si>
  <si>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</si>
  <si>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</si>
  <si>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</si>
  <si>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</si>
  <si>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</si>
  <si>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</si>
  <si>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</si>
  <si>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</si>
  <si>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</si>
  <si>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</si>
  <si>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</si>
  <si>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</si>
  <si>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</si>
  <si>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</si>
  <si>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</si>
  <si>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</si>
  <si>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</si>
  <si>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</si>
  <si>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</si>
  <si>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</si>
  <si>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</si>
  <si>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</si>
  <si>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</si>
  <si>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</si>
  <si>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</si>
  <si>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</si>
  <si>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</si>
  <si>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</si>
  <si>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</si>
  <si>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</si>
  <si>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</si>
  <si>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</si>
  <si>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</si>
  <si>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</si>
  <si>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</si>
  <si>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</si>
  <si>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</si>
  <si>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</si>
  <si>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</si>
  <si>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</si>
  <si>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</si>
  <si>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</si>
  <si>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</si>
  <si>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</si>
  <si>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</si>
  <si>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</si>
  <si>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</si>
  <si>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</si>
  <si>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</si>
  <si>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</si>
  <si>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</si>
  <si>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</si>
  <si>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</si>
  <si>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</si>
  <si>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</si>
  <si>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</si>
  <si>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</si>
  <si>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</si>
  <si>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</si>
  <si>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</si>
  <si>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</si>
  <si>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</si>
  <si>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</si>
  <si>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</si>
  <si>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</si>
  <si>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</si>
  <si>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</si>
  <si>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</si>
  <si>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</si>
  <si>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</si>
  <si>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</si>
  <si>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</si>
  <si>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</si>
  <si>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</si>
  <si>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</si>
  <si>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</si>
  <si>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</si>
  <si>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</si>
  <si>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</si>
  <si>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</si>
  <si>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</si>
  <si>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</si>
  <si>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</si>
  <si>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</si>
  <si>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</si>
  <si>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</si>
  <si>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</si>
  <si>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</si>
  <si>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</si>
  <si>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</si>
  <si>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</si>
  <si>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</si>
  <si>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</si>
  <si>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</si>
  <si>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</si>
  <si>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</si>
  <si>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</si>
  <si>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</si>
  <si>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</si>
  <si>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</si>
  <si>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</si>
  <si>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</si>
  <si>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</si>
  <si>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</si>
  <si>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</si>
  <si>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</si>
  <si>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</si>
  <si>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</si>
  <si>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</si>
  <si>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</si>
  <si>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</si>
  <si>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</si>
  <si>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</si>
  <si>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</si>
  <si>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</si>
  <si>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</si>
  <si>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</si>
  <si>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</si>
  <si>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</si>
  <si>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</si>
  <si>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</si>
  <si>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</si>
  <si>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</si>
  <si>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</si>
  <si>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</si>
  <si>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</si>
  <si>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</si>
  <si>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</si>
  <si>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</si>
  <si>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</si>
  <si>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</si>
  <si>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</si>
  <si>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</si>
  <si>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</si>
  <si>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</si>
  <si>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</si>
  <si>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</si>
  <si>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</si>
  <si>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</si>
  <si>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</si>
  <si>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</si>
  <si>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</si>
  <si>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</si>
  <si>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</si>
  <si>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</si>
  <si>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</si>
  <si>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</si>
  <si>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</si>
  <si>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</si>
  <si>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</si>
  <si>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</si>
  <si>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</si>
  <si>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</si>
  <si>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</si>
  <si>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</si>
  <si>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</si>
  <si>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</si>
  <si>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</si>
  <si>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</si>
  <si>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</si>
  <si>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</si>
  <si>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</si>
  <si>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</si>
  <si>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</si>
  <si>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</si>
  <si>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</si>
  <si>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</si>
  <si>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</si>
  <si>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</si>
  <si>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</si>
  <si>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</si>
  <si>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</si>
  <si>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</si>
  <si>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</si>
  <si>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</si>
  <si>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</si>
  <si>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</si>
  <si>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</si>
  <si>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</si>
  <si>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</si>
  <si>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</si>
  <si>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</si>
  <si>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</si>
  <si>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</si>
  <si>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</si>
  <si>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</si>
  <si>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</si>
  <si>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</si>
  <si>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</si>
  <si>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</si>
  <si>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</si>
  <si>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</si>
  <si>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</si>
  <si>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</si>
  <si>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</si>
  <si>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</si>
  <si>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</si>
  <si>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</si>
  <si>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</si>
  <si>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</si>
  <si>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</si>
  <si>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</si>
  <si>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</si>
  <si>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</si>
  <si>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</si>
  <si>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</si>
  <si>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</si>
  <si>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</si>
  <si>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</si>
  <si>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</si>
  <si>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</si>
  <si>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</si>
  <si>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</si>
  <si>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</si>
  <si>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</si>
  <si>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</si>
  <si>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</si>
  <si>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</si>
  <si>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</si>
  <si>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</si>
  <si>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</si>
  <si>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</si>
  <si>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</si>
  <si>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</si>
  <si>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</si>
  <si>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</si>
  <si>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</si>
  <si>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</si>
  <si>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</si>
  <si>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</si>
  <si>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</si>
  <si>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</si>
  <si>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</si>
  <si>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</si>
  <si>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</si>
  <si>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</si>
  <si>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</si>
  <si>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</si>
  <si>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</si>
  <si>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</si>
  <si>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</si>
  <si>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</si>
  <si>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</si>
  <si>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</si>
  <si>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</si>
  <si>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</si>
  <si>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</si>
  <si>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</si>
  <si>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</si>
  <si>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</si>
  <si>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</si>
  <si>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</si>
  <si>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</si>
  <si>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</si>
  <si>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</si>
  <si>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</si>
  <si>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</si>
  <si>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</si>
  <si>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</si>
  <si>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</si>
  <si>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</si>
  <si>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</si>
  <si>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</si>
  <si>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</si>
  <si>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</si>
  <si>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</si>
  <si>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</si>
  <si>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</si>
  <si>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</si>
  <si>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</si>
  <si>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</si>
  <si>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</si>
  <si>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</si>
  <si>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</si>
  <si>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</si>
  <si>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</si>
  <si>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</si>
  <si>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</si>
  <si>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</si>
  <si>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</si>
  <si>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</si>
  <si>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</si>
  <si>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</si>
  <si>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</si>
  <si>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</si>
  <si>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</si>
  <si>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</si>
  <si>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</si>
  <si>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</si>
  <si>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</si>
  <si>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</si>
  <si>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</si>
  <si>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</si>
  <si>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</si>
  <si>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</si>
  <si>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</si>
  <si>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</si>
  <si>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</si>
  <si>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</si>
  <si>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</si>
  <si>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</si>
  <si>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</si>
  <si>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</si>
  <si>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</si>
  <si>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</si>
  <si>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</si>
  <si>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</si>
  <si>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</si>
  <si>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</si>
  <si>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</si>
  <si>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</si>
  <si>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</si>
  <si>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</si>
  <si>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</si>
  <si>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</si>
  <si>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</si>
  <si>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</si>
  <si>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</si>
  <si>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</si>
  <si>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</si>
  <si>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</si>
  <si>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</si>
  <si>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</si>
  <si>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</si>
  <si>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</si>
  <si>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</si>
  <si>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</si>
  <si>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</si>
  <si>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</si>
  <si>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</si>
  <si>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</si>
  <si>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</si>
  <si>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</si>
  <si>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</si>
  <si>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</si>
  <si>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</si>
  <si>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</si>
  <si>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</si>
  <si>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</si>
  <si>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</si>
  <si>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</si>
  <si>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</si>
  <si>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</si>
  <si>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</si>
  <si>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</si>
  <si>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</si>
  <si>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</si>
  <si>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</si>
  <si>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</si>
  <si>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</si>
  <si>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</si>
  <si>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</si>
  <si>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</si>
  <si>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</si>
  <si>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</si>
  <si>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</si>
  <si>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</si>
  <si>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</si>
  <si>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</si>
  <si>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</si>
  <si>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</si>
  <si>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</si>
  <si>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</si>
  <si>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</si>
  <si>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</si>
  <si>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</si>
  <si>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</si>
  <si>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</si>
  <si>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</si>
  <si>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</si>
  <si>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</si>
  <si>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</si>
  <si>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</si>
  <si>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</si>
  <si>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</si>
  <si>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</si>
  <si>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</si>
  <si>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</si>
  <si>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</si>
  <si>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</si>
  <si>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</si>
  <si>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</si>
  <si>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</si>
  <si>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</si>
  <si>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</si>
  <si>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</si>
  <si>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</si>
  <si>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</si>
  <si>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</si>
  <si>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</si>
  <si>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</si>
  <si>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</si>
  <si>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</si>
  <si>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</si>
  <si>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</si>
  <si>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</si>
  <si>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</si>
  <si>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</si>
  <si>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</si>
  <si>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</si>
  <si>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</si>
  <si>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</si>
  <si>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</si>
  <si>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</si>
  <si>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</si>
  <si>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</si>
  <si>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</si>
  <si>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</si>
  <si>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</si>
  <si>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</si>
  <si>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</si>
  <si>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</si>
  <si>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</si>
  <si>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</si>
  <si>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</si>
  <si>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</si>
  <si>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</si>
  <si>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</si>
  <si>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</si>
  <si>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</si>
  <si>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</si>
  <si>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</si>
  <si>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</si>
  <si>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</si>
  <si>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</si>
  <si>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</si>
  <si>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</si>
  <si>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</si>
  <si>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</si>
  <si>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</si>
  <si>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</si>
  <si>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</si>
  <si>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</si>
  <si>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</si>
  <si>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</si>
  <si>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</si>
  <si>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</si>
  <si>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</si>
  <si>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</si>
  <si>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</si>
  <si>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</si>
  <si>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</si>
  <si>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</si>
  <si>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</si>
  <si>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</si>
  <si>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</si>
  <si>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</si>
  <si>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</si>
  <si>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</si>
  <si>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</si>
  <si>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</si>
  <si>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</si>
  <si>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</si>
  <si>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</si>
  <si>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</si>
  <si>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</si>
  <si>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</si>
  <si>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</si>
  <si>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</si>
  <si>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</si>
  <si>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</si>
  <si>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</si>
  <si>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</si>
  <si>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</si>
  <si>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</si>
  <si>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</si>
  <si>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</si>
  <si>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</si>
  <si>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</si>
  <si>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</si>
  <si>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</si>
  <si>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</si>
  <si>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</si>
  <si>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</si>
  <si>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</si>
  <si>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</si>
  <si>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</si>
  <si>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</si>
  <si>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</si>
  <si>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</si>
  <si>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</si>
  <si>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</si>
  <si>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</si>
  <si>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</si>
  <si>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</si>
  <si>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</si>
  <si>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</si>
  <si>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</si>
  <si>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</si>
  <si>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</si>
  <si>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</si>
  <si>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</si>
  <si>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</si>
  <si>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</si>
  <si>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</si>
  <si>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</si>
  <si>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</si>
  <si>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</si>
  <si>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</si>
  <si>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</si>
  <si>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</si>
  <si>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</si>
  <si>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</si>
  <si>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</si>
  <si>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</si>
  <si>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</si>
  <si>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</si>
  <si>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</si>
  <si>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</si>
  <si>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</si>
  <si>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</si>
  <si>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</si>
  <si>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</si>
  <si>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</si>
  <si>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</si>
  <si>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</si>
  <si>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</si>
  <si>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</si>
  <si>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</si>
  <si>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</si>
  <si>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</si>
  <si>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</si>
  <si>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</si>
  <si>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</si>
  <si>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</si>
  <si>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</si>
  <si>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</si>
  <si>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</si>
  <si>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</si>
  <si>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</si>
  <si>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</si>
  <si>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</si>
  <si>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</si>
  <si>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</si>
  <si>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</si>
  <si>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</si>
  <si>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</si>
  <si>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</si>
  <si>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</si>
  <si>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</si>
  <si>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</si>
  <si>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</si>
  <si>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</si>
  <si>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</si>
  <si>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</si>
  <si>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</si>
  <si>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</si>
  <si>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</si>
  <si>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</si>
  <si>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</si>
  <si>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</si>
  <si>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</si>
  <si>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</si>
  <si>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</si>
  <si>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</si>
  <si>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</si>
  <si>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</si>
  <si>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</si>
  <si>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</si>
  <si>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</si>
  <si>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</si>
  <si>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</si>
  <si>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</si>
  <si>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</si>
  <si>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</si>
  <si>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</si>
  <si>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</si>
  <si>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</si>
  <si>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</si>
  <si>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</si>
  <si>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</si>
  <si>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</si>
  <si>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</si>
  <si>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</si>
  <si>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</si>
  <si>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</si>
  <si>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</si>
  <si>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</si>
  <si>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</si>
  <si>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</si>
  <si>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</si>
  <si>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</si>
  <si>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</si>
  <si>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</si>
  <si>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</si>
  <si>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</si>
  <si>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</si>
  <si>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</si>
  <si>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</si>
  <si>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</si>
  <si>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</si>
  <si>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</si>
  <si>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</si>
  <si>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</si>
  <si>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</si>
  <si>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</si>
  <si>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</si>
  <si>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</si>
  <si>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</si>
  <si>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</si>
  <si>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</si>
  <si>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</si>
  <si>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</si>
  <si>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</si>
  <si>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</si>
  <si>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</si>
  <si>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</si>
  <si>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</si>
  <si>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</si>
  <si>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</si>
  <si>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</si>
  <si>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</si>
  <si>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</si>
  <si>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</si>
  <si>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</si>
  <si>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</si>
  <si>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</si>
  <si>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</si>
  <si>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</si>
  <si>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</si>
  <si>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</si>
  <si>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</si>
  <si>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</si>
  <si>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</si>
  <si>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</si>
  <si>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</si>
  <si>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</si>
  <si>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</si>
  <si>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</si>
  <si>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</si>
  <si>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</si>
  <si>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</si>
  <si>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</si>
  <si>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</si>
  <si>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</si>
  <si>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</si>
  <si>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</si>
  <si>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</si>
  <si>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</si>
  <si>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</si>
  <si>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</si>
  <si>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</si>
  <si>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</si>
  <si>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</si>
  <si>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</si>
  <si>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</si>
  <si>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</si>
  <si>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</si>
  <si>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</si>
  <si>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</si>
  <si>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</si>
  <si>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</si>
  <si>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</si>
  <si>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</si>
  <si>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</si>
  <si>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</si>
  <si>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</si>
  <si>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</si>
  <si>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</si>
  <si>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</si>
  <si>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</si>
  <si>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</si>
  <si>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</si>
  <si>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</si>
  <si>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</si>
  <si>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</si>
  <si>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</si>
  <si>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</si>
  <si>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</si>
  <si>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</si>
  <si>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</si>
  <si>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</si>
  <si>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</si>
  <si>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</si>
  <si>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</si>
  <si>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</si>
  <si>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</si>
  <si>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</si>
  <si>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</si>
  <si>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</si>
  <si>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</si>
  <si>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</si>
  <si>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</si>
  <si>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</si>
  <si>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</si>
  <si>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</si>
  <si>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</si>
  <si>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</si>
  <si>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</si>
  <si>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</si>
  <si>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</si>
  <si>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</si>
  <si>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</si>
  <si>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</si>
  <si>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</si>
  <si>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</si>
  <si>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</si>
  <si>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</si>
  <si>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</si>
  <si>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</si>
  <si>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</si>
  <si>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</si>
  <si>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</si>
  <si>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</si>
  <si>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</si>
  <si>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</si>
  <si>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</si>
  <si>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</si>
  <si>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</si>
  <si>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</si>
  <si>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</si>
  <si>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</si>
  <si>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</si>
  <si>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</si>
  <si>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</si>
  <si>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</si>
  <si>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</si>
  <si>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</si>
  <si>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</si>
  <si>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</si>
  <si>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</si>
  <si>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</si>
  <si>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</si>
  <si>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</si>
  <si>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</si>
  <si>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</si>
  <si>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</si>
  <si>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</si>
  <si>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</si>
  <si>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</si>
  <si>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</si>
  <si>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</si>
  <si>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</si>
  <si>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</si>
  <si>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</si>
  <si>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</si>
  <si>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</si>
  <si>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</si>
  <si>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</si>
  <si>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</si>
  <si>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</si>
  <si>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</si>
  <si>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</si>
  <si>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</si>
  <si>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</si>
  <si>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</si>
  <si>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</si>
  <si>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</si>
  <si>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</si>
  <si>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</si>
  <si>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</si>
  <si>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</si>
  <si>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</si>
  <si>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</si>
  <si>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</si>
  <si>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</si>
  <si>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</si>
  <si>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</si>
  <si>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</si>
  <si>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</si>
  <si>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</si>
  <si>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</si>
  <si>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</si>
  <si>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</si>
  <si>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</si>
  <si>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</si>
  <si>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</si>
  <si>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</si>
  <si>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</si>
  <si>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</si>
  <si>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</si>
  <si>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</si>
  <si>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</si>
  <si>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</si>
  <si>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</si>
  <si>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</si>
  <si>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</si>
  <si>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</si>
  <si>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</si>
  <si>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</si>
  <si>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</si>
  <si>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</si>
  <si>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</si>
  <si>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</si>
  <si>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</si>
  <si>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</si>
  <si>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</si>
  <si>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</si>
  <si>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</si>
  <si>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</si>
  <si>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</si>
  <si>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</si>
  <si>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</si>
  <si>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</si>
  <si>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</si>
  <si>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</si>
  <si>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</si>
  <si>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</si>
  <si>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</si>
  <si>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</si>
  <si>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</si>
  <si>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</si>
  <si>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</si>
  <si>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</si>
  <si>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</si>
  <si>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</si>
  <si>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</si>
  <si>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</si>
  <si>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</si>
  <si>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</si>
  <si>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</si>
  <si>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</si>
  <si>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</si>
  <si>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</si>
  <si>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</si>
  <si>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</si>
  <si>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</si>
  <si>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</si>
  <si>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</si>
  <si>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</si>
  <si>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</si>
  <si>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</si>
  <si>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</si>
  <si>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</si>
  <si>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</si>
  <si>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</si>
  <si>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</si>
  <si>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</si>
  <si>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</si>
  <si>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</si>
  <si>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</si>
  <si>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</si>
  <si>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</si>
  <si>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</si>
  <si>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</si>
  <si>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</si>
  <si>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</si>
  <si>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</si>
  <si>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</si>
  <si>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</si>
  <si>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</si>
  <si>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</si>
  <si>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</si>
  <si>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</si>
  <si>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</si>
  <si>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</si>
  <si>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</si>
  <si>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</si>
  <si>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</si>
  <si>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</si>
  <si>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</si>
  <si>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</si>
  <si>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</si>
  <si>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</si>
  <si>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</si>
  <si>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</si>
  <si>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</si>
  <si>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</si>
  <si>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</si>
  <si>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</si>
  <si>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</si>
  <si>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</si>
  <si>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</si>
  <si>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</si>
  <si>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</si>
  <si>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</si>
  <si>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</si>
  <si>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</si>
  <si>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</si>
  <si>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</si>
  <si>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</si>
  <si>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</si>
  <si>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</si>
  <si>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</si>
  <si>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</si>
  <si>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</si>
  <si>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</si>
  <si>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</si>
  <si>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</si>
  <si>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</si>
  <si>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</si>
  <si>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</si>
  <si>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</si>
  <si>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</si>
  <si>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</si>
  <si>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</si>
  <si>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</si>
  <si>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</si>
  <si>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</si>
  <si>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</si>
  <si>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</si>
  <si>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</si>
  <si>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</si>
  <si>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</si>
  <si>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</si>
  <si>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</si>
  <si>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</si>
  <si>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</si>
  <si>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</si>
  <si>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</si>
  <si>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</si>
  <si>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</si>
  <si>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</si>
  <si>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</si>
  <si>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</si>
  <si>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</si>
  <si>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</si>
  <si>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</si>
  <si>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</si>
  <si>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</si>
  <si>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</si>
  <si>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</si>
  <si>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</si>
  <si>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</si>
  <si>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</si>
  <si>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</si>
  <si>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</si>
  <si>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</si>
  <si>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</si>
  <si>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</si>
  <si>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</si>
  <si>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</si>
  <si>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</si>
  <si>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</si>
  <si>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</si>
  <si>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</si>
  <si>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</si>
  <si>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</si>
  <si>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</si>
  <si>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</si>
  <si>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</si>
  <si>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</si>
  <si>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</si>
  <si>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</si>
  <si>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</si>
  <si>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</si>
  <si>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</si>
  <si>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</si>
  <si>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</si>
  <si>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</si>
  <si>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</si>
  <si>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</si>
  <si>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</si>
  <si>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</si>
  <si>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</si>
  <si>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</si>
  <si>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</si>
  <si>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</si>
  <si>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</si>
  <si>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</si>
  <si>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</si>
  <si>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</si>
  <si>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</si>
  <si>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</si>
  <si>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</si>
  <si>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</si>
  <si>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</si>
  <si>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</si>
  <si>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</si>
  <si>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</si>
  <si>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</si>
  <si>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</si>
  <si>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</si>
  <si>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</si>
  <si>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</si>
  <si>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</si>
  <si>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</si>
  <si>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</si>
  <si>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</si>
  <si>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</si>
  <si>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</si>
  <si>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</si>
  <si>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</si>
  <si>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</si>
  <si>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</si>
  <si>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</si>
  <si>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</si>
  <si>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</si>
  <si>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</si>
  <si>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</si>
  <si>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</si>
  <si>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</si>
  <si>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</si>
  <si>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</si>
  <si>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</si>
  <si>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</si>
  <si>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</si>
  <si>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</si>
  <si>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</si>
  <si>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</si>
  <si>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</si>
  <si>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</si>
  <si>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</si>
  <si>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</si>
  <si>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</si>
  <si>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</si>
  <si>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</si>
  <si>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</si>
  <si>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</si>
  <si>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</si>
  <si>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</si>
  <si>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</si>
  <si>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</si>
  <si>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</si>
  <si>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</si>
  <si>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</si>
  <si>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</si>
  <si>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</si>
  <si>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</si>
  <si>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</si>
  <si>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</si>
  <si>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</si>
  <si>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</si>
  <si>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</si>
  <si>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</si>
  <si>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</si>
  <si>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</si>
  <si>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</si>
  <si>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</si>
  <si>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</si>
  <si>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</si>
  <si>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</si>
  <si>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</si>
  <si>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</si>
  <si>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</si>
  <si>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</si>
  <si>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</si>
  <si>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</si>
  <si>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</si>
  <si>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</si>
  <si>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</si>
  <si>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</si>
  <si>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</si>
  <si>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</si>
  <si>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</si>
  <si>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</si>
  <si>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</si>
  <si>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</si>
  <si>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</si>
  <si>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</si>
  <si>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</si>
  <si>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</si>
  <si>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</si>
  <si>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</si>
  <si>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</si>
  <si>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</si>
  <si>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</si>
  <si>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</si>
  <si>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</si>
  <si>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</si>
  <si>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</si>
  <si>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</si>
  <si>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</si>
  <si>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</si>
  <si>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</si>
  <si>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</si>
  <si>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</si>
  <si>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</si>
  <si>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</si>
  <si>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</si>
  <si>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</si>
  <si>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</si>
  <si>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</si>
  <si>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</si>
  <si>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</si>
  <si>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</si>
  <si>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</si>
  <si>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</si>
  <si>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</si>
  <si>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</si>
  <si>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</si>
  <si>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</si>
  <si>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</si>
  <si>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</si>
  <si>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</si>
  <si>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</si>
  <si>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</si>
  <si>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</si>
  <si>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</si>
  <si>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</si>
  <si>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</si>
  <si>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</si>
  <si>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</si>
  <si>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</si>
  <si>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</si>
  <si>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</si>
  <si>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</si>
  <si>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</si>
  <si>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</si>
  <si>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</si>
  <si>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</si>
  <si>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</si>
  <si>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</si>
  <si>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</si>
  <si>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</si>
  <si>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</si>
  <si>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</si>
  <si>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</si>
  <si>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</si>
  <si>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</si>
  <si>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</si>
  <si>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</si>
  <si>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</si>
  <si>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</si>
  <si>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</si>
  <si>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</si>
  <si>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</si>
  <si>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</si>
  <si>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</si>
  <si>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</si>
  <si>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</si>
  <si>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</si>
  <si>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</si>
  <si>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</si>
  <si>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</si>
  <si>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</si>
  <si>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</si>
  <si>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</si>
  <si>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</si>
  <si>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</si>
  <si>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</si>
  <si>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</si>
  <si>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</si>
  <si>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</si>
  <si>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</si>
  <si>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</si>
  <si>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</si>
  <si>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</si>
  <si>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</si>
  <si>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</si>
  <si>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</si>
  <si>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</si>
  <si>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</si>
  <si>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</si>
  <si>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</si>
  <si>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</si>
  <si>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</si>
  <si>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</si>
  <si>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</si>
  <si>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</si>
  <si>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</si>
  <si>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</si>
  <si>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</si>
  <si>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</si>
  <si>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</si>
  <si>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</si>
  <si>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</si>
  <si>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</si>
  <si>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</si>
  <si>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</si>
  <si>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</si>
  <si>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</si>
  <si>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</si>
  <si>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</si>
  <si>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</si>
  <si>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</si>
  <si>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</si>
  <si>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</si>
  <si>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</si>
  <si>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</si>
  <si>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</si>
  <si>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</si>
  <si>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</si>
  <si>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</si>
  <si>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</si>
  <si>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</si>
  <si>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</si>
  <si>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</si>
  <si>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</si>
  <si>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</si>
  <si>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</si>
  <si>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</si>
  <si>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</si>
  <si>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</si>
  <si>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</si>
  <si>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</si>
  <si>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</si>
  <si>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</si>
  <si>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</si>
  <si>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</si>
  <si>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</si>
  <si>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</si>
  <si>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</si>
  <si>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</si>
  <si>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</si>
  <si>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</si>
  <si>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</si>
  <si>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</si>
  <si>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</si>
  <si>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</si>
  <si>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</si>
  <si>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</si>
  <si>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</si>
  <si>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</si>
  <si>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</si>
  <si>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</si>
  <si>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</si>
  <si>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</si>
  <si>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</si>
  <si>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</si>
  <si>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</si>
  <si>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</si>
  <si>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</si>
  <si>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</si>
  <si>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</si>
  <si>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</si>
  <si>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</si>
  <si>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</si>
  <si>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</si>
  <si>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</si>
  <si>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</si>
  <si>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</si>
  <si>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</si>
  <si>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</si>
  <si>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</si>
  <si>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</si>
  <si>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</si>
  <si>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</si>
  <si>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</si>
  <si>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</si>
  <si>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</si>
  <si>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</si>
  <si>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</si>
  <si>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</si>
  <si>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</si>
  <si>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</si>
  <si>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</si>
  <si>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</si>
  <si>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</si>
  <si>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</si>
  <si>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</si>
  <si>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</si>
  <si>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</si>
  <si>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</si>
  <si>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</si>
  <si>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</si>
  <si>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</si>
  <si>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</si>
  <si>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</si>
  <si>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</si>
  <si>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</si>
  <si>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</si>
  <si>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</si>
  <si>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</si>
  <si>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</si>
  <si>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</si>
  <si>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</si>
  <si>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</si>
  <si>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</si>
  <si>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</si>
  <si>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</si>
  <si>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</si>
  <si>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</si>
  <si>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</si>
  <si>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</si>
  <si>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</si>
  <si>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</si>
  <si>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</si>
  <si>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</si>
  <si>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</si>
  <si>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</si>
  <si>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</si>
  <si>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</si>
  <si>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</si>
  <si>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</si>
  <si>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</si>
  <si>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</si>
  <si>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</si>
  <si>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</si>
  <si>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</si>
  <si>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</si>
  <si>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</si>
  <si>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</si>
  <si>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</si>
  <si>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</si>
  <si>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</si>
  <si>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</si>
  <si>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</si>
  <si>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</si>
  <si>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</si>
  <si>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</si>
  <si>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</si>
  <si>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</si>
  <si>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</si>
  <si>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</si>
  <si>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</si>
  <si>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</si>
  <si>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</si>
  <si>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</si>
  <si>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</si>
  <si>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</si>
  <si>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</si>
  <si>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</si>
  <si>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</si>
  <si>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</si>
  <si>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</si>
  <si>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</si>
  <si>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</si>
  <si>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</si>
  <si>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</si>
  <si>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</si>
  <si>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</si>
  <si>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</si>
  <si>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</si>
  <si>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</si>
  <si>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</si>
  <si>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</si>
  <si>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</si>
  <si>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</si>
  <si>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</si>
  <si>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</si>
  <si>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</si>
  <si>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</si>
  <si>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</si>
  <si>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</si>
  <si>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</si>
  <si>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</si>
  <si>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</si>
  <si>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</si>
  <si>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</si>
  <si>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</si>
  <si>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</si>
  <si>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</si>
  <si>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</si>
  <si>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</si>
  <si>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</si>
  <si>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</si>
  <si>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</si>
  <si>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</si>
  <si>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</si>
  <si>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</si>
  <si>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</si>
  <si>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</si>
  <si>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</si>
  <si>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</si>
  <si>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</si>
  <si>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</si>
  <si>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</si>
  <si>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</si>
  <si>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</si>
  <si>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</si>
  <si>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</si>
  <si>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</si>
  <si>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</si>
  <si>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</si>
  <si>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</si>
  <si>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</si>
  <si>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</si>
  <si>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</si>
  <si>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</si>
  <si>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</si>
  <si>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</si>
  <si>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</si>
  <si>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</si>
  <si>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</si>
  <si>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</si>
  <si>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</si>
  <si>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</si>
  <si>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</si>
  <si>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</si>
  <si>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</si>
  <si>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</si>
  <si>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</si>
  <si>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</si>
  <si>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</si>
  <si>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</si>
  <si>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</si>
  <si>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</si>
  <si>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</si>
  <si>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</si>
  <si>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</si>
  <si>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</si>
  <si>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</si>
  <si>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</si>
  <si>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</si>
  <si>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</si>
  <si>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</si>
  <si>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</si>
  <si>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</si>
  <si>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</si>
  <si>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</si>
  <si>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</si>
  <si>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</si>
  <si>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</si>
  <si>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</si>
  <si>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</si>
  <si>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</si>
  <si>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</si>
  <si>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</si>
  <si>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</si>
  <si>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</si>
  <si>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</si>
  <si>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</si>
  <si>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</si>
  <si>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</si>
  <si>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</si>
  <si>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</si>
  <si>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</si>
  <si>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</si>
  <si>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</si>
  <si>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</si>
  <si>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</si>
  <si>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</si>
  <si>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</si>
  <si>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</si>
  <si>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</si>
  <si>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</si>
  <si>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</si>
  <si>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</si>
  <si>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</si>
  <si>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</si>
  <si>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</si>
  <si>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</si>
  <si>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</si>
  <si>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</si>
  <si>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</si>
  <si>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</si>
  <si>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</si>
  <si>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</si>
  <si>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</si>
  <si>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</si>
  <si>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</si>
  <si>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</si>
  <si>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</si>
  <si>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</si>
  <si>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</si>
  <si>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</si>
  <si>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</si>
  <si>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</si>
  <si>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</si>
  <si>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</si>
  <si>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</si>
  <si>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</si>
  <si>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</si>
  <si>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</si>
  <si>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</si>
  <si>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</si>
  <si>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</si>
  <si>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</si>
  <si>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</si>
  <si>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</si>
  <si>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</si>
  <si>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</si>
  <si>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</si>
  <si>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</si>
  <si>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</si>
  <si>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</si>
  <si>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</si>
  <si>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</si>
  <si>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</si>
  <si>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</si>
  <si>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</si>
  <si>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</si>
  <si>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</si>
  <si>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</si>
  <si>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</si>
  <si>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</si>
  <si>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</si>
  <si>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</si>
  <si>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</si>
  <si>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</si>
  <si>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</si>
  <si>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</si>
  <si>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</si>
  <si>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</si>
  <si>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</si>
  <si>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</si>
  <si>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</si>
  <si>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</si>
  <si>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</si>
  <si>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</si>
  <si>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</si>
  <si>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</si>
  <si>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</si>
  <si>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</si>
  <si>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</si>
  <si>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</si>
  <si>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</si>
  <si>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</si>
  <si>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</si>
  <si>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</si>
  <si>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</si>
  <si>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</si>
  <si>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</si>
  <si>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</si>
  <si>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</si>
  <si>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</si>
  <si>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</si>
  <si>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</si>
  <si>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</si>
  <si>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</si>
  <si>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</si>
  <si>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</si>
  <si>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</si>
  <si>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</si>
  <si>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</si>
  <si>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</si>
  <si>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</si>
  <si>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</si>
  <si>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</si>
  <si>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</si>
  <si>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</si>
  <si>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</si>
  <si>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</si>
  <si>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</si>
  <si>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</si>
  <si>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</si>
  <si>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</si>
  <si>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</si>
  <si>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</si>
  <si>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</si>
  <si>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</si>
  <si>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</si>
  <si>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</si>
  <si>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</si>
  <si>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</si>
  <si>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</si>
  <si>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</si>
  <si>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</si>
  <si>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</si>
  <si>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</si>
  <si>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</si>
  <si>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</si>
  <si>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</si>
  <si>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</si>
  <si>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</si>
  <si>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</si>
  <si>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</si>
  <si>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</si>
  <si>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</si>
  <si>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</si>
  <si>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</si>
  <si>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</si>
  <si>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</si>
  <si>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</si>
  <si>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</si>
  <si>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</si>
  <si>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</si>
  <si>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</si>
  <si>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</si>
  <si>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</si>
  <si>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</si>
  <si>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</si>
  <si>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</si>
  <si>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</si>
  <si>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</si>
  <si>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</si>
  <si>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</si>
  <si>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</si>
  <si>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</si>
  <si>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</si>
  <si>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</si>
  <si>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</si>
  <si>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</si>
  <si>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</si>
  <si>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</si>
  <si>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</si>
  <si>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</si>
  <si>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</si>
  <si>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</si>
  <si>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</si>
  <si>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</si>
  <si>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</si>
  <si>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</si>
  <si>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</si>
  <si>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</si>
  <si>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</si>
  <si>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</si>
  <si>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</si>
  <si>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</si>
  <si>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</si>
  <si>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</si>
  <si>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</si>
  <si>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</si>
  <si>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</si>
  <si>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</si>
  <si>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</si>
  <si>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</si>
  <si>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</si>
  <si>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</si>
  <si>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</si>
  <si>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</si>
  <si>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</si>
  <si>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</si>
  <si>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</si>
  <si>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</si>
  <si>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</si>
  <si>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</si>
  <si>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</si>
  <si>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</si>
  <si>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</si>
  <si>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</si>
  <si>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</si>
  <si>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</si>
  <si>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</si>
  <si>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</si>
  <si>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</si>
  <si>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</si>
  <si>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</si>
  <si>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</si>
  <si>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</si>
  <si>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</si>
  <si>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</si>
  <si>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</si>
  <si>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</si>
  <si>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</si>
  <si>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</si>
  <si>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</si>
  <si>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</si>
  <si>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</si>
  <si>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</si>
  <si>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</si>
  <si>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</si>
  <si>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</si>
  <si>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</si>
  <si>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</si>
  <si>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</si>
  <si>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</si>
  <si>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</si>
  <si>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</si>
  <si>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</si>
  <si>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</si>
  <si>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</si>
  <si>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</si>
  <si>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</si>
  <si>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</si>
  <si>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</si>
  <si>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</si>
  <si>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</si>
  <si>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</si>
  <si>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</si>
  <si>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</si>
  <si>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</si>
  <si>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</si>
  <si>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</si>
  <si>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</si>
  <si>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</si>
  <si>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</si>
  <si>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</si>
  <si>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</si>
  <si>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</si>
  <si>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</si>
  <si>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</si>
  <si>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</si>
  <si>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</si>
  <si>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</si>
  <si>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</si>
  <si>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</si>
  <si>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</si>
  <si>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</si>
  <si>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</si>
  <si>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</si>
  <si>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</si>
  <si>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</si>
  <si>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</si>
  <si>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</si>
  <si>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</si>
  <si>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</si>
  <si>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</si>
  <si>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</si>
  <si>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</si>
  <si>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</si>
  <si>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</si>
  <si>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</si>
  <si>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</si>
  <si>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</si>
  <si>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</si>
  <si>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</si>
  <si>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</si>
  <si>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</si>
  <si>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</si>
  <si>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</si>
  <si>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</si>
  <si>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</si>
  <si>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</si>
  <si>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</si>
  <si>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</si>
  <si>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</si>
  <si>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</si>
  <si>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</si>
  <si>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</si>
  <si>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</si>
  <si>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</si>
  <si>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</si>
  <si>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</si>
  <si>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</si>
  <si>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</si>
  <si>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</si>
  <si>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</si>
  <si>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</si>
  <si>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</si>
  <si>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</si>
  <si>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</si>
  <si>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</si>
  <si>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</si>
  <si>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</si>
  <si>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</si>
  <si>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</si>
  <si>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</si>
  <si>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</si>
  <si>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</si>
  <si>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</si>
  <si>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</si>
  <si>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</si>
  <si>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</si>
  <si>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</si>
  <si>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</si>
  <si>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</si>
  <si>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</si>
  <si>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</si>
  <si>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</si>
  <si>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</si>
  <si>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</si>
  <si>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</si>
  <si>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</si>
  <si>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</si>
  <si>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</si>
  <si>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</si>
  <si>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</si>
  <si>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</si>
  <si>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</si>
  <si>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</si>
  <si>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</si>
  <si>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</si>
  <si>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</si>
  <si>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</si>
  <si>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</si>
  <si>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</si>
  <si>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</si>
  <si>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</si>
  <si>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</si>
  <si>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</si>
  <si>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</si>
  <si>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</si>
  <si>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</si>
  <si>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</si>
  <si>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</si>
  <si>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</si>
  <si>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</si>
  <si>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</si>
  <si>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</si>
  <si>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</si>
  <si>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</si>
  <si>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</si>
  <si>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</si>
  <si>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</si>
  <si>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</si>
  <si>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</si>
  <si>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</si>
  <si>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</si>
  <si>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</si>
  <si>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</si>
  <si>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</si>
  <si>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</si>
  <si>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</si>
  <si>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</si>
  <si>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</si>
  <si>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</si>
  <si>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</si>
  <si>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</si>
  <si>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</si>
  <si>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</si>
  <si>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</si>
  <si>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</si>
  <si>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</si>
  <si>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</si>
  <si>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</si>
  <si>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</si>
  <si>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</si>
  <si>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</si>
  <si>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</si>
  <si>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</si>
  <si>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</si>
  <si>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</si>
  <si>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</si>
  <si>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</si>
  <si>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</si>
  <si>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</si>
  <si>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</si>
  <si>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</si>
  <si>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</si>
  <si>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</si>
  <si>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</si>
  <si>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</si>
  <si>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</si>
  <si>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</si>
  <si>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</si>
  <si>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</si>
  <si>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</si>
  <si>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</si>
  <si>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</si>
  <si>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</si>
  <si>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</si>
  <si>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</si>
  <si>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</si>
  <si>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</si>
  <si>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</si>
  <si>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</si>
  <si>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</si>
  <si>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</si>
  <si>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</si>
  <si>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</si>
  <si>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</si>
  <si>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</si>
  <si>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</si>
  <si>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</si>
  <si>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</si>
  <si>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</si>
  <si>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</si>
  <si>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</si>
  <si>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</si>
  <si>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</si>
  <si>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</si>
  <si>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</si>
  <si>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</si>
  <si>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</si>
  <si>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</si>
  <si>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</si>
  <si>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</si>
  <si>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</si>
  <si>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</si>
  <si>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</si>
  <si>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</si>
  <si>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</si>
  <si>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</si>
  <si>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</si>
  <si>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</si>
  <si>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</si>
  <si>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</si>
  <si>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</si>
  <si>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</si>
  <si>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</si>
  <si>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</si>
  <si>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</si>
  <si>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</si>
  <si>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</si>
  <si>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</si>
  <si>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</si>
  <si>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</si>
  <si>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</si>
  <si>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</si>
  <si>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</si>
  <si>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</si>
  <si>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</si>
  <si>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</si>
  <si>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</si>
  <si>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</si>
  <si>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</si>
  <si>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</si>
  <si>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</si>
  <si>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</si>
  <si>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</si>
  <si>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</si>
  <si>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</si>
  <si>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</si>
  <si>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</si>
  <si>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</si>
  <si>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</si>
  <si>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</si>
  <si>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</si>
  <si>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</si>
  <si>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</si>
  <si>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</si>
  <si>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</si>
  <si>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</si>
  <si>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</si>
  <si>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</si>
  <si>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</si>
  <si>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</si>
  <si>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</si>
  <si>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</si>
  <si>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</si>
  <si>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</si>
  <si>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</si>
  <si>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</si>
  <si>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</si>
  <si>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</si>
  <si>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</si>
  <si>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</si>
  <si>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</si>
  <si>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</si>
  <si>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</si>
  <si>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</si>
  <si>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</si>
  <si>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</si>
  <si>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</si>
  <si>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</si>
  <si>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</si>
  <si>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</si>
  <si>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</si>
  <si>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</si>
  <si>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</si>
  <si>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</si>
  <si>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</si>
  <si>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</si>
  <si>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</si>
  <si>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</si>
  <si>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</si>
  <si>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</si>
  <si>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</si>
  <si>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</si>
  <si>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</si>
  <si>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</si>
  <si>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</si>
  <si>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</si>
  <si>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</si>
  <si>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</si>
  <si>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</si>
  <si>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</si>
  <si>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</si>
  <si>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</si>
  <si>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</si>
  <si>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</si>
  <si>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</si>
  <si>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</si>
  <si>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</si>
  <si>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</si>
  <si>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</si>
  <si>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</si>
  <si>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</si>
  <si>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</si>
  <si>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</si>
  <si>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</si>
  <si>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</si>
  <si>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</si>
  <si>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</si>
  <si>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</si>
  <si>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</si>
  <si>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</si>
  <si>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</si>
  <si>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</si>
  <si>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</si>
  <si>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</si>
  <si>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</si>
  <si>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</si>
  <si>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</si>
  <si>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</si>
  <si>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</si>
  <si>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</si>
  <si>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</si>
  <si>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</si>
  <si>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</si>
  <si>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</si>
  <si>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</si>
  <si>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</si>
  <si>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</si>
  <si>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</si>
  <si>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</si>
  <si>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</si>
  <si>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</si>
  <si>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</si>
  <si>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</si>
  <si>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</si>
  <si>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</si>
  <si>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</si>
  <si>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</si>
  <si>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</si>
  <si>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</si>
  <si>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</si>
  <si>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</si>
  <si>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</si>
  <si>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</si>
  <si>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</si>
  <si>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</si>
  <si>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</si>
  <si>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</si>
  <si>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</si>
  <si>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</si>
  <si>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</si>
  <si>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</si>
  <si>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</si>
  <si>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</si>
  <si>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</si>
  <si>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</si>
  <si>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</si>
  <si>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</si>
  <si>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</si>
  <si>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</si>
  <si>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</si>
  <si>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</si>
  <si>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</si>
  <si>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</si>
  <si>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</si>
  <si>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</si>
  <si>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</si>
  <si>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</si>
  <si>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</si>
  <si>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</si>
  <si>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</si>
  <si>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</si>
  <si>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</si>
  <si>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</si>
  <si>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</si>
  <si>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</si>
  <si>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</si>
  <si>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</si>
  <si>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</si>
  <si>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</si>
  <si>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</si>
  <si>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</si>
  <si>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</si>
  <si>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</si>
  <si>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</si>
  <si>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</si>
  <si>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</si>
  <si>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</si>
  <si>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</si>
  <si>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</si>
  <si>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</si>
  <si>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</si>
  <si>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</si>
  <si>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</si>
  <si>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</si>
  <si>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</si>
  <si>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</si>
  <si>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</si>
  <si>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</si>
  <si>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</si>
  <si>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</si>
  <si>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</si>
  <si>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</si>
  <si>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</si>
  <si>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</si>
  <si>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</si>
  <si>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</si>
  <si>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</si>
  <si>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</si>
  <si>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</si>
  <si>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</si>
  <si>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</si>
  <si>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</si>
  <si>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</si>
  <si>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</si>
  <si>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</si>
  <si>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</si>
  <si>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</si>
  <si>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</si>
  <si>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</si>
  <si>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</si>
  <si>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</si>
  <si>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</si>
  <si>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</si>
  <si>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</si>
  <si>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</si>
  <si>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</si>
  <si>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</si>
  <si>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</si>
  <si>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</si>
  <si>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</si>
  <si>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</si>
  <si>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</si>
  <si>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</si>
  <si>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</si>
  <si>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</si>
  <si>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</si>
  <si>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</si>
  <si>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</si>
  <si>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</si>
  <si>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</si>
  <si>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</si>
  <si>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</si>
  <si>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</si>
  <si>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</si>
  <si>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</si>
  <si>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</si>
  <si>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</si>
  <si>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</si>
  <si>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</si>
  <si>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</si>
  <si>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</si>
  <si>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</si>
  <si>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</si>
  <si>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</si>
  <si>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</si>
  <si>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</si>
  <si>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</si>
  <si>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</si>
  <si>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</si>
  <si>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</si>
  <si>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</si>
  <si>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</si>
  <si>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</si>
  <si>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</si>
  <si>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</si>
  <si>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</si>
  <si>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</si>
  <si>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</si>
  <si>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</si>
  <si>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</si>
  <si>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</si>
  <si>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</si>
  <si>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</si>
  <si>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</si>
  <si>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</si>
  <si>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</si>
  <si>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</si>
  <si>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</si>
  <si>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</si>
  <si>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</si>
  <si>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</si>
  <si>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</si>
  <si>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</si>
  <si>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</si>
  <si>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</si>
  <si>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</si>
  <si>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</si>
  <si>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</si>
  <si>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</si>
  <si>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</si>
  <si>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</si>
  <si>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</si>
  <si>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</si>
  <si>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</si>
  <si>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</si>
  <si>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</si>
  <si>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</si>
  <si>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</si>
  <si>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</si>
  <si>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</si>
  <si>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</si>
  <si>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</si>
  <si>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</si>
  <si>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</si>
  <si>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</si>
  <si>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</si>
  <si>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</si>
  <si>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</si>
  <si>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</si>
  <si>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</si>
  <si>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</si>
  <si>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</si>
  <si>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</si>
  <si>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</si>
  <si>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</si>
  <si>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</si>
  <si>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</si>
  <si>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</si>
  <si>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</si>
  <si>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</si>
  <si>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</si>
  <si>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</si>
  <si>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</si>
  <si>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</si>
  <si>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</si>
  <si>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</si>
  <si>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</si>
  <si>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</si>
  <si>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</si>
  <si>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</si>
  <si>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</si>
  <si>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</si>
  <si>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</si>
  <si>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</si>
  <si>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</si>
  <si>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</si>
  <si>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</si>
  <si>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</si>
  <si>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</si>
  <si>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</si>
  <si>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</si>
  <si>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</si>
  <si>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</si>
  <si>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</si>
  <si>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</si>
  <si>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</si>
  <si>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</si>
  <si>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</si>
  <si>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</si>
  <si>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</si>
  <si>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</si>
  <si>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</si>
  <si>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</si>
  <si>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</si>
  <si>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</si>
  <si>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</si>
  <si>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</si>
  <si>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</si>
  <si>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</si>
  <si>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</si>
  <si>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</si>
  <si>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</si>
  <si>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</si>
  <si>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</si>
  <si>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</si>
  <si>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</si>
  <si>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</si>
  <si>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</si>
  <si>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</si>
  <si>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</si>
  <si>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</si>
  <si>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</si>
  <si>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</si>
  <si>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</si>
  <si>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</si>
  <si>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</si>
  <si>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</si>
  <si>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</si>
  <si>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</si>
  <si>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</si>
  <si>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</si>
  <si>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</si>
  <si>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</si>
  <si>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</si>
  <si>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</si>
  <si>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</si>
  <si>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</si>
  <si>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</si>
  <si>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</si>
  <si>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</si>
  <si>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</si>
  <si>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</si>
  <si>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</si>
  <si>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</si>
  <si>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</si>
  <si>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</si>
  <si>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</si>
  <si>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</si>
  <si>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</si>
  <si>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</si>
  <si>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</si>
  <si>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</si>
  <si>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</si>
  <si>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</si>
  <si>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</si>
  <si>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</si>
  <si>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</si>
  <si>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</si>
  <si>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</si>
  <si>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</si>
  <si>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</si>
  <si>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</si>
  <si>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</si>
  <si>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</si>
  <si>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</si>
  <si>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</si>
  <si>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</si>
  <si>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</si>
  <si>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</si>
  <si>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</si>
  <si>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</si>
  <si>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</si>
  <si>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</si>
  <si>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</si>
  <si>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</si>
  <si>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</si>
  <si>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</si>
  <si>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</si>
  <si>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</si>
  <si>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</si>
  <si>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</si>
  <si>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</si>
  <si>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</si>
  <si>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</si>
  <si>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</si>
  <si>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</si>
  <si>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</si>
  <si>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</si>
  <si>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</si>
  <si>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</si>
  <si>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</si>
  <si>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</si>
  <si>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</si>
  <si>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</si>
  <si>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</si>
  <si>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</si>
  <si>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</si>
  <si>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</si>
  <si>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</si>
  <si>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</si>
  <si>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</si>
  <si>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</si>
  <si>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</si>
  <si>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</si>
  <si>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</si>
  <si>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</si>
  <si>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</si>
  <si>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</si>
  <si>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</si>
  <si>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</si>
  <si>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</si>
  <si>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</si>
  <si>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</si>
  <si>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</si>
  <si>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</si>
  <si>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</si>
  <si>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</si>
  <si>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</si>
  <si>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</si>
  <si>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</si>
  <si>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</si>
  <si>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</si>
  <si>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</si>
  <si>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</si>
  <si>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</si>
  <si>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</si>
  <si>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</si>
  <si>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</si>
  <si>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</si>
  <si>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</si>
  <si>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</si>
  <si>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</si>
  <si>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</si>
  <si>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</si>
  <si>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</si>
  <si>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</si>
  <si>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</si>
  <si>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</si>
  <si>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</si>
  <si>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</si>
  <si>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</si>
  <si>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</si>
  <si>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</si>
  <si>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</si>
  <si>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</si>
  <si>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</si>
  <si>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</si>
  <si>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</si>
  <si>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</si>
  <si>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</si>
  <si>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</si>
  <si>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</si>
  <si>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</si>
  <si>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</si>
  <si>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</si>
  <si>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</si>
  <si>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</si>
  <si>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</si>
  <si>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</si>
  <si>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</si>
  <si>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</si>
  <si>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</si>
  <si>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</si>
  <si>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</si>
  <si>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</si>
  <si>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</si>
  <si>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</si>
  <si>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</si>
  <si>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</si>
  <si>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</si>
  <si>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</si>
  <si>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</si>
  <si>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</si>
  <si>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</si>
  <si>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</si>
  <si>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</si>
  <si>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</si>
  <si>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</si>
  <si>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</si>
  <si>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</si>
  <si>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</si>
  <si>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</si>
  <si>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</si>
  <si>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</si>
  <si>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</si>
  <si>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</si>
  <si>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</si>
  <si>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</si>
  <si>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</si>
  <si>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</si>
  <si>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</si>
  <si>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</si>
  <si>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</si>
  <si>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</si>
  <si>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</si>
  <si>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</si>
  <si>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</si>
  <si>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</si>
  <si>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</si>
  <si>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</si>
  <si>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</si>
  <si>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</si>
  <si>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</si>
  <si>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</si>
  <si>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</si>
  <si>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</si>
  <si>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</si>
  <si>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</si>
  <si>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</si>
  <si>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</si>
  <si>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</si>
  <si>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</si>
  <si>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</si>
  <si>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</si>
  <si>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</si>
  <si>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</si>
  <si>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</si>
  <si>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</si>
  <si>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</si>
  <si>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</si>
  <si>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</si>
  <si>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</si>
  <si>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</si>
  <si>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</si>
  <si>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</si>
  <si>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</si>
  <si>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</si>
  <si>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</si>
  <si>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</si>
  <si>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</si>
  <si>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</si>
  <si>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</si>
  <si>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</si>
  <si>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</si>
  <si>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</si>
  <si>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</si>
  <si>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</si>
  <si>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</si>
  <si>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</si>
  <si>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</si>
  <si>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</si>
  <si>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</si>
  <si>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</si>
  <si>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</si>
  <si>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</si>
  <si>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</si>
  <si>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</si>
  <si>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</si>
  <si>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</si>
  <si>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</si>
  <si>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</si>
  <si>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</si>
  <si>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</si>
  <si>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</si>
  <si>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</si>
  <si>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</si>
  <si>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</si>
  <si>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</si>
  <si>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</si>
  <si>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</si>
  <si>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</si>
  <si>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</si>
  <si>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</si>
  <si>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</si>
  <si>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</si>
  <si>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</si>
  <si>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</si>
  <si>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</si>
  <si>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</si>
  <si>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</si>
  <si>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</si>
  <si>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</si>
  <si>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</si>
  <si>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</si>
  <si>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</si>
  <si>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</si>
  <si>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</si>
  <si>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</si>
  <si>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</si>
  <si>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</si>
  <si>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</si>
  <si>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</si>
  <si>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</si>
  <si>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</si>
  <si>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</si>
  <si>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</si>
  <si>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</si>
  <si>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</si>
  <si>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</si>
  <si>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</si>
  <si>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</si>
  <si>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</si>
  <si>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</si>
  <si>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</si>
  <si>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</si>
  <si>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</si>
  <si>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</si>
  <si>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</si>
  <si>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</si>
  <si>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</si>
  <si>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</si>
  <si>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</si>
  <si>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</si>
  <si>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</si>
  <si>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</si>
  <si>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</si>
  <si>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</si>
  <si>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</si>
  <si>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</si>
  <si>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</si>
  <si>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</si>
  <si>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</si>
  <si>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</si>
  <si>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</si>
  <si>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</si>
  <si>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</si>
  <si>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</si>
  <si>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</si>
  <si>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</si>
  <si>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</si>
  <si>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</si>
  <si>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</si>
  <si>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</si>
  <si>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</si>
  <si>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</si>
  <si>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</si>
  <si>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</si>
  <si>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</si>
  <si>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</si>
  <si>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</si>
  <si>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</si>
  <si>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</si>
  <si>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</si>
  <si>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</si>
  <si>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</si>
  <si>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</si>
  <si>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</si>
  <si>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</si>
  <si>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</si>
  <si>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</si>
  <si>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</si>
  <si>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</si>
  <si>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</si>
  <si>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</si>
  <si>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</si>
  <si>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</si>
  <si>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</si>
  <si>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</si>
  <si>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</si>
  <si>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</si>
  <si>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</si>
  <si>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</si>
  <si>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</si>
  <si>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</si>
  <si>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</si>
  <si>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</si>
  <si>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</si>
  <si>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</si>
  <si>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</si>
  <si>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</si>
  <si>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</si>
  <si>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</si>
  <si>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</si>
  <si>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</si>
  <si>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</si>
  <si>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</si>
  <si>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</si>
  <si>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</si>
  <si>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</si>
  <si>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</si>
  <si>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</si>
  <si>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</si>
  <si>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</si>
  <si>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</si>
  <si>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</si>
  <si>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</si>
  <si>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</si>
  <si>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</si>
  <si>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</si>
  <si>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</si>
  <si>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</si>
  <si>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</si>
  <si>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</si>
  <si>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</si>
  <si>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</si>
  <si>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</si>
  <si>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</si>
  <si>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</si>
  <si>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</si>
  <si>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</si>
  <si>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</si>
  <si>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</si>
  <si>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</si>
  <si>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</si>
  <si>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</si>
  <si>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</si>
  <si>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</si>
  <si>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</si>
  <si>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</si>
  <si>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</si>
  <si>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</si>
  <si>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</si>
  <si>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</si>
  <si>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</si>
  <si>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</si>
  <si>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</si>
  <si>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</si>
  <si>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</si>
  <si>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</si>
  <si>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</si>
  <si>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</si>
  <si>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</si>
  <si>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</si>
  <si>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</si>
  <si>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</si>
  <si>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</si>
  <si>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</si>
  <si>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</si>
  <si>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</si>
  <si>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</si>
  <si>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</si>
  <si>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</si>
  <si>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</si>
  <si>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</si>
  <si>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</si>
  <si>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</si>
  <si>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</si>
  <si>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</si>
  <si>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</si>
  <si>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</si>
  <si>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</si>
  <si>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</si>
  <si>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</si>
  <si>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</si>
  <si>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</si>
  <si>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</si>
  <si>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</si>
  <si>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</si>
  <si>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</si>
  <si>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</si>
  <si>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</si>
  <si>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</si>
  <si>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</si>
  <si>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</si>
  <si>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</si>
  <si>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</si>
  <si>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</si>
  <si>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</si>
  <si>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</si>
  <si>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</si>
  <si>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</si>
  <si>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</si>
  <si>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</si>
  <si>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</si>
  <si>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</si>
  <si>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</si>
  <si>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</si>
  <si>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</si>
  <si>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</si>
  <si>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</si>
  <si>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</si>
  <si>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</si>
  <si>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</si>
  <si>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</si>
  <si>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</si>
  <si>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</si>
  <si>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</si>
  <si>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</si>
  <si>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</si>
  <si>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</si>
  <si>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</si>
  <si>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</si>
  <si>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</si>
  <si>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</si>
  <si>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</si>
  <si>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</si>
  <si>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</si>
  <si>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</si>
  <si>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</si>
  <si>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</si>
  <si>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</si>
  <si>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</si>
  <si>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</si>
  <si>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</si>
  <si>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</si>
  <si>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</si>
  <si>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</si>
  <si>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</si>
  <si>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</si>
  <si>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</si>
  <si>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</si>
  <si>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</si>
  <si>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</si>
  <si>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</si>
  <si>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</si>
  <si>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</si>
  <si>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</si>
  <si>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</si>
  <si>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</si>
  <si>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</si>
  <si>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</si>
  <si>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</si>
  <si>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</si>
  <si>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</si>
  <si>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</si>
  <si>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</si>
  <si>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</si>
  <si>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</si>
  <si>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</si>
  <si>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</si>
  <si>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</si>
  <si>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</si>
  <si>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</si>
  <si>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</si>
  <si>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</si>
  <si>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</si>
  <si>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</si>
  <si>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</si>
  <si>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</si>
  <si>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</si>
  <si>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</si>
  <si>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</si>
  <si>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</si>
  <si>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</si>
  <si>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</si>
  <si>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</si>
  <si>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</si>
  <si>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</si>
  <si>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</si>
  <si>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</si>
  <si>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</si>
  <si>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</si>
  <si>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</si>
  <si>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</si>
  <si>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</si>
  <si>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</si>
  <si>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</si>
  <si>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</si>
  <si>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</si>
  <si>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</si>
  <si>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</si>
  <si>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</si>
  <si>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</si>
  <si>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</si>
  <si>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</si>
  <si>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</si>
  <si>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</si>
  <si>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</si>
  <si>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</si>
  <si>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</si>
  <si>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</si>
  <si>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</si>
  <si>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</si>
  <si>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</si>
  <si>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</si>
  <si>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</si>
  <si>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</si>
  <si>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</si>
  <si>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</si>
  <si>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</si>
  <si>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</si>
  <si>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</si>
  <si>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</si>
  <si>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</si>
  <si>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</si>
  <si>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</si>
  <si>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</si>
  <si>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</si>
  <si>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</si>
  <si>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</si>
  <si>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</si>
  <si>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</si>
  <si>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</si>
  <si>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</si>
  <si>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</si>
  <si>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</si>
  <si>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</si>
  <si>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</si>
  <si>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</si>
  <si>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</si>
  <si>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</si>
  <si>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</si>
  <si>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</si>
  <si>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</si>
  <si>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</si>
  <si>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</si>
  <si>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</si>
  <si>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</si>
  <si>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</si>
  <si>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</si>
  <si>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</si>
  <si>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</si>
  <si>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</si>
  <si>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</si>
  <si>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</si>
  <si>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</si>
  <si>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</si>
  <si>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</si>
  <si>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</si>
  <si>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</si>
  <si>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</si>
  <si>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</si>
  <si>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</si>
  <si>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</si>
  <si>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</si>
  <si>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</si>
  <si>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</si>
  <si>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</si>
  <si>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</si>
  <si>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</si>
  <si>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</si>
  <si>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</si>
  <si>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</si>
  <si>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</si>
  <si>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</si>
  <si>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</si>
  <si>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</si>
  <si>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</si>
  <si>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</si>
  <si>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</si>
  <si>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</si>
  <si>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</si>
  <si>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</si>
  <si>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</si>
  <si>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</si>
  <si>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</si>
  <si>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</si>
  <si>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</si>
  <si>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</si>
  <si>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</si>
  <si>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</si>
  <si>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</si>
  <si>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</si>
  <si>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</si>
  <si>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</si>
  <si>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</si>
  <si>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</si>
  <si>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</si>
  <si>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</si>
  <si>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</si>
  <si>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</si>
  <si>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</si>
  <si>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</si>
  <si>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</si>
  <si>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</si>
  <si>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</si>
  <si>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</si>
  <si>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</si>
  <si>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</si>
  <si>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</si>
  <si>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</si>
  <si>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</si>
  <si>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</si>
  <si>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</si>
  <si>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</si>
  <si>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</si>
  <si>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</si>
  <si>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</si>
  <si>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</si>
  <si>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</si>
  <si>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</si>
  <si>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</si>
  <si>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</si>
  <si>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</si>
  <si>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</si>
  <si>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</si>
  <si>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</si>
  <si>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</si>
  <si>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</si>
  <si>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</si>
  <si>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</si>
  <si>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</si>
  <si>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</si>
  <si>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</si>
  <si>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</si>
  <si>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</si>
  <si>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</si>
  <si>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</si>
  <si>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</si>
  <si>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</si>
  <si>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</si>
  <si>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</si>
  <si>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</si>
  <si>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</si>
  <si>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</si>
  <si>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</si>
  <si>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</si>
  <si>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</si>
  <si>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</si>
  <si>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</si>
  <si>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</si>
  <si>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</si>
  <si>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</si>
  <si>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</si>
  <si>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</si>
  <si>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</si>
  <si>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</si>
  <si>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</si>
  <si>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</si>
  <si>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</si>
  <si>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</si>
  <si>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</si>
  <si>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</si>
  <si>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</si>
  <si>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</si>
  <si>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</si>
  <si>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</si>
  <si>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</si>
  <si>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</si>
  <si>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</si>
  <si>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</si>
  <si>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</si>
  <si>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</si>
  <si>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</si>
  <si>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</si>
  <si>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</si>
  <si>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</si>
  <si>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</si>
  <si>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</si>
  <si>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</si>
  <si>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</si>
  <si>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</si>
  <si>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</si>
  <si>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</si>
  <si>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</si>
  <si>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</si>
  <si>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</si>
  <si>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</si>
  <si>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</si>
  <si>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</si>
  <si>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</si>
  <si>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</si>
  <si>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</si>
  <si>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</si>
  <si>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</si>
  <si>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</si>
  <si>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</si>
  <si>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</si>
  <si>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</si>
  <si>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</si>
  <si>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</si>
  <si>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</si>
  <si>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</si>
  <si>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</si>
  <si>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</si>
  <si>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</si>
  <si>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</si>
  <si>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</si>
  <si>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</si>
  <si>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</si>
  <si>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</si>
  <si>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</si>
  <si>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</si>
  <si>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</si>
  <si>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</si>
  <si>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</si>
  <si>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</si>
  <si>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</si>
  <si>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</si>
  <si>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</si>
  <si>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</si>
  <si>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</si>
  <si>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</si>
  <si>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</si>
  <si>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</si>
  <si>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</si>
  <si>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</si>
  <si>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</si>
  <si>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</si>
  <si>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</si>
  <si>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</si>
  <si>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</si>
  <si>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</si>
  <si>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</si>
  <si>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</si>
  <si>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</si>
  <si>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</si>
  <si>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</si>
  <si>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</si>
  <si>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</si>
  <si>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</si>
  <si>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</si>
  <si>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</si>
  <si>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</si>
  <si>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</si>
  <si>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</si>
  <si>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</si>
  <si>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</si>
  <si>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</si>
  <si>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</si>
  <si>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</si>
  <si>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</si>
  <si>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</si>
  <si>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</si>
  <si>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</si>
  <si>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</si>
  <si>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</si>
  <si>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</si>
  <si>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</si>
  <si>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</si>
  <si>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</si>
  <si>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</si>
  <si>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</si>
  <si>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</si>
  <si>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</si>
  <si>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</si>
  <si>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</si>
  <si>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</si>
  <si>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</si>
  <si>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</si>
  <si>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</si>
  <si>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</si>
  <si>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</si>
  <si>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</si>
  <si>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</si>
  <si>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</si>
  <si>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</si>
  <si>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</si>
  <si>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</si>
  <si>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</si>
  <si>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</si>
  <si>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</si>
  <si>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</si>
  <si>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</si>
  <si>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</si>
  <si>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</si>
  <si>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</si>
  <si>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</si>
  <si>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</si>
  <si>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</si>
  <si>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</si>
  <si>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</si>
  <si>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</si>
  <si>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</si>
  <si>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</si>
  <si>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</si>
  <si>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</si>
  <si>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</si>
  <si>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</si>
  <si>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</si>
  <si>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</si>
  <si>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</si>
  <si>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</si>
  <si>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</si>
  <si>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</si>
  <si>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</si>
  <si>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</si>
  <si>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</si>
  <si>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</si>
  <si>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</si>
  <si>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</si>
  <si>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</si>
  <si>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</si>
  <si>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</si>
  <si>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</si>
  <si>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</si>
  <si>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</si>
  <si>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</si>
  <si>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</si>
  <si>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</si>
  <si>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</si>
  <si>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</si>
  <si>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</si>
  <si>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</si>
  <si>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</si>
  <si>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</si>
  <si>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</si>
  <si>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</si>
  <si>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</si>
  <si>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</si>
  <si>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</si>
  <si>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</si>
  <si>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</si>
  <si>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</si>
  <si>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</si>
  <si>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</si>
  <si>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</si>
  <si>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</si>
  <si>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</si>
  <si>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</si>
  <si>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</si>
  <si>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</si>
  <si>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</si>
  <si>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</si>
  <si>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</si>
  <si>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</si>
  <si>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</si>
  <si>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</si>
  <si>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</si>
  <si>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</si>
  <si>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</si>
  <si>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</si>
  <si>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</si>
  <si>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</si>
  <si>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</si>
  <si>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</si>
  <si>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</si>
  <si>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</si>
  <si>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</si>
  <si>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</si>
  <si>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</si>
  <si>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</si>
  <si>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</si>
  <si>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</si>
  <si>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</si>
  <si>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</si>
  <si>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</si>
  <si>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</si>
  <si>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</si>
  <si>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</si>
  <si>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</si>
  <si>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</si>
  <si>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</si>
  <si>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</si>
  <si>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</si>
  <si>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</si>
  <si>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</si>
  <si>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</si>
  <si>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</si>
  <si>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</si>
  <si>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</si>
  <si>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</si>
  <si>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</si>
  <si>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</si>
  <si>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</si>
  <si>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</si>
  <si>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</si>
  <si>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</si>
  <si>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</si>
  <si>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</si>
  <si>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</si>
  <si>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</si>
  <si>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</si>
  <si>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</si>
  <si>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</si>
  <si>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</si>
  <si>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</si>
  <si>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</si>
  <si>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</si>
  <si>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</si>
  <si>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</si>
  <si>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</si>
  <si>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</si>
  <si>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</si>
  <si>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</si>
  <si>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</si>
  <si>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</si>
  <si>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</si>
  <si>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</si>
  <si>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</si>
  <si>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</si>
  <si>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</si>
  <si>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</si>
  <si>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</si>
  <si>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</si>
  <si>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</si>
  <si>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</si>
  <si>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</si>
  <si>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</si>
  <si>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</si>
  <si>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</si>
  <si>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</si>
  <si>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</si>
  <si>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</si>
  <si>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</si>
  <si>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</si>
  <si>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</si>
  <si>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</si>
  <si>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</si>
  <si>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</si>
  <si>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</si>
  <si>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</si>
  <si>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</si>
  <si>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</si>
  <si>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</si>
  <si>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</si>
  <si>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</si>
  <si>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</si>
  <si>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</si>
  <si>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</si>
  <si>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</si>
  <si>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</si>
  <si>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</si>
  <si>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</si>
  <si>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</si>
  <si>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</si>
  <si>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</si>
  <si>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</si>
  <si>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</si>
  <si>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</si>
  <si>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</si>
  <si>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</si>
  <si>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</si>
  <si>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</si>
  <si>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</si>
  <si>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</si>
  <si>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</si>
  <si>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</si>
  <si>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</si>
  <si>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</si>
  <si>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</si>
  <si>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</si>
  <si>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</si>
  <si>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</si>
  <si>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</si>
  <si>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</si>
  <si>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</si>
  <si>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</si>
  <si>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</si>
  <si>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</si>
  <si>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</si>
  <si>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</si>
  <si>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</si>
  <si>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</si>
  <si>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</si>
  <si>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</si>
  <si>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</si>
  <si>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</si>
  <si>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</si>
  <si>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</si>
  <si>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</si>
  <si>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</si>
  <si>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</si>
  <si>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</si>
  <si>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</si>
  <si>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</si>
  <si>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</si>
  <si>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</si>
  <si>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</si>
  <si>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</si>
  <si>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</si>
  <si>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</si>
  <si>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</si>
  <si>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</si>
  <si>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</si>
  <si>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</si>
  <si>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</si>
  <si>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</si>
  <si>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</si>
  <si>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</si>
  <si>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</si>
  <si>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</si>
  <si>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</si>
  <si>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</si>
  <si>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</si>
  <si>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</si>
  <si>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</si>
  <si>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</si>
  <si>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</si>
  <si>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</si>
  <si>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</si>
  <si>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</si>
  <si>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</si>
  <si>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</si>
  <si>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</si>
  <si>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</si>
  <si>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</si>
  <si>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</si>
  <si>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</si>
  <si>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</si>
  <si>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</si>
  <si>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</si>
  <si>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</si>
  <si>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</si>
  <si>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</si>
  <si>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</si>
  <si>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</si>
  <si>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</si>
  <si>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</si>
  <si>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</si>
  <si>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</si>
  <si>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</si>
  <si>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</si>
  <si>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</si>
  <si>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</si>
  <si>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</si>
  <si>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</si>
  <si>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</si>
  <si>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</si>
  <si>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</si>
  <si>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</si>
  <si>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</si>
  <si>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</si>
  <si>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</si>
  <si>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</si>
  <si>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</si>
  <si>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</si>
  <si>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</si>
  <si>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</si>
  <si>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</si>
  <si>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</si>
  <si>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</si>
  <si>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</si>
  <si>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</si>
  <si>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</si>
  <si>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</si>
  <si>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</si>
  <si>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</si>
  <si>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</si>
  <si>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</si>
  <si>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</si>
  <si>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</si>
  <si>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</si>
  <si>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</si>
  <si>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</si>
  <si>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</si>
  <si>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</si>
  <si>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</si>
  <si>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</si>
  <si>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</si>
  <si>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</si>
  <si>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</si>
  <si>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</si>
  <si>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</si>
  <si>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</si>
  <si>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</si>
  <si>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</si>
  <si>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</si>
  <si>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</si>
  <si>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</si>
  <si>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</si>
  <si>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</si>
  <si>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</si>
  <si>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</si>
  <si>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</si>
  <si>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</si>
  <si>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</si>
  <si>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</si>
  <si>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</si>
  <si>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</si>
  <si>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</si>
  <si>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</si>
  <si>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</si>
  <si>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</si>
  <si>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</si>
  <si>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</si>
  <si>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</si>
  <si>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</si>
  <si>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</si>
  <si>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</si>
  <si>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</si>
  <si>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</si>
  <si>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</si>
  <si>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</si>
  <si>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</si>
  <si>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</si>
  <si>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</si>
  <si>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</si>
  <si>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</si>
  <si>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</si>
  <si>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</si>
  <si>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</si>
  <si>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</si>
  <si>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</si>
  <si>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</si>
  <si>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</si>
  <si>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</si>
  <si>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</si>
  <si>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</si>
  <si>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</si>
  <si>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</si>
  <si>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</si>
  <si>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</si>
  <si>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</si>
  <si>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</si>
  <si>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</si>
  <si>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</si>
  <si>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</si>
  <si>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</si>
  <si>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</si>
  <si>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</si>
  <si>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</si>
  <si>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</si>
  <si>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</si>
  <si>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</si>
  <si>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</si>
  <si>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</si>
  <si>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</si>
  <si>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</si>
  <si>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</si>
  <si>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</si>
  <si>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</si>
  <si>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</si>
  <si>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</si>
  <si>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</si>
  <si>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</si>
  <si>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</si>
  <si>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</si>
  <si>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</si>
  <si>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</si>
  <si>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</si>
  <si>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</si>
  <si>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</si>
  <si>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</si>
  <si>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</si>
  <si>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</si>
  <si>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</si>
  <si>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</si>
  <si>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</si>
  <si>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</si>
  <si>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</si>
  <si>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</si>
  <si>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</si>
  <si>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</si>
  <si>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</si>
  <si>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</si>
  <si>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</si>
  <si>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</si>
  <si>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</si>
  <si>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</si>
  <si>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</si>
  <si>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</si>
  <si>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</si>
  <si>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</si>
  <si>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</si>
  <si>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</si>
  <si>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</si>
  <si>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</si>
  <si>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</si>
  <si>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</si>
  <si>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</si>
  <si>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</si>
  <si>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</si>
  <si>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</si>
  <si>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</si>
  <si>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</si>
  <si>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</si>
  <si>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</si>
  <si>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</si>
  <si>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</si>
  <si>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</si>
  <si>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</si>
  <si>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</si>
  <si>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</si>
  <si>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</si>
  <si>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</si>
  <si>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</si>
  <si>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</si>
  <si>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</si>
  <si>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</si>
  <si>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</si>
  <si>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</si>
  <si>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</si>
  <si>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</si>
  <si>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</si>
  <si>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</si>
  <si>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</si>
  <si>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</si>
  <si>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</si>
  <si>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</si>
  <si>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</si>
  <si>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</si>
  <si>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</si>
  <si>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</si>
  <si>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</si>
  <si>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</si>
  <si>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</si>
  <si>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</si>
  <si>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</si>
  <si>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</si>
  <si>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</si>
  <si>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</si>
  <si>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</si>
  <si>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</si>
  <si>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</si>
  <si>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</si>
  <si>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</si>
  <si>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</si>
  <si>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</si>
  <si>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</si>
  <si>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</si>
  <si>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</si>
  <si>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</si>
  <si>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</si>
  <si>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</si>
  <si>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</si>
  <si>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</si>
  <si>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</si>
  <si>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</si>
  <si>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</si>
  <si>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</si>
  <si>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</si>
  <si>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</si>
  <si>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</si>
  <si>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</si>
  <si>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</si>
  <si>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</si>
  <si>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</si>
  <si>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</si>
  <si>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</si>
  <si>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</si>
  <si>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</si>
  <si>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</si>
  <si>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</si>
  <si>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</si>
  <si>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</si>
  <si>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</si>
  <si>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</si>
  <si>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</si>
  <si>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</si>
  <si>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</si>
  <si>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</si>
  <si>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</si>
  <si>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</si>
  <si>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</si>
  <si>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</si>
  <si>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</si>
  <si>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</si>
  <si>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</si>
  <si>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</si>
  <si>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</si>
  <si>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</si>
  <si>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</si>
  <si>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</si>
  <si>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</si>
  <si>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</si>
  <si>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</si>
  <si>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</si>
  <si>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</si>
  <si>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</si>
  <si>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</si>
  <si>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</si>
  <si>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</si>
  <si>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</si>
  <si>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</si>
  <si>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</si>
  <si>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</si>
  <si>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</si>
  <si>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</si>
  <si>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</si>
  <si>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</si>
  <si>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</si>
  <si>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</si>
  <si>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</si>
  <si>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</si>
  <si>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</si>
  <si>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</si>
  <si>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</si>
  <si>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</si>
  <si>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</si>
  <si>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</si>
  <si>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</si>
  <si>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</si>
  <si>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</si>
  <si>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</si>
  <si>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</si>
  <si>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</si>
  <si>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</si>
  <si>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</si>
  <si>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</si>
  <si>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</si>
  <si>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</si>
  <si>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</si>
  <si>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</si>
  <si>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</si>
  <si>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</si>
  <si>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</si>
  <si>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</si>
  <si>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</si>
  <si>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</si>
  <si>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</si>
  <si>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</si>
  <si>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</si>
  <si>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</si>
  <si>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</si>
  <si>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</si>
  <si>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</si>
  <si>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</si>
  <si>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</si>
  <si>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</si>
  <si>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</si>
  <si>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</si>
  <si>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</si>
  <si>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</si>
  <si>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</si>
  <si>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</si>
  <si>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</si>
  <si>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</si>
  <si>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</si>
  <si>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</si>
  <si>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</si>
  <si>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</si>
  <si>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</si>
  <si>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</si>
  <si>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</si>
  <si>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</si>
  <si>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</si>
  <si>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</si>
  <si>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</si>
  <si>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</si>
  <si>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</si>
  <si>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</si>
  <si>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</si>
  <si>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</si>
  <si>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</si>
  <si>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</si>
  <si>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</si>
  <si>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</si>
  <si>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</si>
  <si>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</si>
  <si>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</si>
  <si>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</si>
  <si>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</si>
  <si>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</si>
  <si>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</si>
  <si>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</si>
  <si>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</si>
  <si>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</si>
  <si>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</si>
  <si>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</si>
  <si>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</si>
  <si>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</si>
  <si>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</si>
  <si>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</si>
  <si>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</si>
  <si>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</si>
  <si>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</si>
  <si>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</si>
  <si>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</si>
  <si>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</si>
  <si>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</si>
  <si>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</si>
  <si>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</si>
  <si>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</si>
  <si>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</si>
  <si>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</si>
  <si>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</si>
  <si>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</si>
  <si>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</si>
  <si>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</si>
  <si>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</si>
  <si>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</si>
  <si>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</si>
  <si>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</si>
  <si>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</si>
  <si>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</si>
  <si>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</si>
  <si>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</si>
  <si>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</si>
  <si>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</si>
  <si>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</si>
  <si>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</si>
  <si>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</si>
  <si>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</si>
  <si>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</si>
  <si>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</si>
  <si>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</si>
  <si>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</si>
  <si>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</si>
  <si>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</si>
  <si>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</si>
  <si>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</si>
  <si>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</si>
  <si>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</si>
  <si>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</si>
  <si>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</si>
  <si>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</si>
  <si>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</si>
  <si>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</si>
  <si>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</si>
  <si>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</si>
  <si>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</si>
  <si>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</si>
  <si>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</si>
  <si>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</si>
  <si>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</si>
  <si>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</si>
  <si>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</si>
  <si>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</si>
  <si>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</si>
  <si>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</si>
  <si>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</si>
  <si>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</si>
  <si>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</si>
  <si>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</si>
  <si>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</si>
  <si>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</si>
  <si>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</si>
  <si>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</si>
  <si>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</si>
  <si>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</si>
  <si>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</si>
  <si>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</si>
  <si>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</si>
  <si>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</si>
  <si>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</si>
  <si>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</si>
  <si>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</si>
  <si>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</si>
  <si>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</si>
  <si>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</si>
  <si>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</si>
  <si>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</si>
  <si>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</si>
  <si>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</si>
  <si>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</si>
  <si>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</si>
  <si>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</si>
  <si>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</si>
  <si>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</si>
  <si>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</si>
  <si>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</si>
  <si>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</si>
  <si>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</si>
  <si>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</si>
  <si>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</si>
  <si>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</si>
  <si>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</si>
  <si>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</si>
  <si>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</si>
  <si>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</si>
  <si>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</si>
  <si>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</si>
  <si>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</si>
  <si>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</si>
  <si>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</si>
  <si>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</si>
  <si>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</si>
  <si>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</si>
  <si>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</si>
  <si>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</si>
  <si>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</si>
  <si>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</si>
  <si>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</si>
  <si>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</si>
  <si>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</si>
  <si>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</si>
  <si>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</si>
  <si>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</si>
  <si>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</si>
  <si>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</si>
  <si>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</si>
  <si>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</si>
  <si>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</si>
  <si>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</si>
  <si>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</si>
  <si>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</si>
  <si>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</si>
  <si>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</si>
  <si>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</si>
  <si>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</si>
  <si>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</si>
  <si>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</si>
  <si>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</si>
  <si>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</si>
  <si>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</si>
  <si>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</si>
  <si>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</si>
  <si>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</si>
  <si>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</si>
  <si>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</si>
  <si>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</si>
  <si>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</si>
  <si>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</si>
  <si>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</si>
  <si>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</si>
  <si>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</si>
  <si>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</si>
  <si>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</si>
  <si>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</si>
  <si>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</si>
  <si>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</si>
  <si>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</si>
  <si>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</si>
  <si>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</si>
  <si>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</si>
  <si>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</si>
  <si>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</si>
  <si>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</si>
  <si>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</si>
  <si>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</si>
  <si>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</si>
  <si>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</si>
  <si>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</si>
  <si>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</si>
  <si>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</si>
  <si>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</si>
  <si>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</si>
  <si>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</si>
  <si>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</si>
  <si>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</si>
  <si>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</si>
  <si>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</si>
  <si>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</si>
  <si>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</si>
  <si>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</si>
  <si>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</si>
  <si>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</si>
  <si>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</si>
  <si>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</si>
  <si>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</si>
  <si>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</si>
  <si>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</si>
  <si>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</si>
  <si>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</si>
  <si>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</si>
  <si>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</si>
  <si>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</si>
  <si>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</si>
  <si>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</si>
  <si>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</si>
  <si>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</si>
  <si>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</si>
  <si>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</si>
  <si>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</si>
  <si>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</si>
  <si>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</si>
  <si>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</si>
  <si>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</si>
  <si>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</si>
  <si>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</si>
  <si>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</si>
  <si>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</si>
  <si>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</si>
  <si>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</si>
  <si>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</si>
  <si>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</si>
  <si>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</si>
  <si>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</si>
  <si>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</si>
  <si>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</si>
  <si>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</si>
  <si>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</si>
  <si>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</si>
  <si>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</si>
  <si>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</si>
  <si>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</si>
  <si>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</si>
  <si>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</si>
  <si>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</si>
  <si>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</si>
  <si>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</si>
  <si>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</si>
  <si>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</si>
  <si>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</si>
  <si>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</si>
  <si>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</si>
  <si>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</si>
  <si>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</si>
  <si>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</si>
  <si>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</si>
  <si>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</si>
  <si>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</si>
  <si>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</si>
  <si>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</si>
  <si>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</si>
  <si>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</si>
  <si>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</si>
  <si>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</si>
  <si>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</si>
  <si>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</si>
  <si>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</si>
  <si>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</si>
  <si>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</si>
  <si>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</si>
  <si>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</si>
  <si>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</si>
  <si>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</si>
  <si>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</si>
  <si>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</si>
  <si>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</si>
  <si>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</si>
  <si>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</si>
  <si>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</si>
  <si>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</si>
  <si>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</si>
  <si>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</si>
  <si>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</si>
  <si>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</si>
  <si>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</si>
  <si>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</si>
  <si>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</si>
  <si>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</si>
  <si>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</si>
  <si>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</si>
  <si>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</si>
  <si>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</si>
  <si>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</si>
  <si>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</si>
  <si>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</si>
  <si>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</si>
  <si>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</si>
  <si>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</si>
  <si>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</si>
  <si>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</si>
  <si>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</si>
  <si>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</si>
  <si>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</si>
  <si>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</si>
  <si>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</si>
  <si>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</si>
  <si>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</si>
  <si>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</si>
  <si>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</si>
  <si>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</si>
  <si>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</si>
  <si>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</si>
  <si>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</si>
  <si>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</si>
  <si>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</si>
  <si>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</si>
  <si>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</si>
  <si>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</si>
  <si>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</si>
  <si>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</si>
  <si>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</si>
  <si>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</si>
  <si>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</si>
  <si>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</si>
  <si>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</si>
  <si>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</si>
  <si>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</si>
  <si>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</si>
  <si>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</si>
  <si>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</si>
  <si>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</si>
  <si>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</si>
  <si>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</si>
  <si>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</si>
  <si>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</si>
  <si>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</si>
  <si>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</si>
  <si>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</si>
  <si>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</si>
  <si>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</si>
  <si>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</si>
  <si>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</si>
  <si>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</si>
  <si>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</si>
  <si>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</si>
  <si>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</si>
  <si>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</si>
  <si>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</si>
  <si>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</si>
  <si>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</si>
  <si>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</si>
  <si>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</si>
  <si>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</si>
  <si>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</si>
  <si>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</si>
  <si>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</si>
  <si>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</si>
  <si>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</si>
  <si>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</si>
  <si>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</si>
  <si>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</si>
  <si>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</si>
  <si>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</si>
  <si>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</si>
  <si>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</si>
  <si>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</si>
  <si>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</si>
  <si>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</si>
  <si>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</si>
  <si>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</si>
  <si>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</si>
  <si>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</si>
  <si>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</si>
  <si>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</si>
  <si>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</si>
  <si>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</si>
  <si>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</si>
  <si>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</si>
  <si>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</si>
  <si>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</si>
  <si>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</si>
  <si>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</si>
  <si>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</si>
  <si>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</si>
  <si>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</si>
  <si>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</si>
  <si>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</si>
  <si>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</si>
  <si>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</si>
  <si>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</si>
  <si>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</si>
  <si>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</si>
  <si>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</si>
  <si>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</si>
  <si>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</si>
  <si>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</si>
  <si>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</si>
  <si>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</si>
  <si>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</si>
  <si>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</si>
  <si>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</si>
  <si>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</si>
  <si>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</si>
  <si>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</si>
  <si>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</si>
  <si>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</si>
  <si>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</si>
  <si>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</si>
  <si>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</si>
  <si>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</si>
  <si>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</si>
  <si>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</si>
  <si>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</si>
  <si>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</si>
  <si>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</si>
  <si>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</si>
  <si>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</si>
  <si>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</si>
  <si>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</si>
  <si>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</si>
  <si>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</si>
  <si>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</si>
  <si>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</si>
  <si>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</si>
  <si>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</si>
  <si>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</si>
  <si>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</si>
  <si>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</si>
  <si>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</si>
  <si>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</si>
  <si>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</si>
  <si>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</si>
  <si>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</si>
  <si>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</si>
  <si>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</si>
  <si>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</si>
  <si>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</si>
  <si>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</si>
  <si>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</si>
  <si>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</si>
  <si>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</si>
  <si>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</si>
  <si>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</si>
  <si>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</si>
  <si>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</si>
  <si>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</si>
  <si>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</si>
  <si>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</si>
  <si>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</si>
  <si>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</si>
  <si>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</si>
  <si>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</si>
  <si>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</si>
  <si>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</si>
  <si>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</si>
  <si>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</si>
  <si>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</si>
  <si>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</si>
  <si>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</si>
  <si>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</si>
  <si>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</si>
  <si>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</si>
  <si>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</si>
  <si>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</si>
  <si>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</si>
  <si>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</si>
  <si>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</si>
  <si>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</si>
  <si>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</si>
  <si>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</si>
  <si>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</si>
  <si>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</si>
  <si>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</si>
  <si>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</si>
  <si>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</si>
  <si>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</si>
  <si>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</si>
  <si>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</si>
  <si>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</si>
  <si>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</si>
  <si>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</si>
  <si>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</si>
  <si>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</si>
  <si>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</si>
  <si>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</si>
  <si>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</si>
  <si>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</si>
  <si>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</si>
  <si>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</si>
  <si>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</si>
  <si>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</si>
  <si>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</si>
  <si>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</si>
  <si>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</si>
  <si>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</si>
  <si>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</si>
  <si>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</si>
  <si>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</si>
  <si>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</si>
  <si>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</si>
  <si>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</si>
  <si>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</si>
  <si>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</si>
  <si>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</si>
  <si>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</si>
  <si>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</si>
  <si>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</si>
  <si>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</si>
  <si>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</si>
  <si>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</si>
  <si>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</si>
  <si>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</si>
  <si>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</si>
  <si>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</si>
  <si>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</si>
  <si>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</si>
  <si>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</si>
  <si>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</si>
  <si>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</si>
  <si>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</si>
  <si>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</si>
  <si>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</si>
  <si>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</si>
  <si>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</si>
  <si>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</si>
  <si>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</si>
  <si>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</si>
  <si>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</si>
  <si>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</si>
  <si>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</si>
  <si>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</si>
  <si>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</si>
  <si>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</si>
  <si>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</si>
  <si>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</si>
  <si>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</si>
  <si>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</si>
  <si>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</si>
  <si>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</si>
  <si>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</si>
  <si>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</si>
  <si>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</si>
  <si>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</si>
  <si>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</si>
  <si>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</si>
  <si>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</si>
  <si>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</si>
  <si>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</si>
  <si>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</si>
  <si>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</si>
  <si>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</si>
  <si>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</si>
  <si>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</si>
  <si>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</si>
  <si>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</si>
  <si>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</si>
  <si>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</si>
  <si>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</si>
  <si>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</si>
  <si>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</si>
  <si>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</si>
  <si>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</si>
  <si>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</si>
  <si>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</si>
  <si>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</si>
  <si>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</si>
  <si>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</si>
  <si>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</si>
  <si>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</si>
  <si>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</si>
  <si>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</si>
  <si>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</si>
  <si>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</si>
  <si>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</si>
  <si>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</si>
  <si>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</si>
  <si>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</si>
  <si>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</si>
  <si>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</si>
  <si>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</si>
  <si>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</si>
  <si>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</si>
  <si>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</si>
  <si>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</si>
  <si>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</si>
  <si>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</si>
  <si>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</si>
  <si>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</si>
  <si>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</si>
  <si>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</si>
  <si>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</si>
  <si>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</si>
  <si>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</si>
  <si>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</si>
  <si>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</si>
  <si>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</si>
  <si>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</si>
  <si>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</si>
  <si>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</si>
  <si>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</si>
  <si>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</si>
  <si>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</si>
  <si>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</si>
  <si>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</si>
  <si>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</si>
  <si>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</si>
  <si>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</si>
  <si>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</si>
  <si>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</si>
  <si>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</si>
  <si>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</si>
  <si>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</si>
  <si>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</si>
  <si>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</si>
  <si>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</si>
  <si>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</si>
  <si>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</si>
  <si>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</si>
  <si>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</si>
  <si>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</si>
  <si>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</si>
  <si>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</si>
  <si>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</si>
  <si>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</si>
  <si>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</si>
  <si>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</si>
  <si>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</si>
  <si>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</si>
  <si>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</si>
  <si>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</si>
  <si>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</si>
  <si>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</si>
  <si>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</si>
  <si>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</si>
  <si>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</si>
  <si>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</si>
  <si>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</si>
  <si>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</si>
  <si>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</si>
  <si>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</si>
  <si>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</si>
  <si>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</si>
  <si>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</si>
  <si>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</si>
  <si>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</si>
  <si>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</si>
  <si>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</si>
  <si>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</si>
  <si>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</si>
  <si>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</si>
  <si>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</si>
  <si>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</si>
  <si>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</si>
  <si>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</si>
  <si>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</si>
  <si>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</si>
  <si>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</si>
  <si>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</si>
  <si>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</si>
  <si>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</si>
  <si>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</si>
  <si>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</si>
  <si>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</si>
  <si>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</si>
  <si>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</si>
  <si>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</si>
  <si>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</si>
  <si>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</si>
  <si>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</si>
  <si>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</si>
  <si>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</si>
  <si>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</si>
  <si>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</si>
  <si>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</si>
  <si>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</si>
  <si>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</si>
  <si>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</si>
  <si>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</si>
  <si>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</si>
  <si>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</si>
  <si>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</si>
  <si>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</si>
  <si>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</si>
  <si>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</si>
  <si>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</si>
  <si>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</si>
  <si>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</si>
  <si>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</si>
  <si>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</si>
  <si>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</si>
  <si>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</si>
  <si>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</si>
  <si>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</si>
  <si>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</si>
  <si>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</si>
  <si>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</si>
  <si>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</si>
  <si>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</si>
  <si>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</si>
  <si>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</si>
  <si>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</si>
  <si>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</si>
  <si>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</si>
  <si>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</si>
  <si>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</si>
  <si>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</si>
  <si>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</si>
  <si>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</si>
  <si>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</si>
  <si>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</si>
  <si>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</si>
  <si>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</si>
  <si>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</si>
  <si>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</si>
  <si>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</si>
  <si>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</si>
  <si>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</si>
  <si>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</si>
  <si>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</si>
  <si>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</si>
  <si>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</si>
  <si>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</si>
  <si>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</si>
  <si>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</si>
  <si>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</si>
  <si>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</si>
  <si>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</si>
  <si>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</si>
  <si>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</si>
  <si>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</si>
  <si>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</si>
  <si>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</si>
  <si>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</si>
  <si>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</si>
  <si>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</si>
  <si>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</si>
  <si>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</si>
  <si>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</si>
  <si>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</si>
  <si>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</si>
  <si>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</si>
  <si>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</si>
  <si>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</si>
  <si>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</si>
  <si>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</si>
  <si>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</si>
  <si>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</si>
  <si>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</si>
  <si>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</si>
  <si>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</si>
  <si>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</si>
  <si>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</si>
  <si>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</si>
  <si>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</si>
  <si>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</si>
  <si>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</si>
  <si>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</si>
  <si>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</si>
  <si>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</si>
  <si>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</si>
  <si>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</si>
  <si>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</si>
  <si>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</si>
  <si>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</si>
  <si>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</si>
  <si>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</si>
  <si>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</si>
  <si>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</si>
  <si>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</si>
  <si>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</si>
  <si>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</si>
  <si>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</si>
  <si>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</si>
  <si>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</si>
  <si>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</si>
  <si>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</si>
  <si>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</si>
  <si>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</si>
  <si>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</si>
  <si>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</si>
  <si>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</si>
  <si>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</si>
  <si>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</si>
  <si>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</si>
  <si>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</si>
  <si>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</si>
  <si>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</si>
  <si>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</si>
  <si>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</si>
  <si>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</si>
  <si>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</si>
  <si>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</si>
  <si>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</si>
  <si>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</si>
  <si>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</si>
  <si>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</si>
  <si>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</si>
  <si>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</si>
  <si>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</si>
  <si>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</si>
  <si>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</si>
  <si>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</si>
  <si>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</si>
  <si>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</si>
  <si>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</si>
  <si>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</si>
  <si>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</si>
  <si>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</si>
  <si>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</si>
  <si>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</si>
  <si>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</si>
  <si>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</si>
  <si>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</si>
  <si>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</si>
  <si>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</si>
  <si>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</si>
  <si>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</si>
  <si>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</si>
  <si>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</si>
  <si>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</si>
  <si>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</si>
  <si>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</si>
  <si>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</si>
  <si>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</si>
  <si>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</si>
  <si>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</si>
  <si>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</si>
  <si>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</si>
  <si>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</si>
  <si>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</si>
  <si>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</si>
  <si>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</si>
  <si>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</si>
  <si>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</si>
  <si>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</si>
  <si>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</si>
  <si>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</si>
  <si>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</si>
  <si>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</si>
  <si>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</si>
  <si>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</si>
  <si>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</si>
  <si>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</si>
  <si>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</si>
  <si>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</si>
  <si>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</si>
  <si>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</si>
  <si>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</si>
  <si>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</si>
  <si>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</si>
  <si>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</si>
  <si>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</si>
  <si>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</si>
  <si>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</si>
  <si>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</si>
  <si>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</si>
  <si>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</si>
  <si>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</si>
  <si>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</si>
  <si>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</si>
  <si>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</si>
  <si>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</si>
  <si>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</si>
  <si>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</si>
  <si>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</si>
  <si>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</si>
  <si>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</si>
  <si>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</si>
  <si>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</si>
  <si>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</si>
  <si>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</si>
  <si>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</si>
  <si>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</si>
  <si>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</si>
  <si>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</si>
  <si>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</si>
  <si>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</si>
  <si>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</si>
  <si>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</si>
  <si>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</si>
  <si>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</si>
  <si>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</si>
  <si>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</si>
  <si>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</si>
  <si>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</si>
  <si>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</si>
  <si>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</si>
  <si>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</si>
  <si>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</si>
  <si>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</si>
  <si>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</si>
  <si>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</si>
  <si>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</si>
  <si>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</si>
  <si>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</si>
  <si>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</si>
  <si>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</si>
  <si>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</si>
  <si>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</si>
  <si>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</si>
  <si>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</si>
  <si>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</si>
  <si>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</si>
  <si>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</si>
  <si>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</si>
  <si>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</si>
  <si>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</si>
  <si>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</si>
  <si>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</si>
  <si>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</si>
  <si>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</si>
  <si>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</si>
  <si>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</si>
  <si>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</si>
  <si>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</si>
  <si>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</si>
  <si>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</si>
  <si>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</si>
  <si>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</si>
  <si>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</si>
  <si>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</si>
  <si>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</si>
  <si>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</si>
  <si>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</si>
  <si>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</si>
  <si>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</si>
  <si>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</si>
  <si>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</si>
  <si>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</si>
  <si>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</si>
  <si>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</si>
  <si>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</si>
  <si>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</si>
  <si>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</si>
  <si>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</si>
  <si>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</si>
  <si>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</si>
  <si>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</si>
  <si>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</si>
  <si>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</si>
  <si>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</si>
  <si>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</si>
  <si>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</si>
  <si>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</si>
  <si>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</si>
  <si>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</si>
  <si>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</si>
  <si>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</si>
  <si>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</si>
  <si>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</si>
  <si>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</si>
  <si>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</si>
  <si>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</si>
  <si>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</si>
  <si>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</si>
  <si>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</si>
  <si>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</si>
  <si>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</si>
  <si>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</si>
  <si>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</si>
  <si>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</si>
  <si>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</si>
  <si>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</si>
  <si>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</si>
  <si>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</si>
  <si>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</si>
  <si>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</si>
  <si>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</si>
  <si>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</si>
  <si>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</si>
  <si>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</si>
  <si>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</si>
  <si>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</si>
  <si>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</si>
  <si>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</si>
  <si>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</si>
  <si>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</si>
  <si>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</si>
  <si>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</si>
  <si>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</si>
  <si>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</si>
  <si>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</si>
  <si>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</si>
  <si>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</si>
  <si>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</si>
  <si>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</si>
  <si>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</si>
  <si>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</si>
  <si>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</si>
  <si>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</si>
  <si>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</si>
  <si>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</si>
  <si>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</si>
  <si>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</si>
  <si>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</si>
  <si>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</si>
  <si>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</si>
  <si>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</si>
  <si>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</si>
  <si>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</si>
  <si>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</si>
  <si>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</si>
  <si>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</si>
  <si>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</si>
  <si>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</si>
  <si>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</si>
  <si>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</si>
  <si>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</si>
  <si>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</si>
  <si>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</si>
  <si>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</si>
  <si>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</si>
  <si>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</si>
  <si>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</si>
  <si>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</si>
  <si>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</si>
  <si>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</si>
  <si>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</si>
  <si>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</si>
  <si>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</si>
  <si>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</si>
  <si>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</si>
  <si>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</si>
  <si>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</si>
  <si>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</si>
  <si>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</si>
  <si>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</si>
  <si>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</si>
  <si>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</si>
  <si>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</si>
  <si>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</si>
  <si>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</si>
  <si>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</si>
  <si>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</si>
  <si>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</si>
  <si>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</si>
  <si>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</si>
  <si>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</si>
  <si>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</si>
  <si>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</si>
  <si>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</si>
  <si>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</si>
  <si>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</si>
  <si>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</si>
  <si>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</si>
  <si>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</si>
  <si>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</si>
  <si>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</si>
  <si>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</si>
  <si>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</si>
  <si>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</si>
  <si>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</si>
  <si>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</si>
  <si>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</si>
  <si>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</si>
  <si>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</si>
  <si>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</si>
  <si>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</si>
  <si>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</si>
  <si>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</si>
  <si>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</si>
  <si>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</si>
  <si>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</si>
  <si>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</si>
  <si>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</si>
  <si>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</si>
  <si>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</si>
  <si>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</si>
  <si>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</si>
  <si>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</si>
  <si>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</si>
  <si>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</si>
  <si>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</si>
  <si>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</si>
  <si>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</si>
  <si>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</si>
  <si>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</si>
  <si>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</si>
  <si>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</si>
  <si>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</si>
  <si>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</si>
  <si>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</si>
  <si>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</si>
  <si>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</si>
  <si>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</si>
  <si>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</si>
  <si>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</si>
  <si>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</si>
  <si>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</si>
  <si>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</si>
  <si>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</si>
  <si>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</si>
  <si>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</si>
  <si>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</si>
  <si>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</si>
  <si>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</si>
  <si>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</si>
  <si>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</si>
  <si>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</si>
  <si>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</si>
  <si>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</si>
  <si>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</si>
  <si>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</si>
  <si>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</si>
  <si>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</si>
  <si>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</si>
  <si>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</si>
  <si>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</si>
  <si>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</si>
  <si>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</si>
  <si>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</si>
  <si>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</si>
  <si>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</si>
  <si>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</si>
  <si>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</si>
  <si>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</si>
  <si>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</si>
  <si>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</si>
  <si>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</si>
  <si>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</si>
  <si>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</si>
  <si>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</si>
  <si>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</si>
  <si>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</si>
  <si>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</si>
  <si>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</si>
  <si>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</si>
  <si>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</si>
  <si>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</si>
  <si>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</si>
  <si>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</si>
  <si>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</si>
  <si>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</si>
  <si>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</si>
  <si>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</si>
  <si>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</si>
  <si>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</si>
  <si>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</si>
  <si>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</si>
  <si>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</si>
  <si>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</si>
  <si>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</si>
  <si>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</si>
  <si>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</si>
  <si>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</si>
  <si>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</si>
  <si>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</si>
  <si>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</si>
  <si>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</si>
  <si>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</si>
  <si>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</si>
  <si>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</si>
  <si>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</si>
  <si>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</si>
  <si>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</si>
  <si>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</si>
  <si>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</si>
  <si>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</si>
  <si>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</si>
  <si>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</si>
  <si>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</si>
  <si>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</si>
  <si>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</si>
  <si>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</si>
  <si>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</si>
  <si>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</si>
  <si>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</si>
  <si>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</si>
  <si>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</si>
  <si>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</si>
  <si>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</si>
  <si>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</si>
  <si>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</si>
  <si>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</si>
  <si>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</si>
  <si>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</si>
  <si>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</si>
  <si>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</si>
  <si>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</si>
  <si>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</si>
  <si>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</si>
  <si>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</si>
  <si>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</si>
  <si>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</si>
  <si>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</si>
  <si>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</si>
  <si>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</si>
  <si>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</si>
  <si>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</si>
  <si>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</si>
  <si>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</si>
  <si>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</si>
  <si>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</si>
  <si>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</si>
  <si>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</si>
  <si>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</si>
  <si>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</si>
  <si>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</si>
  <si>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</si>
  <si>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</si>
  <si>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</si>
  <si>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</si>
  <si>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</si>
  <si>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</si>
  <si>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</si>
  <si>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</si>
  <si>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</si>
  <si>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</si>
  <si>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</si>
  <si>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</si>
  <si>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</si>
  <si>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</si>
  <si>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</si>
  <si>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</si>
  <si>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</si>
  <si>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</si>
  <si>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</si>
  <si>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</si>
  <si>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</si>
  <si>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</si>
  <si>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</si>
  <si>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</si>
  <si>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</si>
  <si>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</si>
  <si>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</si>
  <si>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</si>
  <si>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</si>
  <si>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</si>
  <si>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</si>
  <si>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</si>
  <si>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</si>
  <si>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</si>
  <si>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</si>
  <si>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</si>
  <si>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</si>
  <si>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</si>
  <si>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</si>
  <si>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</si>
  <si>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</si>
  <si>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</si>
  <si>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</si>
  <si>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</si>
  <si>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</si>
  <si>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</si>
  <si>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</si>
  <si>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</si>
  <si>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</si>
  <si>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</si>
  <si>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</si>
  <si>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</si>
  <si>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</si>
  <si>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</si>
  <si>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</si>
  <si>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</si>
  <si>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</si>
  <si>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</si>
  <si>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</si>
  <si>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</si>
  <si>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</si>
  <si>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</si>
  <si>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</si>
  <si>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</si>
  <si>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</si>
  <si>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</si>
  <si>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</si>
  <si>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</si>
  <si>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</si>
  <si>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</si>
  <si>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</si>
  <si>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</si>
  <si>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</si>
  <si>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</si>
  <si>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</si>
  <si>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</si>
  <si>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</si>
  <si>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</si>
  <si>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</si>
  <si>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</si>
  <si>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</si>
  <si>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</si>
  <si>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</si>
  <si>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</si>
  <si>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</si>
  <si>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</si>
  <si>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</si>
  <si>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</si>
  <si>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</si>
  <si>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</si>
  <si>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</si>
  <si>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</si>
  <si>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</si>
  <si>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</si>
  <si>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</si>
  <si>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</si>
  <si>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</si>
  <si>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</si>
  <si>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</si>
  <si>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</si>
  <si>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</si>
  <si>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</si>
  <si>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</si>
  <si>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</si>
  <si>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</si>
  <si>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</si>
  <si>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</si>
  <si>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</si>
  <si>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</si>
  <si>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</si>
  <si>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</si>
  <si>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</si>
  <si>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</si>
  <si>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</si>
  <si>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</si>
  <si>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</si>
  <si>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</si>
  <si>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</si>
  <si>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</si>
  <si>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</si>
  <si>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</si>
  <si>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</si>
  <si>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</si>
  <si>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</si>
  <si>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</si>
  <si>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</si>
  <si>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</si>
  <si>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</si>
  <si>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</si>
  <si>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</si>
  <si>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</si>
  <si>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</si>
  <si>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</si>
  <si>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</si>
  <si>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</si>
  <si>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</si>
  <si>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</si>
  <si>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</si>
  <si>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</si>
  <si>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</si>
  <si>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</si>
  <si>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</si>
  <si>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</si>
  <si>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</si>
  <si>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</si>
  <si>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</si>
  <si>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</si>
  <si>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</si>
  <si>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</si>
  <si>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</si>
  <si>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</si>
  <si>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</si>
  <si>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</si>
  <si>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</si>
  <si>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</si>
  <si>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</si>
  <si>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</si>
  <si>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</si>
  <si>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</si>
  <si>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</si>
  <si>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</si>
  <si>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</si>
  <si>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</si>
  <si>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</si>
  <si>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</si>
  <si>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</si>
  <si>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</si>
  <si>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</si>
  <si>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</si>
  <si>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</si>
  <si>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</si>
  <si>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</si>
  <si>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</si>
  <si>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</si>
  <si>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</si>
  <si>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</si>
  <si>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</si>
  <si>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</si>
  <si>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</si>
  <si>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</si>
  <si>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</si>
  <si>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</si>
  <si>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</si>
  <si>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</si>
  <si>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</si>
  <si>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</si>
  <si>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</si>
  <si>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</si>
  <si>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</si>
  <si>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</si>
  <si>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</si>
  <si>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</si>
  <si>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</si>
  <si>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</si>
  <si>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</si>
  <si>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</si>
  <si>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</si>
  <si>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</si>
  <si>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</si>
  <si>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</si>
  <si>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</si>
  <si>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</si>
  <si>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</si>
  <si>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</si>
  <si>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</si>
  <si>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</si>
  <si>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</si>
  <si>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</si>
  <si>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</si>
  <si>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</si>
  <si>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</si>
  <si>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</si>
  <si>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</si>
  <si>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</si>
  <si>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</si>
  <si>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</si>
  <si>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</si>
  <si>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</si>
  <si>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</si>
  <si>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</si>
  <si>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</si>
  <si>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</si>
  <si>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</si>
  <si>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</si>
  <si>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</si>
  <si>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</si>
  <si>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</si>
  <si>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</si>
  <si>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</si>
  <si>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</si>
  <si>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</si>
  <si>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</si>
  <si>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</si>
  <si>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</si>
  <si>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</si>
  <si>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</si>
  <si>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</si>
  <si>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</si>
  <si>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</si>
  <si>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</si>
  <si>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</si>
  <si>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</si>
  <si>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</si>
  <si>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</si>
  <si>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</si>
  <si>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</si>
  <si>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</si>
  <si>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</si>
  <si>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</si>
  <si>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</si>
  <si>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</si>
  <si>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</si>
  <si>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</si>
  <si>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</si>
  <si>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</si>
  <si>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</si>
  <si>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</si>
  <si>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</si>
  <si>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</si>
  <si>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</si>
  <si>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</si>
  <si>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</si>
  <si>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</si>
  <si>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</si>
  <si>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</si>
  <si>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</si>
  <si>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</si>
  <si>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</si>
  <si>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</si>
  <si>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</si>
  <si>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</si>
  <si>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</si>
  <si>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</si>
  <si>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</si>
  <si>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</si>
  <si>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</si>
  <si>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</si>
  <si>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</si>
  <si>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</si>
  <si>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</si>
  <si>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</si>
  <si>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</si>
  <si>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</si>
  <si>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</si>
  <si>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</si>
  <si>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</si>
  <si>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</si>
  <si>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</si>
  <si>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</si>
  <si>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</si>
  <si>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</si>
  <si>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</si>
  <si>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</si>
  <si>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</si>
  <si>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</si>
  <si>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</si>
  <si>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</si>
  <si>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</si>
  <si>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</si>
  <si>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</si>
  <si>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</si>
  <si>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</si>
  <si>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</si>
  <si>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</si>
  <si>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</si>
  <si>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</si>
  <si>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</si>
  <si>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</si>
  <si>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</si>
  <si>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</si>
  <si>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</si>
  <si>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</si>
  <si>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</si>
  <si>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</si>
  <si>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</si>
  <si>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</si>
  <si>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</si>
  <si>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</si>
  <si>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</si>
  <si>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</si>
  <si>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</si>
  <si>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</si>
  <si>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</si>
  <si>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</si>
  <si>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</si>
  <si>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</si>
  <si>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</si>
  <si>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</si>
  <si>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</si>
  <si>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</si>
  <si>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</si>
  <si>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</si>
  <si>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</si>
  <si>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</si>
  <si>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</si>
  <si>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</si>
  <si>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</si>
  <si>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</si>
  <si>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</si>
  <si>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</si>
  <si>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</si>
  <si>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</si>
  <si>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</si>
  <si>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</si>
  <si>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</si>
  <si>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</si>
  <si>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</si>
  <si>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</si>
  <si>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</si>
  <si>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</si>
  <si>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</si>
  <si>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</si>
  <si>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</si>
  <si>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</si>
  <si>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</si>
  <si>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</si>
  <si>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</si>
  <si>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</si>
  <si>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</si>
  <si>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</si>
  <si>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</si>
  <si>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</si>
  <si>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</si>
  <si>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</si>
  <si>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</si>
  <si>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</si>
  <si>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</si>
  <si>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</si>
  <si>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</si>
  <si>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</si>
  <si>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</si>
  <si>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</si>
  <si>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</si>
  <si>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</si>
  <si>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</si>
  <si>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</si>
  <si>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</si>
  <si>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</si>
  <si>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</si>
  <si>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</si>
  <si>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</si>
  <si>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</si>
  <si>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</si>
  <si>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</si>
  <si>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</si>
  <si>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</si>
  <si>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</si>
  <si>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</si>
  <si>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</si>
  <si>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</si>
  <si>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</si>
  <si>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</si>
  <si>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</si>
  <si>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</si>
  <si>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</si>
  <si>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</si>
  <si>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</si>
  <si>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</si>
  <si>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</si>
  <si>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</si>
  <si>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</si>
  <si>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</si>
  <si>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</si>
  <si>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</si>
  <si>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</si>
  <si>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</si>
  <si>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</si>
  <si>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</si>
  <si>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</si>
  <si>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</si>
  <si>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</si>
  <si>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</si>
  <si>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</si>
  <si>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</si>
  <si>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</si>
  <si>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</si>
  <si>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</si>
  <si>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</si>
  <si>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</si>
  <si>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</si>
  <si>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</si>
  <si>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</si>
  <si>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</si>
  <si>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</si>
  <si>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</si>
  <si>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</si>
  <si>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</si>
  <si>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</si>
  <si>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</si>
  <si>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</si>
  <si>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</si>
  <si>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</si>
  <si>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</si>
  <si>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</si>
  <si>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</si>
  <si>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</si>
  <si>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</si>
  <si>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</si>
  <si>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</si>
  <si>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</si>
  <si>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</si>
  <si>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</si>
  <si>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</si>
  <si>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</si>
  <si>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</si>
  <si>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</si>
  <si>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</si>
  <si>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</si>
  <si>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</si>
  <si>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</si>
  <si>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</si>
  <si>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</si>
  <si>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</si>
  <si>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</si>
  <si>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</si>
  <si>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</si>
  <si>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</si>
  <si>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</si>
  <si>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</si>
  <si>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</si>
  <si>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</si>
  <si>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</si>
  <si>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</si>
  <si>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</si>
  <si>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</si>
  <si>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</si>
  <si>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</si>
  <si>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</si>
  <si>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</si>
  <si>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</si>
  <si>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</si>
  <si>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</si>
  <si>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</si>
  <si>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</si>
  <si>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</si>
  <si>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</si>
  <si>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</si>
  <si>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</si>
  <si>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</si>
  <si>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</si>
  <si>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</si>
  <si>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</si>
  <si>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</si>
  <si>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</si>
  <si>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</si>
  <si>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</si>
  <si>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</si>
  <si>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</si>
  <si>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</si>
  <si>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</si>
  <si>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</si>
  <si>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</si>
  <si>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</si>
  <si>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</si>
  <si>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</si>
  <si>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</si>
  <si>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</si>
  <si>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</si>
  <si>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</si>
  <si>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</si>
  <si>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</si>
  <si>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</si>
  <si>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</si>
  <si>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</si>
  <si>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</si>
  <si>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</si>
  <si>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</si>
  <si>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</si>
  <si>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</si>
  <si>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</si>
  <si>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</si>
  <si>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</si>
  <si>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</si>
  <si>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</si>
  <si>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</si>
  <si>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</si>
  <si>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</si>
  <si>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</si>
  <si>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</si>
  <si>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</si>
  <si>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</si>
  <si>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</si>
  <si>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</si>
  <si>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</si>
  <si>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</si>
  <si>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</si>
  <si>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</si>
  <si>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</si>
  <si>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</si>
  <si>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</si>
  <si>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</si>
  <si>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</si>
  <si>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</si>
  <si>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</si>
  <si>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</si>
  <si>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</si>
  <si>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</si>
  <si>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</si>
  <si>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</si>
  <si>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</si>
  <si>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</si>
  <si>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</si>
  <si>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</si>
  <si>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</si>
  <si>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</si>
  <si>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</si>
  <si>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</si>
  <si>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</si>
  <si>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</si>
  <si>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</si>
  <si>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</si>
  <si>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</si>
  <si>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</si>
  <si>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</si>
  <si>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</si>
  <si>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</si>
  <si>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</si>
  <si>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</si>
  <si>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</si>
  <si>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</si>
  <si>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</si>
  <si>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</si>
  <si>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</si>
  <si>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</si>
  <si>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</si>
  <si>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</si>
  <si>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</si>
  <si>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</si>
  <si>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</si>
  <si>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</si>
  <si>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</si>
  <si>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</si>
  <si>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</si>
  <si>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</si>
  <si>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</si>
  <si>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</si>
  <si>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</si>
  <si>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</si>
  <si>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</si>
  <si>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</si>
  <si>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</si>
  <si>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</si>
  <si>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</si>
  <si>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</si>
  <si>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</si>
  <si>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</si>
  <si>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</si>
  <si>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</si>
  <si>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</si>
  <si>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</si>
  <si>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</si>
  <si>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</si>
  <si>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</si>
  <si>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</si>
  <si>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</si>
  <si>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</si>
  <si>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</si>
  <si>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</si>
  <si>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</si>
  <si>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</si>
  <si>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</si>
  <si>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</si>
  <si>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</si>
  <si>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</si>
  <si>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</si>
  <si>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</si>
  <si>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</si>
  <si>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</si>
  <si>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</si>
  <si>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</si>
  <si>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</si>
  <si>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</si>
  <si>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</si>
  <si>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</si>
  <si>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</si>
  <si>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</si>
  <si>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</si>
  <si>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</si>
  <si>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</si>
  <si>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</si>
  <si>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</si>
  <si>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</si>
  <si>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</si>
  <si>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</si>
  <si>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</si>
  <si>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</si>
  <si>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</si>
  <si>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</si>
  <si>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</si>
  <si>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</si>
  <si>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</si>
  <si>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</si>
  <si>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</si>
  <si>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</si>
  <si>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</si>
  <si>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</si>
  <si>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</si>
  <si>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</si>
  <si>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</si>
  <si>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</si>
  <si>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</si>
  <si>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</si>
  <si>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</si>
  <si>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</si>
  <si>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</si>
  <si>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</si>
  <si>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</si>
  <si>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</si>
  <si>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</si>
  <si>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</si>
  <si>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</si>
  <si>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</si>
  <si>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</si>
  <si>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</si>
  <si>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</si>
  <si>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</si>
  <si>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</si>
  <si>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</si>
  <si>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</si>
  <si>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</si>
  <si>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</si>
  <si>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</si>
  <si>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</si>
  <si>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</si>
  <si>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</si>
  <si>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</si>
  <si>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</si>
  <si>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</si>
  <si>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</si>
  <si>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</si>
  <si>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</si>
  <si>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</si>
  <si>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</si>
  <si>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</si>
  <si>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</si>
  <si>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</si>
  <si>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</si>
  <si>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</si>
  <si>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</si>
  <si>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</si>
  <si>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</si>
  <si>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</si>
  <si>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</si>
  <si>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</si>
  <si>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</si>
  <si>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</si>
  <si>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</si>
  <si>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</si>
  <si>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</si>
  <si>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</si>
  <si>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</si>
  <si>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</si>
  <si>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</si>
  <si>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</si>
  <si>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</si>
  <si>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</si>
  <si>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</si>
  <si>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</si>
  <si>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</si>
  <si>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</si>
  <si>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</si>
  <si>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</si>
  <si>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</si>
  <si>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</si>
  <si>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</si>
  <si>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</si>
  <si>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</si>
  <si>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</si>
  <si>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</si>
  <si>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</si>
  <si>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</si>
  <si>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</si>
  <si>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</si>
  <si>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</si>
  <si>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</si>
  <si>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</si>
  <si>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</si>
  <si>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</si>
  <si>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</si>
  <si>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</si>
  <si>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</si>
  <si>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</si>
  <si>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</si>
  <si>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</si>
  <si>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</si>
  <si>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</si>
  <si>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</si>
  <si>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</si>
  <si>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</si>
  <si>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</si>
  <si>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</si>
  <si>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</si>
  <si>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</si>
  <si>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</si>
  <si>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</si>
  <si>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</si>
  <si>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</si>
  <si>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</si>
  <si>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</si>
  <si>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</si>
  <si>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</si>
  <si>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</si>
  <si>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</si>
  <si>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</si>
  <si>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</si>
  <si>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</si>
  <si>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</si>
  <si>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</si>
  <si>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</si>
  <si>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</si>
  <si>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</si>
  <si>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</si>
  <si>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</si>
  <si>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</si>
  <si>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</si>
  <si>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</si>
  <si>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</si>
  <si>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</si>
  <si>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</si>
  <si>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</si>
  <si>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</si>
  <si>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</si>
  <si>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</si>
  <si>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</si>
  <si>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</si>
  <si>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</si>
  <si>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</si>
  <si>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</si>
  <si>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</si>
  <si>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</si>
  <si>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</si>
  <si>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</si>
  <si>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</si>
  <si>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</si>
  <si>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</si>
  <si>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</si>
  <si>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</si>
  <si>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</si>
  <si>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</si>
  <si>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</si>
  <si>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</si>
  <si>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</si>
  <si>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</si>
  <si>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</si>
  <si>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</si>
  <si>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</si>
  <si>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</si>
  <si>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</si>
  <si>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</si>
  <si>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</si>
  <si>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</si>
  <si>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</si>
  <si>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</si>
  <si>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</si>
  <si>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</si>
  <si>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</si>
  <si>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</si>
  <si>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</si>
  <si>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</si>
  <si>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</si>
  <si>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</si>
  <si>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</si>
  <si>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</si>
  <si>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</si>
  <si>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</si>
  <si>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</si>
  <si>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</si>
  <si>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</si>
  <si>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</si>
  <si>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</si>
  <si>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</si>
  <si>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</si>
  <si>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</si>
  <si>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</si>
  <si>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</si>
  <si>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</si>
  <si>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</si>
  <si>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</si>
  <si>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</si>
  <si>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</si>
  <si>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</si>
  <si>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</si>
  <si>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</si>
  <si>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</si>
  <si>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</si>
  <si>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</si>
  <si>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</si>
  <si>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</si>
  <si>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</si>
  <si>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</si>
  <si>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</si>
  <si>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</si>
  <si>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</si>
  <si>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</si>
  <si>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</si>
  <si>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</si>
  <si>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</si>
  <si>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</si>
  <si>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</si>
  <si>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</si>
  <si>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</si>
  <si>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</si>
  <si>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</si>
  <si>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</si>
  <si>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</si>
  <si>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</si>
  <si>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</si>
  <si>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</si>
  <si>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</si>
  <si>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</si>
  <si>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</si>
  <si>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</si>
  <si>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</si>
  <si>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</si>
  <si>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</si>
  <si>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</si>
  <si>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</si>
  <si>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</si>
  <si>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</si>
  <si>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</si>
  <si>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</si>
  <si>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</si>
  <si>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</si>
  <si>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</si>
  <si>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</si>
  <si>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</si>
  <si>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</si>
  <si>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</si>
  <si>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</si>
  <si>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</si>
  <si>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</si>
  <si>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</si>
  <si>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</si>
  <si>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</si>
  <si>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</si>
  <si>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</si>
  <si>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</si>
  <si>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</si>
  <si>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</si>
  <si>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</si>
  <si>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</si>
  <si>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</si>
  <si>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</si>
  <si>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</si>
  <si>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</si>
  <si>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</si>
  <si>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</si>
  <si>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</si>
  <si>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</si>
  <si>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</si>
  <si>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</si>
  <si>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</si>
  <si>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</si>
  <si>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</si>
  <si>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</si>
  <si>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</si>
  <si>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</si>
  <si>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</si>
  <si>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</si>
  <si>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</si>
  <si>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</si>
  <si>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</si>
  <si>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</si>
  <si>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</si>
  <si>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</si>
  <si>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</si>
  <si>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</si>
  <si>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</si>
  <si>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</si>
  <si>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</si>
  <si>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</si>
  <si>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</si>
  <si>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</si>
  <si>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</si>
  <si>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</si>
  <si>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</si>
  <si>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</si>
  <si>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</si>
  <si>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</si>
  <si>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</si>
  <si>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</si>
  <si>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</si>
  <si>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</si>
  <si>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</si>
  <si>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</si>
  <si>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</si>
  <si>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</si>
  <si>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</si>
  <si>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</si>
  <si>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</si>
  <si>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</si>
  <si>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</si>
  <si>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</si>
  <si>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</si>
  <si>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</si>
  <si>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</si>
  <si>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</si>
  <si>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</si>
  <si>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</si>
  <si>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</si>
  <si>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</si>
  <si>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</si>
  <si>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</si>
  <si>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</si>
  <si>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</si>
  <si>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</si>
  <si>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</si>
  <si>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</si>
  <si>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</si>
  <si>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</si>
  <si>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</si>
  <si>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</si>
  <si>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</si>
  <si>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</si>
  <si>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</si>
  <si>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</si>
  <si>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</si>
  <si>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</si>
  <si>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</si>
  <si>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</si>
  <si>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</si>
  <si>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</si>
  <si>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</si>
  <si>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</si>
  <si>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</si>
  <si>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</si>
  <si>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</si>
  <si>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</si>
  <si>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</si>
  <si>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</si>
  <si>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</si>
  <si>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</si>
  <si>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</si>
  <si>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</si>
  <si>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</si>
  <si>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</si>
  <si>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</si>
  <si>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</si>
  <si>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</si>
  <si>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</si>
  <si>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</si>
  <si>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</si>
  <si>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</si>
  <si>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</si>
  <si>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</si>
  <si>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</si>
  <si>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</si>
  <si>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</si>
  <si>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</si>
  <si>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</si>
  <si>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</si>
  <si>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</si>
  <si>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</si>
  <si>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</si>
  <si>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</si>
  <si>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</si>
  <si>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</si>
  <si>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</si>
  <si>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</si>
  <si>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</si>
  <si>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</si>
  <si>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</si>
  <si>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</si>
  <si>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</si>
  <si>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</si>
  <si>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</si>
  <si>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</si>
  <si>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</si>
  <si>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</si>
  <si>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</si>
  <si>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</si>
  <si>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</si>
  <si>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</si>
  <si>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</si>
  <si>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</si>
  <si>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</si>
  <si>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</si>
  <si>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</si>
  <si>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</si>
  <si>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</si>
  <si>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</si>
  <si>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</si>
  <si>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</si>
  <si>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</si>
  <si>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</si>
  <si>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</si>
  <si>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</si>
  <si>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</si>
  <si>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</si>
  <si>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</si>
  <si>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</si>
  <si>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</si>
  <si>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</si>
  <si>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</si>
  <si>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</si>
  <si>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</si>
  <si>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</si>
  <si>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</si>
  <si>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</si>
  <si>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</si>
  <si>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</si>
  <si>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</si>
  <si>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</si>
  <si>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</si>
  <si>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</si>
  <si>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</si>
  <si>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</si>
  <si>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</si>
  <si>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</si>
  <si>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</si>
  <si>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</si>
  <si>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</si>
  <si>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</si>
  <si>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</si>
  <si>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</si>
  <si>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</si>
  <si>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</si>
  <si>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</si>
  <si>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</si>
  <si>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</si>
  <si>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</si>
  <si>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</si>
  <si>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</si>
  <si>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</si>
  <si>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</si>
  <si>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</si>
  <si>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</si>
  <si>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</si>
  <si>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</si>
  <si>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</si>
  <si>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</si>
  <si>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</si>
  <si>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</si>
  <si>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</si>
  <si>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</si>
  <si>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</si>
  <si>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</si>
  <si>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</si>
  <si>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</si>
  <si>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</si>
  <si>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</si>
  <si>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</si>
  <si>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</si>
  <si>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</si>
  <si>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</si>
  <si>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</si>
  <si>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</si>
  <si>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</si>
  <si>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</si>
  <si>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</si>
  <si>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</si>
  <si>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</si>
  <si>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</si>
  <si>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</si>
  <si>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</si>
  <si>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</si>
  <si>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</si>
  <si>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</si>
  <si>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</si>
  <si>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</si>
  <si>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</si>
  <si>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</si>
  <si>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</si>
  <si>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</si>
  <si>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</si>
  <si>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</si>
  <si>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</si>
  <si>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</si>
  <si>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</si>
  <si>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</si>
  <si>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</si>
  <si>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</si>
  <si>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</si>
  <si>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</si>
  <si>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</si>
  <si>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</si>
  <si>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</si>
  <si>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</si>
  <si>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</si>
  <si>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</si>
  <si>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</si>
  <si>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</si>
  <si>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</si>
  <si>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</si>
  <si>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</si>
  <si>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</si>
  <si>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</si>
  <si>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</si>
  <si>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</si>
  <si>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</si>
  <si>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</si>
  <si>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</si>
  <si>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</si>
  <si>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</si>
  <si>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</si>
  <si>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</si>
  <si>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</si>
  <si>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</si>
  <si>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</si>
  <si>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</si>
  <si>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</si>
  <si>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</si>
  <si>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</si>
  <si>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</si>
  <si>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</si>
  <si>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</si>
  <si>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</si>
  <si>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</si>
  <si>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</si>
  <si>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</si>
  <si>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</si>
  <si>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</si>
  <si>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</si>
  <si>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</si>
  <si>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</si>
  <si>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</si>
  <si>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</si>
  <si>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</si>
  <si>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</si>
  <si>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</si>
  <si>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</si>
  <si>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</si>
  <si>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</si>
  <si>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</si>
  <si>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</si>
  <si>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</si>
  <si>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</si>
  <si>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</si>
  <si>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</si>
  <si>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</si>
  <si>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</si>
  <si>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</si>
  <si>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</si>
  <si>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</si>
  <si>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</si>
  <si>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</si>
  <si>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</si>
  <si>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</si>
  <si>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</si>
  <si>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</si>
  <si>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</si>
  <si>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</si>
  <si>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</si>
  <si>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</si>
  <si>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</si>
  <si>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</si>
  <si>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</si>
  <si>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</si>
  <si>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</si>
  <si>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</si>
  <si>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</si>
  <si>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</si>
  <si>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</si>
  <si>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</si>
  <si>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</si>
  <si>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</si>
  <si>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</si>
  <si>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</si>
  <si>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</si>
  <si>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</si>
  <si>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</si>
  <si>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</si>
  <si>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</si>
  <si>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</si>
  <si>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</si>
  <si>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</si>
  <si>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</si>
  <si>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</si>
  <si>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</si>
  <si>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</si>
  <si>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</si>
  <si>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</si>
  <si>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</si>
  <si>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</si>
  <si>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</si>
  <si>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</si>
  <si>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</si>
  <si>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</si>
  <si>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</si>
  <si>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</si>
  <si>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</si>
  <si>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</si>
  <si>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</si>
  <si>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</si>
  <si>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</si>
  <si>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</si>
  <si>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</si>
  <si>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</si>
  <si>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</si>
  <si>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</si>
  <si>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</si>
  <si>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</si>
  <si>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</si>
  <si>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</si>
  <si>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</si>
  <si>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</si>
  <si>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</si>
  <si>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</si>
  <si>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</si>
  <si>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</si>
  <si>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</si>
  <si>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</si>
  <si>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</si>
  <si>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</si>
  <si>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</si>
  <si>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</si>
  <si>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</si>
  <si>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</si>
  <si>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</si>
  <si>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</si>
  <si>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</si>
  <si>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</si>
  <si>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</si>
  <si>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</si>
  <si>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</si>
  <si>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</si>
  <si>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</si>
  <si>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</si>
  <si>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</si>
  <si>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</si>
  <si>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</si>
  <si>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</si>
  <si>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</si>
  <si>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</si>
  <si>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</si>
  <si>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</si>
  <si>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</si>
  <si>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</si>
  <si>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</si>
  <si>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</si>
  <si>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</si>
  <si>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</si>
  <si>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</si>
  <si>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</si>
  <si>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</si>
  <si>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</si>
  <si>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</si>
  <si>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</si>
  <si>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</si>
  <si>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</si>
  <si>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</si>
  <si>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</si>
  <si>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</si>
  <si>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</si>
  <si>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</si>
  <si>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</si>
  <si>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</si>
  <si>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</si>
  <si>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</si>
  <si>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</si>
  <si>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</si>
  <si>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</si>
  <si>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</si>
  <si>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</si>
  <si>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</si>
  <si>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</si>
  <si>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</si>
  <si>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</si>
  <si>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</si>
  <si>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</si>
  <si>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</si>
  <si>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</si>
  <si>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</si>
  <si>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</si>
  <si>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</si>
  <si>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</si>
  <si>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</si>
  <si>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</si>
  <si>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</si>
  <si>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</si>
  <si>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</si>
  <si>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</si>
  <si>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</si>
  <si>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</si>
  <si>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</si>
  <si>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</si>
  <si>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</si>
  <si>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</si>
  <si>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</si>
  <si>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</si>
  <si>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</si>
  <si>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</si>
  <si>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</si>
  <si>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</si>
  <si>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</si>
  <si>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</si>
  <si>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</si>
  <si>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</si>
  <si>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</si>
  <si>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</si>
  <si>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</si>
  <si>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</si>
  <si>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</si>
  <si>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</si>
  <si>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</si>
  <si>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</si>
  <si>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</si>
  <si>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</si>
  <si>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</si>
  <si>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</si>
  <si>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</si>
  <si>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</si>
  <si>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</si>
  <si>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</si>
  <si>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</si>
  <si>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</si>
  <si>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</si>
  <si>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</si>
  <si>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</si>
  <si>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</si>
  <si>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</si>
  <si>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</si>
  <si>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</si>
  <si>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</si>
  <si>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</si>
  <si>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</si>
  <si>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</si>
  <si>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</si>
  <si>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</si>
  <si>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</si>
  <si>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</si>
  <si>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</si>
  <si>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</si>
  <si>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</si>
  <si>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</si>
  <si>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</si>
  <si>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</si>
  <si>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</si>
  <si>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</si>
  <si>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</si>
  <si>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</si>
  <si>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</si>
  <si>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</si>
  <si>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</si>
  <si>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</si>
  <si>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</si>
  <si>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</si>
  <si>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</si>
  <si>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</si>
  <si>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</si>
  <si>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</si>
  <si>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</si>
  <si>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</si>
  <si>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</si>
  <si>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</si>
  <si>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</si>
  <si>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</si>
  <si>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</si>
  <si>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</si>
  <si>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</si>
  <si>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</si>
  <si>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</si>
  <si>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</si>
  <si>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</si>
  <si>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</si>
  <si>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</si>
  <si>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</si>
  <si>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</si>
  <si>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</si>
  <si>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</si>
  <si>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</si>
  <si>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</si>
  <si>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</si>
  <si>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</si>
  <si>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</si>
  <si>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</si>
  <si>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</si>
  <si>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</si>
  <si>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</si>
  <si>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</si>
  <si>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</si>
  <si>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</si>
  <si>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</si>
  <si>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</si>
  <si>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</si>
  <si>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</si>
  <si>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</si>
  <si>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</si>
  <si>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</si>
  <si>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</si>
  <si>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</si>
  <si>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</si>
  <si>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</si>
  <si>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</si>
  <si>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</si>
  <si>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</si>
  <si>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</si>
  <si>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</si>
  <si>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</si>
  <si>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</si>
  <si>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</si>
  <si>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</si>
  <si>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</si>
  <si>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</si>
  <si>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</si>
  <si>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</si>
  <si>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</si>
  <si>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</si>
  <si>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</si>
  <si>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</si>
  <si>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</si>
  <si>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</si>
  <si>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</si>
  <si>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</si>
  <si>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</si>
  <si>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</si>
  <si>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</si>
  <si>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</si>
  <si>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</si>
  <si>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</si>
  <si>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</si>
  <si>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</si>
  <si>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</si>
  <si>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</si>
  <si>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</si>
  <si>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</si>
  <si>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</si>
  <si>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</si>
  <si>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</si>
  <si>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</si>
  <si>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</si>
  <si>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</si>
  <si>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</si>
  <si>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</si>
  <si>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</si>
  <si>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</si>
  <si>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</si>
  <si>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</si>
  <si>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</si>
  <si>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</si>
  <si>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</si>
  <si>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</si>
  <si>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</si>
  <si>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</si>
  <si>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</si>
  <si>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</si>
  <si>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</si>
  <si>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</si>
  <si>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</si>
  <si>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</si>
  <si>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</si>
  <si>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</si>
  <si>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</si>
  <si>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</si>
  <si>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</si>
  <si>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</si>
  <si>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</si>
  <si>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</si>
  <si>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</si>
  <si>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</si>
  <si>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</si>
  <si>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</si>
  <si>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</si>
  <si>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</si>
  <si>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</si>
  <si>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</si>
  <si>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</si>
  <si>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</si>
  <si>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</si>
  <si>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</si>
  <si>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</si>
  <si>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</si>
  <si>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</si>
  <si>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</si>
  <si>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</si>
  <si>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</si>
  <si>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</si>
  <si>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</si>
  <si>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</si>
  <si>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</si>
  <si>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</si>
  <si>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</si>
  <si>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</si>
  <si>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</si>
  <si>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</si>
  <si>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</si>
  <si>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</si>
  <si>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</si>
  <si>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</si>
  <si>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</si>
  <si>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</si>
  <si>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</si>
  <si>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</si>
  <si>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</si>
  <si>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</si>
  <si>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</si>
  <si>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</si>
  <si>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</si>
  <si>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</si>
  <si>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</si>
  <si>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</si>
  <si>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</si>
  <si>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</si>
  <si>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</si>
  <si>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</si>
  <si>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</si>
  <si>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</si>
  <si>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</si>
  <si>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</si>
  <si>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</si>
  <si>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</si>
  <si>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</si>
  <si>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</si>
  <si>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</si>
  <si>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</si>
  <si>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</si>
  <si>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</si>
  <si>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</si>
  <si>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</si>
  <si>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</si>
  <si>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</si>
  <si>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</si>
  <si>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</si>
  <si>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</si>
  <si>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</si>
  <si>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</si>
  <si>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</si>
  <si>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</si>
  <si>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</si>
  <si>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</si>
  <si>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</si>
  <si>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</si>
  <si>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</si>
  <si>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</si>
  <si>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</si>
  <si>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</si>
  <si>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</si>
  <si>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</si>
  <si>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</si>
  <si>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</si>
  <si>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</si>
  <si>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</si>
  <si>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</si>
  <si>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</si>
  <si>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</si>
  <si>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</si>
  <si>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</si>
  <si>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</si>
  <si>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</si>
  <si>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</si>
  <si>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</si>
  <si>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</si>
  <si>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</si>
  <si>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</si>
  <si>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</si>
  <si>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</si>
  <si>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</si>
  <si>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</si>
  <si>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</si>
  <si>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</si>
  <si>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</si>
  <si>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</si>
  <si>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</si>
  <si>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</si>
  <si>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</si>
  <si>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</si>
  <si>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</si>
  <si>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</si>
  <si>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</si>
  <si>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</si>
  <si>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</si>
  <si>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</si>
  <si>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</si>
  <si>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</si>
  <si>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</si>
  <si>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</si>
  <si>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</si>
  <si>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</si>
  <si>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</si>
  <si>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</si>
  <si>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</si>
  <si>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</si>
  <si>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</si>
  <si>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</si>
  <si>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</si>
  <si>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</si>
  <si>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</si>
  <si>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</si>
  <si>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</si>
  <si>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</si>
  <si>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</si>
  <si>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</si>
  <si>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</si>
  <si>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</si>
  <si>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</si>
  <si>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</si>
  <si>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</si>
  <si>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</si>
  <si>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</si>
  <si>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</si>
  <si>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</si>
  <si>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</si>
  <si>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</si>
  <si>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</si>
  <si>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</si>
  <si>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</si>
  <si>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</si>
  <si>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</si>
  <si>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</si>
  <si>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</si>
  <si>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</si>
  <si>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</si>
  <si>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</si>
  <si>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</si>
  <si>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</si>
  <si>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</si>
  <si>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</si>
  <si>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</si>
  <si>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</si>
  <si>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</si>
  <si>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</si>
  <si>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</si>
  <si>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</si>
  <si>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</si>
  <si>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</si>
  <si>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</si>
  <si>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</si>
  <si>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</si>
  <si>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</si>
  <si>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</si>
  <si>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</si>
  <si>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</si>
  <si>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</si>
  <si>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</si>
  <si>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</si>
  <si>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</si>
  <si>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</si>
  <si>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</si>
  <si>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</si>
  <si>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</si>
  <si>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</si>
  <si>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</si>
  <si>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</si>
  <si>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</si>
  <si>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</si>
  <si>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</si>
  <si>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</si>
  <si>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</si>
  <si>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</si>
  <si>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</si>
  <si>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</si>
  <si>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</si>
  <si>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</si>
  <si>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</si>
  <si>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</si>
  <si>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</si>
  <si>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</si>
  <si>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</si>
  <si>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</si>
  <si>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</si>
  <si>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</si>
  <si>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</si>
  <si>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</si>
  <si>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</si>
  <si>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</si>
  <si>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</si>
  <si>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</si>
  <si>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</si>
  <si>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</si>
  <si>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</si>
  <si>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</si>
  <si>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</si>
  <si>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</si>
  <si>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</si>
  <si>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</si>
  <si>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</si>
  <si>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</si>
  <si>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</si>
  <si>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</si>
  <si>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</si>
  <si>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</si>
  <si>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</si>
  <si>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</si>
  <si>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</si>
  <si>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</si>
  <si>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</si>
  <si>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</si>
  <si>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</si>
  <si>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</si>
  <si>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</si>
  <si>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</si>
  <si>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</si>
  <si>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</si>
  <si>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</si>
  <si>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</si>
  <si>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</si>
  <si>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</si>
  <si>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</si>
  <si>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</si>
  <si>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</si>
  <si>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</si>
  <si>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</si>
  <si>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</si>
  <si>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</si>
  <si>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</si>
  <si>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</si>
  <si>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</si>
  <si>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</si>
  <si>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</si>
  <si>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</si>
  <si>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</si>
  <si>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</si>
  <si>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</si>
  <si>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</si>
  <si>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</si>
  <si>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</si>
  <si>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</si>
  <si>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</si>
  <si>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</si>
  <si>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</si>
  <si>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</si>
  <si>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</si>
  <si>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</si>
  <si>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</si>
  <si>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</si>
  <si>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</si>
  <si>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</si>
  <si>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</si>
  <si>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</si>
  <si>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</si>
  <si>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</si>
  <si>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</si>
  <si>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</si>
  <si>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</si>
  <si>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</si>
  <si>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</si>
  <si>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</si>
  <si>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</si>
  <si>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</si>
  <si>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</si>
  <si>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</si>
  <si>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</si>
  <si>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</si>
  <si>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</si>
  <si>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</si>
  <si>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</si>
  <si>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</si>
  <si>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</si>
  <si>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</si>
  <si>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</si>
  <si>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</si>
  <si>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</si>
  <si>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</si>
  <si>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</si>
  <si>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</si>
  <si>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</si>
  <si>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</si>
  <si>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</si>
  <si>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</si>
  <si>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</si>
  <si>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</si>
  <si>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</si>
  <si>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</si>
  <si>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</si>
  <si>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</si>
  <si>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</si>
  <si>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</si>
  <si>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</si>
  <si>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</si>
  <si>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</si>
  <si>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</si>
  <si>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</si>
  <si>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</si>
  <si>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</si>
  <si>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</si>
  <si>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</si>
  <si>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</si>
  <si>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</si>
  <si>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</si>
  <si>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</si>
  <si>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</si>
  <si>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</si>
  <si>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</si>
  <si>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</si>
  <si>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</si>
  <si>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</si>
  <si>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</si>
  <si>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</si>
  <si>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</si>
  <si>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</si>
  <si>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</si>
  <si>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</si>
  <si>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</si>
  <si>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</si>
  <si>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</si>
  <si>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</si>
  <si>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</si>
  <si>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</si>
  <si>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</si>
  <si>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</si>
  <si>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</si>
  <si>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</si>
  <si>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</si>
  <si>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</si>
  <si>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</si>
  <si>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</si>
  <si>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</si>
  <si>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</si>
  <si>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</si>
  <si>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</si>
  <si>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</si>
  <si>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</si>
  <si>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</si>
  <si>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</si>
  <si>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</si>
  <si>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</si>
  <si>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</si>
  <si>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</si>
  <si>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</si>
  <si>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</si>
  <si>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</si>
  <si>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</si>
  <si>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</si>
  <si>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</si>
  <si>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</si>
  <si>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</si>
  <si>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</si>
  <si>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</si>
  <si>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</si>
  <si>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</si>
  <si>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</si>
  <si>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</si>
  <si>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</si>
  <si>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</si>
  <si>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</si>
  <si>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</si>
  <si>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</si>
  <si>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</si>
  <si>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</si>
  <si>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</si>
  <si>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</si>
  <si>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</si>
  <si>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</si>
  <si>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</si>
  <si>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</si>
  <si>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</si>
  <si>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</si>
  <si>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</si>
  <si>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</si>
  <si>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</si>
  <si>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</si>
  <si>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</si>
  <si>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</si>
  <si>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</si>
  <si>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</si>
  <si>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</si>
  <si>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</si>
  <si>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</si>
  <si>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</si>
  <si>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</si>
  <si>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</si>
  <si>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</si>
  <si>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</si>
  <si>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</si>
  <si>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</si>
  <si>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</si>
  <si>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</si>
  <si>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</si>
  <si>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</si>
  <si>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</si>
  <si>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</si>
  <si>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</si>
  <si>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</si>
  <si>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</si>
  <si>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</si>
  <si>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</si>
  <si>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</si>
  <si>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</si>
  <si>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</si>
  <si>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</si>
  <si>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</si>
  <si>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</si>
  <si>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</si>
  <si>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</si>
  <si>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</si>
  <si>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</si>
  <si>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</si>
  <si>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</si>
  <si>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</si>
  <si>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</si>
  <si>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</si>
  <si>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</si>
  <si>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</si>
  <si>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</si>
  <si>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</si>
  <si>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</si>
  <si>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</si>
  <si>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</si>
  <si>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</si>
  <si>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</si>
  <si>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</si>
  <si>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</si>
  <si>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</si>
  <si>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</si>
  <si>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</si>
  <si>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</si>
  <si>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</si>
  <si>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</si>
  <si>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</si>
  <si>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</si>
  <si>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</si>
  <si>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</si>
  <si>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</si>
  <si>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</si>
  <si>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</si>
  <si>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</si>
  <si>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</si>
  <si>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</si>
  <si>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</si>
  <si>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</si>
  <si>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</si>
  <si>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</si>
  <si>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</si>
  <si>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</si>
  <si>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</si>
  <si>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</si>
  <si>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</si>
  <si>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</si>
  <si>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</si>
  <si>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</si>
  <si>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</si>
  <si>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</si>
  <si>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</si>
  <si>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</si>
  <si>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</si>
  <si>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</si>
  <si>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</si>
  <si>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</si>
  <si>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</si>
  <si>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</si>
  <si>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</si>
  <si>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</si>
  <si>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</si>
  <si>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</si>
  <si>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</si>
  <si>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</si>
  <si>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</si>
  <si>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</si>
  <si>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</si>
  <si>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</si>
  <si>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</si>
  <si>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</si>
  <si>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</si>
  <si>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</si>
  <si>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</si>
  <si>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</si>
  <si>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</si>
  <si>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</si>
  <si>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</si>
  <si>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</si>
  <si>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</si>
  <si>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</si>
  <si>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</si>
  <si>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</si>
  <si>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</si>
  <si>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</si>
  <si>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</si>
  <si>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</si>
  <si>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</si>
  <si>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</si>
  <si>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</si>
  <si>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</si>
  <si>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</si>
  <si>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</si>
  <si>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</si>
  <si>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</si>
  <si>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</si>
  <si>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</si>
  <si>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</si>
  <si>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</si>
  <si>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</si>
  <si>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</si>
  <si>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</si>
  <si>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</si>
  <si>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</si>
  <si>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</si>
  <si>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</si>
  <si>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</si>
  <si>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</si>
  <si>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</si>
  <si>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</si>
  <si>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</si>
  <si>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</si>
  <si>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</si>
  <si>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</si>
  <si>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</si>
  <si>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</si>
  <si>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</si>
  <si>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</si>
  <si>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</si>
  <si>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</si>
  <si>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</si>
  <si>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</si>
  <si>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</si>
  <si>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</si>
  <si>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</si>
  <si>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</si>
  <si>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</si>
  <si>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</si>
  <si>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</si>
  <si>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</si>
  <si>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</si>
  <si>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</si>
  <si>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</si>
  <si>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</si>
  <si>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</si>
  <si>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</si>
  <si>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</si>
  <si>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</si>
  <si>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</si>
  <si>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</si>
  <si>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</si>
  <si>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</si>
  <si>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</si>
  <si>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</si>
  <si>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</si>
  <si>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</si>
  <si>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</si>
  <si>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</si>
  <si>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</si>
  <si>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</si>
  <si>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</si>
  <si>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</si>
  <si>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</si>
  <si>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</si>
  <si>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</si>
  <si>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</si>
  <si>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</si>
  <si>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</si>
  <si>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</si>
  <si>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</si>
  <si>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</si>
  <si>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</si>
  <si>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</si>
  <si>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</si>
  <si>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</si>
  <si>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</si>
  <si>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</si>
  <si>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</si>
  <si>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</si>
  <si>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</si>
  <si>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</si>
  <si>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</si>
  <si>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</si>
  <si>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</si>
  <si>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</si>
  <si>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</si>
  <si>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</si>
  <si>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</si>
  <si>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</si>
  <si>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</si>
  <si>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</si>
  <si>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</si>
  <si>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</si>
  <si>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</si>
  <si>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</si>
  <si>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</si>
  <si>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</si>
  <si>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</si>
  <si>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</si>
  <si>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</si>
  <si>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</si>
  <si>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</si>
  <si>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</si>
  <si>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</si>
  <si>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</si>
  <si>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</si>
  <si>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</si>
  <si>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</si>
  <si>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</si>
  <si>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</si>
  <si>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</si>
  <si>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</si>
  <si>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</si>
  <si>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</si>
  <si>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</si>
  <si>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</si>
  <si>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</si>
  <si>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</si>
  <si>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</si>
  <si>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</si>
  <si>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</si>
  <si>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</si>
  <si>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</si>
  <si>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</si>
  <si>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</si>
  <si>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</si>
  <si>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</si>
  <si>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</si>
  <si>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</si>
  <si>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</si>
  <si>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</si>
  <si>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</si>
  <si>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</si>
  <si>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</si>
  <si>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</si>
  <si>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</si>
  <si>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</si>
  <si>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</si>
  <si>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</si>
  <si>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</si>
  <si>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</si>
  <si>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</si>
  <si>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</si>
  <si>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</si>
  <si>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</si>
  <si>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</si>
  <si>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</si>
  <si>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</si>
  <si>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</si>
  <si>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</si>
  <si>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</si>
  <si>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</si>
  <si>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</si>
  <si>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</si>
  <si>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</si>
  <si>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</si>
  <si>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</si>
  <si>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</si>
  <si>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</si>
  <si>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</si>
  <si>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</si>
  <si>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</si>
  <si>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</si>
  <si>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</si>
  <si>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</si>
  <si>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</si>
  <si>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</si>
  <si>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</si>
  <si>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</si>
  <si>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</si>
  <si>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</si>
  <si>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</si>
  <si>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</si>
  <si>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</si>
  <si>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</si>
  <si>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</si>
  <si>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</si>
  <si>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</si>
  <si>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</si>
  <si>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</si>
  <si>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</si>
  <si>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</si>
  <si>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</si>
  <si>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</si>
  <si>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</si>
  <si>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</si>
  <si>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</si>
  <si>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</si>
  <si>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</si>
  <si>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</si>
  <si>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</si>
  <si>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</si>
  <si>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</si>
  <si>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</si>
  <si>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</si>
  <si>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</si>
  <si>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</si>
  <si>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</si>
  <si>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</si>
  <si>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</si>
  <si>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</si>
  <si>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</si>
  <si>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</si>
  <si>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</si>
  <si>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</si>
  <si>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</si>
  <si>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</si>
  <si>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</si>
  <si>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</si>
  <si>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</si>
  <si>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</si>
  <si>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</si>
  <si>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</si>
  <si>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</si>
  <si>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</si>
  <si>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</si>
  <si>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</si>
  <si>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</si>
  <si>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</si>
  <si>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</si>
  <si>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</si>
  <si>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</si>
  <si>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</si>
  <si>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</si>
  <si>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</si>
  <si>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</si>
  <si>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</si>
  <si>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</si>
  <si>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</si>
  <si>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</si>
  <si>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</si>
  <si>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</si>
  <si>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</si>
  <si>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</si>
  <si>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</si>
  <si>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</si>
  <si>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</si>
  <si>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</si>
  <si>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</si>
  <si>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</si>
  <si>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</si>
  <si>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</si>
  <si>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</si>
  <si>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</si>
  <si>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</si>
  <si>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</si>
  <si>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</si>
  <si>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</si>
  <si>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</si>
  <si>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</si>
  <si>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</si>
  <si>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</si>
  <si>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</si>
  <si>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</si>
  <si>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</si>
  <si>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</si>
  <si>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</si>
  <si>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</si>
  <si>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</si>
  <si>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</si>
  <si>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</si>
  <si>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</si>
  <si>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</si>
  <si>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</si>
  <si>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</si>
  <si>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</si>
  <si>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</si>
  <si>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</si>
  <si>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</si>
  <si>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</si>
  <si>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</si>
  <si>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</si>
  <si>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</si>
  <si>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</si>
  <si>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</si>
  <si>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</si>
  <si>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</si>
  <si>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</si>
  <si>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</si>
  <si>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</si>
  <si>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</si>
  <si>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</si>
  <si>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</si>
  <si>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</si>
  <si>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</si>
  <si>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</si>
  <si>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</si>
  <si>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</si>
  <si>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</si>
  <si>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</si>
  <si>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</si>
  <si>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</si>
  <si>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</si>
  <si>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</si>
  <si>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</si>
  <si>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</si>
  <si>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</si>
  <si>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</si>
  <si>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</si>
  <si>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</si>
  <si>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</si>
  <si>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</si>
  <si>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</si>
  <si>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</si>
  <si>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</si>
  <si>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</si>
  <si>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</si>
  <si>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</si>
  <si>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</si>
  <si>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</si>
  <si>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</si>
  <si>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</si>
  <si>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</si>
  <si>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</si>
  <si>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</si>
  <si>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</si>
  <si>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</si>
  <si>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</si>
  <si>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</si>
  <si>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</si>
  <si>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</si>
  <si>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</si>
  <si>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</si>
  <si>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</si>
  <si>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</si>
  <si>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</si>
  <si>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</si>
  <si>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</si>
  <si>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</si>
  <si>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</si>
  <si>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</si>
  <si>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</si>
  <si>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</si>
  <si>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</si>
  <si>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</si>
  <si>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</si>
  <si>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</si>
  <si>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</si>
  <si>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</si>
  <si>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</si>
  <si>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</si>
  <si>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</si>
  <si>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</si>
  <si>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</si>
  <si>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</si>
  <si>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</si>
  <si>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</si>
  <si>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</si>
  <si>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</si>
  <si>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</si>
  <si>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</si>
  <si>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</si>
  <si>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</si>
  <si>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</si>
  <si>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</si>
  <si>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</si>
  <si>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</si>
  <si>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</si>
  <si>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</si>
  <si>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</si>
  <si>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</si>
  <si>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</si>
  <si>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</si>
  <si>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</si>
  <si>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</si>
  <si>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</si>
  <si>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</si>
  <si>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</si>
  <si>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</si>
  <si>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</si>
  <si>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</si>
  <si>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</si>
  <si>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</si>
  <si>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</si>
  <si>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</si>
  <si>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</si>
  <si>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</si>
  <si>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</si>
  <si>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</si>
  <si>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</si>
  <si>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</si>
  <si>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</si>
  <si>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</si>
  <si>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</si>
  <si>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</si>
  <si>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</si>
  <si>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</si>
  <si>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</si>
  <si>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</si>
  <si>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</si>
  <si>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</si>
  <si>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</si>
  <si>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</si>
  <si>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</si>
  <si>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</si>
  <si>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</si>
  <si>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</si>
  <si>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</si>
  <si>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</si>
  <si>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</si>
  <si>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</si>
  <si>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</si>
  <si>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</si>
  <si>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</si>
  <si>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</si>
  <si>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</si>
  <si>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</si>
  <si>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</si>
  <si>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</si>
  <si>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</si>
  <si>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</si>
  <si>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</si>
  <si>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</si>
  <si>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</si>
  <si>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</si>
  <si>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</si>
  <si>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</si>
  <si>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</si>
  <si>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</si>
  <si>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</si>
  <si>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</si>
  <si>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</si>
  <si>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</si>
  <si>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</si>
  <si>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</si>
  <si>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</si>
  <si>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</si>
  <si>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</si>
  <si>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</si>
  <si>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</si>
  <si>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</si>
  <si>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</si>
  <si>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</si>
  <si>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</si>
  <si>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</si>
  <si>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</si>
  <si>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</si>
  <si>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</si>
  <si>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</si>
  <si>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</si>
  <si>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</si>
  <si>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</si>
  <si>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</si>
  <si>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</si>
  <si>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</si>
  <si>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</si>
  <si>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</si>
  <si>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</si>
  <si>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</si>
  <si>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</si>
  <si>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</si>
  <si>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</si>
  <si>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</si>
  <si>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</si>
  <si>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</si>
  <si>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</si>
  <si>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</si>
  <si>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</si>
  <si>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</si>
  <si>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</si>
  <si>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</si>
  <si>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</si>
  <si>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</si>
  <si>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</si>
  <si>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</si>
  <si>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</si>
  <si>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</si>
  <si>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</si>
  <si>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</si>
  <si>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</si>
  <si>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</si>
  <si>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</si>
  <si>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</si>
  <si>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</si>
  <si>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</si>
  <si>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</si>
  <si>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</si>
  <si>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</si>
  <si>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</si>
  <si>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</si>
  <si>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</si>
  <si>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</si>
  <si>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</si>
  <si>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</si>
  <si>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</si>
  <si>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</si>
  <si>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</si>
  <si>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</si>
  <si>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</si>
  <si>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</si>
  <si>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</si>
  <si>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</si>
  <si>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</si>
  <si>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</si>
  <si>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</si>
  <si>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</si>
  <si>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</si>
  <si>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</si>
  <si>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</si>
  <si>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</si>
  <si>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</si>
  <si>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</si>
  <si>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</si>
  <si>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</si>
  <si>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</si>
  <si>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</si>
  <si>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</si>
  <si>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</si>
  <si>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</si>
  <si>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</si>
  <si>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</si>
  <si>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</si>
  <si>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</si>
  <si>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</si>
  <si>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</si>
  <si>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</si>
  <si>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</si>
  <si>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</si>
  <si>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</si>
  <si>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</si>
  <si>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</si>
  <si>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</si>
  <si>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</si>
  <si>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</si>
  <si>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</si>
  <si>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</si>
  <si>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</si>
  <si>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</si>
  <si>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</si>
  <si>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</si>
  <si>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</si>
  <si>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</si>
  <si>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</si>
  <si>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</si>
  <si>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</si>
  <si>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</si>
  <si>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</si>
  <si>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</si>
  <si>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</si>
  <si>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</si>
  <si>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</si>
  <si>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</si>
  <si>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</si>
  <si>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</si>
  <si>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</si>
  <si>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</si>
  <si>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</si>
  <si>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</si>
  <si>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</si>
  <si>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</si>
  <si>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</si>
  <si>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</si>
  <si>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</si>
  <si>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</si>
  <si>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</si>
  <si>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</si>
  <si>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</si>
  <si>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</si>
  <si>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</si>
  <si>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</si>
  <si>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</si>
  <si>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</si>
  <si>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</si>
  <si>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</si>
  <si>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</si>
  <si>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</si>
  <si>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</si>
  <si>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</si>
  <si>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</si>
  <si>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</si>
  <si>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</si>
  <si>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</si>
  <si>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</si>
  <si>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</si>
  <si>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</si>
  <si>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</si>
  <si>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</si>
  <si>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</si>
  <si>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</si>
  <si>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</si>
  <si>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</si>
  <si>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</si>
  <si>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</si>
  <si>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</si>
  <si>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</si>
  <si>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</si>
  <si>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</si>
  <si>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</si>
  <si>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</si>
  <si>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</si>
  <si>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</si>
  <si>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</si>
  <si>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</si>
  <si>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</si>
  <si>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</si>
  <si>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</si>
  <si>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</si>
  <si>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</si>
  <si>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</si>
  <si>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</si>
  <si>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</si>
  <si>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</si>
  <si>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</si>
  <si>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</si>
  <si>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</si>
  <si>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</si>
  <si>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</si>
  <si>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</si>
  <si>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</si>
  <si>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</si>
  <si>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</si>
  <si>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</si>
  <si>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</si>
  <si>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</si>
  <si>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</si>
  <si>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</si>
  <si>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</si>
  <si>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</si>
  <si>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</si>
  <si>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</si>
  <si>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</si>
  <si>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</si>
  <si>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</si>
  <si>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</si>
  <si>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</si>
  <si>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</si>
  <si>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</si>
  <si>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</si>
  <si>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</si>
  <si>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</si>
  <si>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</si>
  <si>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</si>
  <si>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</si>
  <si>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</si>
  <si>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</si>
  <si>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</si>
  <si>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</si>
  <si>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</si>
  <si>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</si>
  <si>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</si>
  <si>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</si>
  <si>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</si>
  <si>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</si>
  <si>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</si>
  <si>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</si>
  <si>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</si>
  <si>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</si>
  <si>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</si>
  <si>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</si>
  <si>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</si>
  <si>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</si>
  <si>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</si>
  <si>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</si>
  <si>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</si>
  <si>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</si>
  <si>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</si>
  <si>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</si>
  <si>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</si>
  <si>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</si>
  <si>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</si>
  <si>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</si>
  <si>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</si>
  <si>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</si>
  <si>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</si>
  <si>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</si>
  <si>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</si>
  <si>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</si>
  <si>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</si>
  <si>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</si>
  <si>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</si>
  <si>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</si>
  <si>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</si>
  <si>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</si>
  <si>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</si>
  <si>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</si>
  <si>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</si>
  <si>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</si>
  <si>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</si>
  <si>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</si>
  <si>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</si>
  <si>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</si>
  <si>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</si>
  <si>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</si>
  <si>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</si>
  <si>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</si>
  <si>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</si>
  <si>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</si>
  <si>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</si>
  <si>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</si>
  <si>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</si>
  <si>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</si>
  <si>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</si>
  <si>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</si>
  <si>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</si>
  <si>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</si>
  <si>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</si>
  <si>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</si>
  <si>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</si>
  <si>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</si>
  <si>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</si>
  <si>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</si>
  <si>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</si>
  <si>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</si>
  <si>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</si>
  <si>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</si>
  <si>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</si>
  <si>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</si>
  <si>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</si>
  <si>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</si>
  <si>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</si>
  <si>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</si>
  <si>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</si>
  <si>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</si>
  <si>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</si>
  <si>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</si>
  <si>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</si>
  <si>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</si>
  <si>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</si>
  <si>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</si>
  <si>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</si>
  <si>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</si>
  <si>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</si>
  <si>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</si>
  <si>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</si>
  <si>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</si>
  <si>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</si>
  <si>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</si>
  <si>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</si>
  <si>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</si>
  <si>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</si>
  <si>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</si>
  <si>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</si>
  <si>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</si>
  <si>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</si>
  <si>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</si>
  <si>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</si>
  <si>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</si>
  <si>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</si>
  <si>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</si>
  <si>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</si>
  <si>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</si>
  <si>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</si>
  <si>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</si>
  <si>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</si>
  <si>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</si>
  <si>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</si>
  <si>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</si>
  <si>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</si>
  <si>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</si>
  <si>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</si>
  <si>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</si>
  <si>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</si>
  <si>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</si>
  <si>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</si>
  <si>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</si>
  <si>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</si>
  <si>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</si>
  <si>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</si>
  <si>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</si>
  <si>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</si>
  <si>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</si>
  <si>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</si>
  <si>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</si>
  <si>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</si>
  <si>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</si>
  <si>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</si>
  <si>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</si>
  <si>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</si>
  <si>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</si>
  <si>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</si>
  <si>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</si>
  <si>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</si>
  <si>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</si>
  <si>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</si>
  <si>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</si>
  <si>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</si>
  <si>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</si>
  <si>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</si>
  <si>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</si>
  <si>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</si>
  <si>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</si>
  <si>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</si>
  <si>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</si>
  <si>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</si>
  <si>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</si>
  <si>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</si>
  <si>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</si>
  <si>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</si>
  <si>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</si>
  <si>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</si>
  <si>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</si>
  <si>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</si>
  <si>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</si>
  <si>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</si>
  <si>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</si>
  <si>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</si>
  <si>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</si>
  <si>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</si>
  <si>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</si>
  <si>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</si>
  <si>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</si>
  <si>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</si>
  <si>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</si>
  <si>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</si>
  <si>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</si>
  <si>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</si>
  <si>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</si>
  <si>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</si>
  <si>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</si>
  <si>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</si>
  <si>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</si>
  <si>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</si>
  <si>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</si>
  <si>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</si>
  <si>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</si>
  <si>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</si>
  <si>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</si>
  <si>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</si>
  <si>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</si>
  <si>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</si>
  <si>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</si>
  <si>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</si>
  <si>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</si>
  <si>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</si>
  <si>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</si>
  <si>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</si>
  <si>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</si>
  <si>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</si>
  <si>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</si>
  <si>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</si>
  <si>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</si>
  <si>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</si>
  <si>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</si>
  <si>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</si>
  <si>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</si>
  <si>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</si>
  <si>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</si>
  <si>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</si>
  <si>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</si>
  <si>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</si>
  <si>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</si>
  <si>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</si>
  <si>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</si>
  <si>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</si>
  <si>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</si>
  <si>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</si>
  <si>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</si>
  <si>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</si>
  <si>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</si>
  <si>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</si>
  <si>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</si>
  <si>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</si>
  <si>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</si>
  <si>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</si>
  <si>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</si>
  <si>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</si>
  <si>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</si>
  <si>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</si>
  <si>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</si>
  <si>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</si>
  <si>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</si>
  <si>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</si>
  <si>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</si>
  <si>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</si>
  <si>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</si>
  <si>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</si>
  <si>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</si>
  <si>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</si>
  <si>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</si>
  <si>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</si>
  <si>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</si>
  <si>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</si>
  <si>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</si>
  <si>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</si>
  <si>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</si>
  <si>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</si>
  <si>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</si>
  <si>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</si>
  <si>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</si>
  <si>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</si>
  <si>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</si>
  <si>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</si>
  <si>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</si>
  <si>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</si>
  <si>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</si>
  <si>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</si>
  <si>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</si>
  <si>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</si>
  <si>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</si>
  <si>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</si>
  <si>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</si>
  <si>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</si>
  <si>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</si>
  <si>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</si>
  <si>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</si>
  <si>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</si>
  <si>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</si>
  <si>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</si>
  <si>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</si>
  <si>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</si>
  <si>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</si>
  <si>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</si>
  <si>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</si>
  <si>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</si>
  <si>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</si>
  <si>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</si>
  <si>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</si>
  <si>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</si>
  <si>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</si>
  <si>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</si>
  <si>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</si>
  <si>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</si>
  <si>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</si>
  <si>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</si>
  <si>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</si>
  <si>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</si>
  <si>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</si>
  <si>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</si>
  <si>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</si>
  <si>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</si>
  <si>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</si>
  <si>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</si>
  <si>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</si>
  <si>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</si>
  <si>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</si>
  <si>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</si>
  <si>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</si>
  <si>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</si>
  <si>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</si>
  <si>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</si>
  <si>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</si>
  <si>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</si>
  <si>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</si>
  <si>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</si>
  <si>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</si>
  <si>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</si>
  <si>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</si>
  <si>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</si>
  <si>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</si>
  <si>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</si>
  <si>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</si>
  <si>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</si>
  <si>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</si>
  <si>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</si>
  <si>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</si>
  <si>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</si>
  <si>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</si>
  <si>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</si>
  <si>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</si>
  <si>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</si>
  <si>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</si>
  <si>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</si>
  <si>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</si>
  <si>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</si>
  <si>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</si>
  <si>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</si>
  <si>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</si>
  <si>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</si>
  <si>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</si>
  <si>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</si>
  <si>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</si>
  <si>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</si>
  <si>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</si>
  <si>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</si>
  <si>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</si>
  <si>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</si>
  <si>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</si>
  <si>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</si>
  <si>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</si>
  <si>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</si>
  <si>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</si>
  <si>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</si>
  <si>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</si>
  <si>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</si>
  <si>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</si>
  <si>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</si>
  <si>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</si>
  <si>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</si>
  <si>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</si>
  <si>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</si>
  <si>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</si>
  <si>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</si>
  <si>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</si>
  <si>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</si>
  <si>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</si>
  <si>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</si>
  <si>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</si>
  <si>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</si>
  <si>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</si>
  <si>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</si>
  <si>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</si>
  <si>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</si>
  <si>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</si>
  <si>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</si>
  <si>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</si>
  <si>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</si>
  <si>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</si>
  <si>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</si>
  <si>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</si>
  <si>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</si>
  <si>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</si>
  <si>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</si>
  <si>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</si>
  <si>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</si>
  <si>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</si>
  <si>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</si>
  <si>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</si>
  <si>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</si>
  <si>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</si>
  <si>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</si>
  <si>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</si>
  <si>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</si>
  <si>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</si>
  <si>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</si>
  <si>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</si>
  <si>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</si>
  <si>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</si>
  <si>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</si>
  <si>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</si>
  <si>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</si>
  <si>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</si>
  <si>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</si>
  <si>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</si>
  <si>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</si>
  <si>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</si>
  <si>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</si>
  <si>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</si>
  <si>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</si>
  <si>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</si>
  <si>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</si>
  <si>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</si>
  <si>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</si>
  <si>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</si>
  <si>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</si>
  <si>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</si>
  <si>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</si>
  <si>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</si>
  <si>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</si>
  <si>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</si>
  <si>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</si>
  <si>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</si>
  <si>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</si>
  <si>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</si>
  <si>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</si>
  <si>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</si>
  <si>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</si>
  <si>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</si>
  <si>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</si>
  <si>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</si>
  <si>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</si>
  <si>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</si>
  <si>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</si>
  <si>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</si>
  <si>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</si>
  <si>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</si>
  <si>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</si>
  <si>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</si>
  <si>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</si>
  <si>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</si>
  <si>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</si>
  <si>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</si>
  <si>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</si>
  <si>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</si>
  <si>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</si>
  <si>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</si>
  <si>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</si>
  <si>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</si>
  <si>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</si>
  <si>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</si>
  <si>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</si>
  <si>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</si>
  <si>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</si>
  <si>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</si>
  <si>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</si>
  <si>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</si>
  <si>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</si>
  <si>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</si>
  <si>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</si>
  <si>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</si>
  <si>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</si>
  <si>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</si>
  <si>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</si>
  <si>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</si>
  <si>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</si>
  <si>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</si>
  <si>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</si>
  <si>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</si>
  <si>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</si>
  <si>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</si>
  <si>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</si>
  <si>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</si>
  <si>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</si>
  <si>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</si>
  <si>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</si>
  <si>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</si>
  <si>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</si>
  <si>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</si>
  <si>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</si>
  <si>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</si>
  <si>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</si>
  <si>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</si>
  <si>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</si>
  <si>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</si>
  <si>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</si>
  <si>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</si>
  <si>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</si>
  <si>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</si>
  <si>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</si>
  <si>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</si>
  <si>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</si>
  <si>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</si>
  <si>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</si>
  <si>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</si>
  <si>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</si>
  <si>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</si>
  <si>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</si>
  <si>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</si>
  <si>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</si>
  <si>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</si>
  <si>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</si>
  <si>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</si>
  <si>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</si>
  <si>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</si>
  <si>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</si>
  <si>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</si>
  <si>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</si>
  <si>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</si>
  <si>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</si>
  <si>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</si>
  <si>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</si>
  <si>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</si>
  <si>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</si>
  <si>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</si>
  <si>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</si>
  <si>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</si>
  <si>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</si>
  <si>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</si>
  <si>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</si>
  <si>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</si>
  <si>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</si>
  <si>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</si>
  <si>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</si>
  <si>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</si>
  <si>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</si>
  <si>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</si>
  <si>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</si>
  <si>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</si>
  <si>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</si>
  <si>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</si>
  <si>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</si>
  <si>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</si>
  <si>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</si>
  <si>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</si>
  <si>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</si>
  <si>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</si>
  <si>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</si>
  <si>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</si>
  <si>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</si>
  <si>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</si>
  <si>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</si>
  <si>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</si>
  <si>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</si>
  <si>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</si>
  <si>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</si>
  <si>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</si>
  <si>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</si>
  <si>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</si>
  <si>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</si>
  <si>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</si>
  <si>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</si>
  <si>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</si>
  <si>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</si>
  <si>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</si>
  <si>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</si>
  <si>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</si>
  <si>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</si>
  <si>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</si>
  <si>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</si>
  <si>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</si>
  <si>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</si>
  <si>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</si>
  <si>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</si>
  <si>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</si>
  <si>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</si>
  <si>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</si>
  <si>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</si>
  <si>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</si>
  <si>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</si>
  <si>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</si>
  <si>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</si>
  <si>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</si>
  <si>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</si>
  <si>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</si>
  <si>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</si>
  <si>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</si>
  <si>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</si>
  <si>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</si>
  <si>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</si>
  <si>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</si>
  <si>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</si>
  <si>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</si>
  <si>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</si>
  <si>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</si>
  <si>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</si>
  <si>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</si>
  <si>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</si>
  <si>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</si>
  <si>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</si>
  <si>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</si>
  <si>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</si>
  <si>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</si>
  <si>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</si>
  <si>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</si>
  <si>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</si>
  <si>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</si>
  <si>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</si>
  <si>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</si>
  <si>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</si>
  <si>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</si>
  <si>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</si>
  <si>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</si>
  <si>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</si>
  <si>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</si>
  <si>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</si>
  <si>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</si>
  <si>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</si>
  <si>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</si>
  <si>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</si>
  <si>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</si>
  <si>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</si>
  <si>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</si>
  <si>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</si>
  <si>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</si>
  <si>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</si>
  <si>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</si>
  <si>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</si>
  <si>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</si>
  <si>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</si>
  <si>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</si>
  <si>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</si>
  <si>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</si>
  <si>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</si>
  <si>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</si>
  <si>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</si>
  <si>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</si>
  <si>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</si>
  <si>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</si>
  <si>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</si>
  <si>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</si>
  <si>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</si>
  <si>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</si>
  <si>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</si>
  <si>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</si>
  <si>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</si>
  <si>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</si>
  <si>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</si>
  <si>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</si>
  <si>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</si>
  <si>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</si>
  <si>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</si>
  <si>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</si>
  <si>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</si>
  <si>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</si>
  <si>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</si>
  <si>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</si>
  <si>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</si>
  <si>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</si>
  <si>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</si>
  <si>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</si>
  <si>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</si>
  <si>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</si>
  <si>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</si>
  <si>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</si>
  <si>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</si>
  <si>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</si>
  <si>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</si>
  <si>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</si>
  <si>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</si>
  <si>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</si>
  <si>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</si>
  <si>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</si>
  <si>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</si>
  <si>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</si>
  <si>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</si>
  <si>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</si>
  <si>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</si>
  <si>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</si>
  <si>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</si>
  <si>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</si>
  <si>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</si>
  <si>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</si>
  <si>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</si>
  <si>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</si>
  <si>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</si>
  <si>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</si>
  <si>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</si>
  <si>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</si>
  <si>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</si>
  <si>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</si>
  <si>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</si>
  <si>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</si>
  <si>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</si>
  <si>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</si>
  <si>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</si>
  <si>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</si>
  <si>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</si>
  <si>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</si>
  <si>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</si>
  <si>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</si>
  <si>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</si>
  <si>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</si>
  <si>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</si>
  <si>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</si>
  <si>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</si>
  <si>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</si>
  <si>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</si>
  <si>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</si>
  <si>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</si>
  <si>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</si>
  <si>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</si>
  <si>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</si>
  <si>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</si>
  <si>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</si>
  <si>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</si>
  <si>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</si>
  <si>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</si>
  <si>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</si>
  <si>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</si>
  <si>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</si>
  <si>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</si>
  <si>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</si>
  <si>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</si>
  <si>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</si>
  <si>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</si>
  <si>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</si>
  <si>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</si>
  <si>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</si>
  <si>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</si>
  <si>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</si>
  <si>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</si>
  <si>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</si>
  <si>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</si>
  <si>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</si>
  <si>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</si>
  <si>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</si>
  <si>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</si>
  <si>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</si>
  <si>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</si>
  <si>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</si>
  <si>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</si>
  <si>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</si>
  <si>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</si>
  <si>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</si>
  <si>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</si>
  <si>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</si>
  <si>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</si>
  <si>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</si>
  <si>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</si>
  <si>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</si>
  <si>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</si>
  <si>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</si>
  <si>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</si>
  <si>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</si>
  <si>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</si>
  <si>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</si>
  <si>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</si>
  <si>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</si>
  <si>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</si>
  <si>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</si>
  <si>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</si>
  <si>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</si>
  <si>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</si>
  <si>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</si>
  <si>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</si>
  <si>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</si>
  <si>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</si>
  <si>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</si>
  <si>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</si>
  <si>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</si>
  <si>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</si>
  <si>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</si>
  <si>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</si>
  <si>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</si>
  <si>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</si>
  <si>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</si>
  <si>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</si>
  <si>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</si>
  <si>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</si>
  <si>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</si>
  <si>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</si>
  <si>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</si>
  <si>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</si>
  <si>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</si>
  <si>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</si>
  <si>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</si>
  <si>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</si>
  <si>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</si>
  <si>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</si>
  <si>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</si>
  <si>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</si>
  <si>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</si>
  <si>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</si>
  <si>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</si>
  <si>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</si>
  <si>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</si>
  <si>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</si>
  <si>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</si>
  <si>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</si>
  <si>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</si>
  <si>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</si>
  <si>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</si>
  <si>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</si>
  <si>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</si>
  <si>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</si>
  <si>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</si>
  <si>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</si>
  <si>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</si>
  <si>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</si>
  <si>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</si>
  <si>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</si>
  <si>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</si>
  <si>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</si>
  <si>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</si>
  <si>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</si>
  <si>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</si>
  <si>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</si>
  <si>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</si>
  <si>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</si>
  <si>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</si>
  <si>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</si>
  <si>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</si>
  <si>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</si>
  <si>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</si>
  <si>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</si>
  <si>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</si>
  <si>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</si>
  <si>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</si>
  <si>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</si>
  <si>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</si>
  <si>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</si>
  <si>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</si>
  <si>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</si>
  <si>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</si>
  <si>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</si>
  <si>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</si>
  <si>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</si>
  <si>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</si>
  <si>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</si>
  <si>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</si>
  <si>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</si>
  <si>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</si>
  <si>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</si>
  <si>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</si>
  <si>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</si>
  <si>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</si>
  <si>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</si>
  <si>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</si>
  <si>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</si>
  <si>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</si>
  <si>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</si>
  <si>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</si>
  <si>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</si>
  <si>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</si>
  <si>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</si>
  <si>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</si>
  <si>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</si>
  <si>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</si>
  <si>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</si>
  <si>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</si>
  <si>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</si>
  <si>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</si>
  <si>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</si>
  <si>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</si>
  <si>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</si>
  <si>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</si>
  <si>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</si>
  <si>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</si>
  <si>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</si>
  <si>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</si>
  <si>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</si>
  <si>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</si>
  <si>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</si>
  <si>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</si>
  <si>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</si>
  <si>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</si>
  <si>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</si>
  <si>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</si>
  <si>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</si>
  <si>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</si>
  <si>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</si>
  <si>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</si>
  <si>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</si>
  <si>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</si>
  <si>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</si>
  <si>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</si>
  <si>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</si>
  <si>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</si>
  <si>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</si>
  <si>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</si>
  <si>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</si>
  <si>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</si>
  <si>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</si>
  <si>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</si>
  <si>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</si>
  <si>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</si>
  <si>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</si>
  <si>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</si>
  <si>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</si>
  <si>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</si>
  <si>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</si>
  <si>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</si>
  <si>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</si>
  <si>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</si>
  <si>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</si>
  <si>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</si>
  <si>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</si>
  <si>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</si>
  <si>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</si>
  <si>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</si>
  <si>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</si>
  <si>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</si>
  <si>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</si>
  <si>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</si>
  <si>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</si>
  <si>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</si>
  <si>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</si>
  <si>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</si>
  <si>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</si>
  <si>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</si>
  <si>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</si>
  <si>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</si>
  <si>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</si>
  <si>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</si>
  <si>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</si>
  <si>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</si>
  <si>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</si>
  <si>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</si>
  <si>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</si>
  <si>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</si>
  <si>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</si>
  <si>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</si>
  <si>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</si>
  <si>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</si>
  <si>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</si>
  <si>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</si>
  <si>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</si>
  <si>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</si>
  <si>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</si>
  <si>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</si>
  <si>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</si>
  <si>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</si>
  <si>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</si>
  <si>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</si>
  <si>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</si>
  <si>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</si>
  <si>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</si>
  <si>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</si>
  <si>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</si>
  <si>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</si>
  <si>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</si>
  <si>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</si>
  <si>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</si>
  <si>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</si>
  <si>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</si>
  <si>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</si>
  <si>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</si>
  <si>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</si>
  <si>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</si>
  <si>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</si>
  <si>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</si>
  <si>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</si>
  <si>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</si>
  <si>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</si>
  <si>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</si>
  <si>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</si>
  <si>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</si>
  <si>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</si>
  <si>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</si>
  <si>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</si>
  <si>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</si>
  <si>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</si>
  <si>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</si>
  <si>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</si>
  <si>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</si>
  <si>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</si>
  <si>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</si>
  <si>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</si>
  <si>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</si>
  <si>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</si>
  <si>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</si>
  <si>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</si>
  <si>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</si>
  <si>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</si>
  <si>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</si>
  <si>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</si>
  <si>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</si>
  <si>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</si>
  <si>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</si>
  <si>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</si>
  <si>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</si>
  <si>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</si>
  <si>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</si>
  <si>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</si>
  <si>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</si>
  <si>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</si>
  <si>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</si>
  <si>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</si>
  <si>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</si>
  <si>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</si>
  <si>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</si>
  <si>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</si>
  <si>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</si>
  <si>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</si>
  <si>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</si>
  <si>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</si>
  <si>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</si>
  <si>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</si>
  <si>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</si>
  <si>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</si>
  <si>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</si>
  <si>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</si>
  <si>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</si>
  <si>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</si>
  <si>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</si>
  <si>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</si>
  <si>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</si>
  <si>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</si>
  <si>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</si>
  <si>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</si>
  <si>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</si>
  <si>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</si>
  <si>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</si>
  <si>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</si>
  <si>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</si>
  <si>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</si>
  <si>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</si>
  <si>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</si>
  <si>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</si>
  <si>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</si>
  <si>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</si>
  <si>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</si>
  <si>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</si>
  <si>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</si>
  <si>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</si>
  <si>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</si>
  <si>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</si>
  <si>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</si>
  <si>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</si>
  <si>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</si>
  <si>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</si>
  <si>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</si>
  <si>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</si>
  <si>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</si>
  <si>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</si>
  <si>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</si>
  <si>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</si>
  <si>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</si>
  <si>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</si>
  <si>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</si>
  <si>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</si>
  <si>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</si>
  <si>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</si>
  <si>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</si>
  <si>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</si>
  <si>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</si>
  <si>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</si>
  <si>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</si>
  <si>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</si>
  <si>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</si>
  <si>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</si>
  <si>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</si>
  <si>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</si>
  <si>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</si>
  <si>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</si>
  <si>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</si>
  <si>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</si>
  <si>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</si>
  <si>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</si>
  <si>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</si>
  <si>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</si>
  <si>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</si>
  <si>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</si>
  <si>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</si>
  <si>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</si>
  <si>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</si>
  <si>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</si>
  <si>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</si>
  <si>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</si>
  <si>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</si>
  <si>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</si>
  <si>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</si>
  <si>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</si>
  <si>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</si>
  <si>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</si>
  <si>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</si>
  <si>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</si>
  <si>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</si>
  <si>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</si>
  <si>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</si>
  <si>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</si>
  <si>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</si>
  <si>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</si>
  <si>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</si>
  <si>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</si>
  <si>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</si>
  <si>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</si>
  <si>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</si>
  <si>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</si>
  <si>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</si>
  <si>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</si>
  <si>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</si>
  <si>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</si>
  <si>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</si>
  <si>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</si>
  <si>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</si>
  <si>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</si>
  <si>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</si>
  <si>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</si>
  <si>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</si>
  <si>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</si>
  <si>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</si>
  <si>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</si>
  <si>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</si>
  <si>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</si>
  <si>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</si>
  <si>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</si>
  <si>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</si>
  <si>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</si>
  <si>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</si>
  <si>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</si>
  <si>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</si>
  <si>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</si>
  <si>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</si>
  <si>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</si>
  <si>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</si>
  <si>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</si>
  <si>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</si>
  <si>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</si>
  <si>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</si>
  <si>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</si>
  <si>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</si>
  <si>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</si>
  <si>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</si>
  <si>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</si>
  <si>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</si>
  <si>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</si>
  <si>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</si>
  <si>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</si>
  <si>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</si>
  <si>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</si>
  <si>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</si>
  <si>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</si>
  <si>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</si>
  <si>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</si>
  <si>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</si>
  <si>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</si>
  <si>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</si>
  <si>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</si>
  <si>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</si>
  <si>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</si>
  <si>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</si>
  <si>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</si>
  <si>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</si>
  <si>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</si>
  <si>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</si>
  <si>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</si>
  <si>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</si>
  <si>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</si>
  <si>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</si>
  <si>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</si>
  <si>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</si>
  <si>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</si>
  <si>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</si>
  <si>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</si>
  <si>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</si>
  <si>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</si>
  <si>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</si>
  <si>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</si>
  <si>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</si>
  <si>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</si>
  <si>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</si>
  <si>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</si>
  <si>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</si>
  <si>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</si>
  <si>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</si>
  <si>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</si>
  <si>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</si>
  <si>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</si>
  <si>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</si>
  <si>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</si>
  <si>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</si>
  <si>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</si>
  <si>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</si>
  <si>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</si>
  <si>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</si>
  <si>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</si>
  <si>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</si>
  <si>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</si>
  <si>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</si>
  <si>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</si>
  <si>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</si>
  <si>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</si>
  <si>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</si>
  <si>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</si>
  <si>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</si>
  <si>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</si>
  <si>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</si>
  <si>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</si>
  <si>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</si>
  <si>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</si>
  <si>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</si>
  <si>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</si>
  <si>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</si>
  <si>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</si>
  <si>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</si>
  <si>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</si>
  <si>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</si>
  <si>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</si>
  <si>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</si>
  <si>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</si>
  <si>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</si>
  <si>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</si>
  <si>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</si>
  <si>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</si>
  <si>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</si>
  <si>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</si>
  <si>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</si>
  <si>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</si>
  <si>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</si>
  <si>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</si>
  <si>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</si>
  <si>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</si>
  <si>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</si>
  <si>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</si>
  <si>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</si>
  <si>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</si>
  <si>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</si>
  <si>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</si>
  <si>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</si>
  <si>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</si>
  <si>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</si>
  <si>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</si>
  <si>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</si>
  <si>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</si>
  <si>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</si>
  <si>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</si>
  <si>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</si>
  <si>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</si>
  <si>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</si>
  <si>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</si>
  <si>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</si>
  <si>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</si>
  <si>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</si>
  <si>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</si>
  <si>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</si>
  <si>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</si>
  <si>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</si>
  <si>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</si>
  <si>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</si>
  <si>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</si>
  <si>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</si>
  <si>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</si>
  <si>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</si>
  <si>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</si>
  <si>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</si>
  <si>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</si>
  <si>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</si>
  <si>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</si>
  <si>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</si>
  <si>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</si>
  <si>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</si>
  <si>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</si>
  <si>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</si>
  <si>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</si>
  <si>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</si>
  <si>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</si>
  <si>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</si>
  <si>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</si>
  <si>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</si>
  <si>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</si>
  <si>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</si>
  <si>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</si>
  <si>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</si>
  <si>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</si>
  <si>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</si>
  <si>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</si>
  <si>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</si>
  <si>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</si>
  <si>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</si>
  <si>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</si>
  <si>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</si>
  <si>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</si>
  <si>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</si>
  <si>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</si>
  <si>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</si>
  <si>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</si>
  <si>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</si>
  <si>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</si>
  <si>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</si>
  <si>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</si>
  <si>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</si>
  <si>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</si>
  <si>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</si>
  <si>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</si>
  <si>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</si>
  <si>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</si>
  <si>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</si>
  <si>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</si>
  <si>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</si>
  <si>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</si>
  <si>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</si>
  <si>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</si>
  <si>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</si>
  <si>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</si>
  <si>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</si>
  <si>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</si>
  <si>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</si>
  <si>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</si>
  <si>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</si>
  <si>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</si>
  <si>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</si>
  <si>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</si>
  <si>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</si>
  <si>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</si>
  <si>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</si>
  <si>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</si>
  <si>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</si>
  <si>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</si>
  <si>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</si>
  <si>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</si>
  <si>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</si>
  <si>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</si>
  <si>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</si>
  <si>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</si>
  <si>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</si>
  <si>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</si>
  <si>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</si>
  <si>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</si>
  <si>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</si>
  <si>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</si>
  <si>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</si>
  <si>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</si>
  <si>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</si>
  <si>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</si>
  <si>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</si>
  <si>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</si>
  <si>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</si>
  <si>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</si>
  <si>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</si>
  <si>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</si>
  <si>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</si>
  <si>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</si>
  <si>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</si>
  <si>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</si>
  <si>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</si>
  <si>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</si>
  <si>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</si>
  <si>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</si>
  <si>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</si>
  <si>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</si>
  <si>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</si>
  <si>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</si>
  <si>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</si>
  <si>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</si>
  <si>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</si>
  <si>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</si>
  <si>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</si>
  <si>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</si>
  <si>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</si>
  <si>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</si>
  <si>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</si>
  <si>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</si>
  <si>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</si>
  <si>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</si>
  <si>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</si>
  <si>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</si>
  <si>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</si>
  <si>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</si>
  <si>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</si>
  <si>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</si>
  <si>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</si>
  <si>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</si>
  <si>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</si>
  <si>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</si>
  <si>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</si>
  <si>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</si>
  <si>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</si>
  <si>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</si>
  <si>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</si>
  <si>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</si>
  <si>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</si>
  <si>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</si>
  <si>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</si>
  <si>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</si>
  <si>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</si>
  <si>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</si>
  <si>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</si>
  <si>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</si>
  <si>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</si>
  <si>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</si>
  <si>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</si>
  <si>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</si>
  <si>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</si>
  <si>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</si>
  <si>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</si>
  <si>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</si>
  <si>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</si>
  <si>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</si>
  <si>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</si>
  <si>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</si>
  <si>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</si>
  <si>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</si>
  <si>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</si>
  <si>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</si>
  <si>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</si>
  <si>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</si>
  <si>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</si>
  <si>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</si>
  <si>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</si>
  <si>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</si>
  <si>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</si>
  <si>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</si>
  <si>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</si>
  <si>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</si>
  <si>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</si>
  <si>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</si>
  <si>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</si>
  <si>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</si>
  <si>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</si>
  <si>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</si>
  <si>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</si>
  <si>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</si>
  <si>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</si>
  <si>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</si>
  <si>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</si>
  <si>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</si>
  <si>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</si>
  <si>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</si>
  <si>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</si>
  <si>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</si>
  <si>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</si>
  <si>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</si>
  <si>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</si>
  <si>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</si>
  <si>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</si>
  <si>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</si>
  <si>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</si>
  <si>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</si>
  <si>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</si>
  <si>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</si>
  <si>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</si>
  <si>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</si>
  <si>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</si>
  <si>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</si>
  <si>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</si>
  <si>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</si>
  <si>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</si>
  <si>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</si>
  <si>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</si>
  <si>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</si>
  <si>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</si>
  <si>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</si>
  <si>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</si>
  <si>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</si>
  <si>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</si>
  <si>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</si>
  <si>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</si>
  <si>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</si>
  <si>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</si>
  <si>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</si>
  <si>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</si>
  <si>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</si>
  <si>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</si>
  <si>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</si>
  <si>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</si>
  <si>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</si>
  <si>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</si>
  <si>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</si>
  <si>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</si>
  <si>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</si>
  <si>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</si>
  <si>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</si>
  <si>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</si>
  <si>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</si>
  <si>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</si>
  <si>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</si>
  <si>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</si>
  <si>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</si>
  <si>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</si>
  <si>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</si>
  <si>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</si>
  <si>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</si>
  <si>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</si>
  <si>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</si>
  <si>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</si>
  <si>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</si>
  <si>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</si>
  <si>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</si>
  <si>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</si>
  <si>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</si>
  <si>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</si>
  <si>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</si>
  <si>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</si>
  <si>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</si>
  <si>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</si>
  <si>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</si>
  <si>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</si>
  <si>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</si>
  <si>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</si>
  <si>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</si>
  <si>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</si>
  <si>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</si>
  <si>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</si>
  <si>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</si>
  <si>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</si>
  <si>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</si>
  <si>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</si>
  <si>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</si>
  <si>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</si>
  <si>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</si>
  <si>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</si>
  <si>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</si>
  <si>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</si>
  <si>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</si>
  <si>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</si>
  <si>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</si>
  <si>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</si>
  <si>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</si>
  <si>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</si>
  <si>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</si>
  <si>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</si>
  <si>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</si>
  <si>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</si>
  <si>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</si>
  <si>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</si>
  <si>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</si>
  <si>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</si>
  <si>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</si>
  <si>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</si>
  <si>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</si>
  <si>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</si>
  <si>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</si>
  <si>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</si>
  <si>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</si>
  <si>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</si>
  <si>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</si>
  <si>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</si>
  <si>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</si>
  <si>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</si>
  <si>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</si>
  <si>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</si>
  <si>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</si>
  <si>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</si>
  <si>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</si>
  <si>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</si>
  <si>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</si>
  <si>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</si>
  <si>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</si>
  <si>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</si>
  <si>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</si>
  <si>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</si>
  <si>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</si>
  <si>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</si>
  <si>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</si>
  <si>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</si>
  <si>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</si>
  <si>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</si>
  <si>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</si>
  <si>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</si>
  <si>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</si>
  <si>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</si>
  <si>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</si>
  <si>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</si>
  <si>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</si>
  <si>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</si>
  <si>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</si>
  <si>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</si>
  <si>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</si>
  <si>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</si>
  <si>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</si>
  <si>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</si>
  <si>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</si>
  <si>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</si>
  <si>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</si>
  <si>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</si>
  <si>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</si>
  <si>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</si>
  <si>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</si>
  <si>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</si>
  <si>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</si>
  <si>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</si>
  <si>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</si>
  <si>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</si>
  <si>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</si>
  <si>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</si>
  <si>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</si>
  <si>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</si>
  <si>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</si>
  <si>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</si>
  <si>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</si>
  <si>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</si>
  <si>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</si>
  <si>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</si>
  <si>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</si>
  <si>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</si>
  <si>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</si>
  <si>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</si>
  <si>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</si>
  <si>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</si>
  <si>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</si>
  <si>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</si>
  <si>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</si>
  <si>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</si>
  <si>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</si>
  <si>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</si>
  <si>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</si>
  <si>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</si>
  <si>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</si>
  <si>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</si>
  <si>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</si>
  <si>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</si>
  <si>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</si>
  <si>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</si>
  <si>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</si>
  <si>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</si>
  <si>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</si>
  <si>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</si>
  <si>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</si>
  <si>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</si>
  <si>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</si>
  <si>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</si>
  <si>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</si>
  <si>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</si>
  <si>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</si>
  <si>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</si>
  <si>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</si>
  <si>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</si>
  <si>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</si>
  <si>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</si>
  <si>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</si>
  <si>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</si>
  <si>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</si>
  <si>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</si>
  <si>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</si>
  <si>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</si>
  <si>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</si>
  <si>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</si>
  <si>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</si>
  <si>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</si>
  <si>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</si>
  <si>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</si>
  <si>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</si>
  <si>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</si>
  <si>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</si>
  <si>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</si>
  <si>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</si>
  <si>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</si>
  <si>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</si>
  <si>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</si>
  <si>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</si>
  <si>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</si>
  <si>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</si>
  <si>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</si>
  <si>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</si>
  <si>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</si>
  <si>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</si>
  <si>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</si>
  <si>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</si>
  <si>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</si>
  <si>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</si>
  <si>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</si>
  <si>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</si>
  <si>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</si>
  <si>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</si>
  <si>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</si>
  <si>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</si>
  <si>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</si>
  <si>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</si>
  <si>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</si>
  <si>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</si>
  <si>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</si>
  <si>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</si>
  <si>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</si>
  <si>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</si>
  <si>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</si>
  <si>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</si>
  <si>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</si>
  <si>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</si>
  <si>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</si>
  <si>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</si>
  <si>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</si>
  <si>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</si>
  <si>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</si>
  <si>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</si>
  <si>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</si>
  <si>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</si>
  <si>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</si>
  <si>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</si>
  <si>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</si>
  <si>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</si>
  <si>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</si>
  <si>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</si>
  <si>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</si>
  <si>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</si>
  <si>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</si>
  <si>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</si>
  <si>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</si>
  <si>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</si>
  <si>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</si>
  <si>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</si>
  <si>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</si>
  <si>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</si>
  <si>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</si>
  <si>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</si>
  <si>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</si>
  <si>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</si>
  <si>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</si>
  <si>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</si>
  <si>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</si>
  <si>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</si>
  <si>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</si>
  <si>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</si>
  <si>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</si>
  <si>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</si>
  <si>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</si>
  <si>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</si>
  <si>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</si>
  <si>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</si>
  <si>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</si>
  <si>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</si>
  <si>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</si>
  <si>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</si>
  <si>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</si>
  <si>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</si>
  <si>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</si>
  <si>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</si>
  <si>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</si>
  <si>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</si>
  <si>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</si>
  <si>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</si>
  <si>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</si>
  <si>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</si>
  <si>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</si>
  <si>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</si>
  <si>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</si>
  <si>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</si>
  <si>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</si>
  <si>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</si>
  <si>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</si>
  <si>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</si>
  <si>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</si>
  <si>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</si>
  <si>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</si>
  <si>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</si>
  <si>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</si>
  <si>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</si>
  <si>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</si>
  <si>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</si>
  <si>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</si>
  <si>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</si>
  <si>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</si>
  <si>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</si>
  <si>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</si>
  <si>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</si>
  <si>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</si>
  <si>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</si>
  <si>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</si>
  <si>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</si>
  <si>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</si>
  <si>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</si>
  <si>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</si>
  <si>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</si>
  <si>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</si>
  <si>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</si>
  <si>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</si>
  <si>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</si>
  <si>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</si>
  <si>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</si>
  <si>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</si>
  <si>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</si>
  <si>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</si>
  <si>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</si>
  <si>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</si>
  <si>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</si>
  <si>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</si>
  <si>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</si>
  <si>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</si>
  <si>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</si>
  <si>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</si>
  <si>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</si>
  <si>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</si>
  <si>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</si>
  <si>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</si>
  <si>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</si>
  <si>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</si>
  <si>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</si>
  <si>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</si>
  <si>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</si>
  <si>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</si>
  <si>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</si>
  <si>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</si>
  <si>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</si>
  <si>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</si>
  <si>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</si>
  <si>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</si>
  <si>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</si>
  <si>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</si>
  <si>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</si>
  <si>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</si>
  <si>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</si>
  <si>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</si>
  <si>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</si>
  <si>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</si>
  <si>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</si>
  <si>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</si>
  <si>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</si>
  <si>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</si>
  <si>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</si>
  <si>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</si>
  <si>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</si>
  <si>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</si>
  <si>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</si>
  <si>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</si>
  <si>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</si>
  <si>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</si>
  <si>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</si>
  <si>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</si>
  <si>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</si>
  <si>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</si>
  <si>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</si>
  <si>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</si>
  <si>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</si>
  <si>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</si>
  <si>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</si>
  <si>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</si>
  <si>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</si>
  <si>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</si>
  <si>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</si>
  <si>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</si>
  <si>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</si>
  <si>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</si>
  <si>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</si>
  <si>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</si>
  <si>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</si>
  <si>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</si>
  <si>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</si>
  <si>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</si>
  <si>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</si>
  <si>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</si>
  <si>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</si>
  <si>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</si>
  <si>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</si>
  <si>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</si>
  <si>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</si>
  <si>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</si>
  <si>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</si>
  <si>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</si>
  <si>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</si>
  <si>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</si>
  <si>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</si>
  <si>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</si>
  <si>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</si>
  <si>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</si>
  <si>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</si>
  <si>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</si>
  <si>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</si>
  <si>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</si>
  <si>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</si>
  <si>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</si>
  <si>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</si>
  <si>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</si>
  <si>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</si>
  <si>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</si>
  <si>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</si>
  <si>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</si>
  <si>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</si>
  <si>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</si>
  <si>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</si>
  <si>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</si>
  <si>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</si>
  <si>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</si>
  <si>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</si>
  <si>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</si>
  <si>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</si>
  <si>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</si>
  <si>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</si>
  <si>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</si>
  <si>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</si>
  <si>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</si>
  <si>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</si>
  <si>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</si>
  <si>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</si>
  <si>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</si>
  <si>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</si>
  <si>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</si>
  <si>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</si>
  <si>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</si>
  <si>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</si>
  <si>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</si>
  <si>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</si>
  <si>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</si>
  <si>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</si>
  <si>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</si>
  <si>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</si>
  <si>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</si>
  <si>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</si>
  <si>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</si>
  <si>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</si>
  <si>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</si>
  <si>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</si>
  <si>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</si>
  <si>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</si>
  <si>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</si>
  <si>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</si>
  <si>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</si>
  <si>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</si>
  <si>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</si>
  <si>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</si>
  <si>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</si>
  <si>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</si>
  <si>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</si>
  <si>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</si>
  <si>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</si>
  <si>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</si>
  <si>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</si>
  <si>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</si>
  <si>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</si>
  <si>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</si>
  <si>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</si>
  <si>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</si>
  <si>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</si>
  <si>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</si>
  <si>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</si>
  <si>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</si>
  <si>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</si>
  <si>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</si>
  <si>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</si>
  <si>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</si>
  <si>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</si>
  <si>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</si>
  <si>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</si>
  <si>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</si>
  <si>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</si>
  <si>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</si>
  <si>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</si>
  <si>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</si>
  <si>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</si>
  <si>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</si>
  <si>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</si>
  <si>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</si>
  <si>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</si>
  <si>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</si>
  <si>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</si>
  <si>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</si>
  <si>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</si>
  <si>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</si>
  <si>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</si>
  <si>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</si>
  <si>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</si>
  <si>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</si>
  <si>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</si>
  <si>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</si>
  <si>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</si>
  <si>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</si>
  <si>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</si>
  <si>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</si>
  <si>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</si>
  <si>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</si>
  <si>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</si>
  <si>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</si>
  <si>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</si>
  <si>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</si>
  <si>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</si>
  <si>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</si>
  <si>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</si>
  <si>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</si>
  <si>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</si>
  <si>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</si>
  <si>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</si>
  <si>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</si>
  <si>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</si>
  <si>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</si>
  <si>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</si>
  <si>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</si>
  <si>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</si>
  <si>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</si>
  <si>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</si>
  <si>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</si>
  <si>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</si>
  <si>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</si>
  <si>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</si>
  <si>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</si>
  <si>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</si>
  <si>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</si>
  <si>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</si>
  <si>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</si>
  <si>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</si>
  <si>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</si>
  <si>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</si>
  <si>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</si>
  <si>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</si>
  <si>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</si>
  <si>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</si>
  <si>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</si>
  <si>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</si>
  <si>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</si>
  <si>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</si>
  <si>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</si>
  <si>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</si>
  <si>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</si>
  <si>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</si>
  <si>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</si>
  <si>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</si>
  <si>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</si>
  <si>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</si>
  <si>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</si>
  <si>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</si>
  <si>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</si>
  <si>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</si>
  <si>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</si>
  <si>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</si>
  <si>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</si>
  <si>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</si>
  <si>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</si>
  <si>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</si>
  <si>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</si>
  <si>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</si>
  <si>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</si>
  <si>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</si>
  <si>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</si>
  <si>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</si>
  <si>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</si>
  <si>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</si>
  <si>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</si>
  <si>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</si>
  <si>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</si>
  <si>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</si>
  <si>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</si>
  <si>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</si>
  <si>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</si>
  <si>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</si>
  <si>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</si>
  <si>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</si>
  <si>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</si>
  <si>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</si>
  <si>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</si>
  <si>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</si>
  <si>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</si>
  <si>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</si>
  <si>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</si>
  <si>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</si>
  <si>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</si>
  <si>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</si>
  <si>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</si>
  <si>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</si>
  <si>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</si>
  <si>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</si>
  <si>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</si>
  <si>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</si>
  <si>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</si>
  <si>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</si>
  <si>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</si>
  <si>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</si>
  <si>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</si>
  <si>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</si>
  <si>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</si>
  <si>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</si>
  <si>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</si>
  <si>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</si>
  <si>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</si>
  <si>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</si>
  <si>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</si>
  <si>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</si>
  <si>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</si>
  <si>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</si>
  <si>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</si>
  <si>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</si>
  <si>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</si>
  <si>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</si>
  <si>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</si>
  <si>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</si>
  <si>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</si>
  <si>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</si>
  <si>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</si>
  <si>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</si>
  <si>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</si>
  <si>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</si>
  <si>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</si>
  <si>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</si>
  <si>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</si>
  <si>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</si>
  <si>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</si>
  <si>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</si>
  <si>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</si>
  <si>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</si>
  <si>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</si>
  <si>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</si>
  <si>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</si>
  <si>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</si>
  <si>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</si>
  <si>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</si>
  <si>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</si>
  <si>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</si>
  <si>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</si>
  <si>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</si>
  <si>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</si>
  <si>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</si>
  <si>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</si>
  <si>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</si>
  <si>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</si>
  <si>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</si>
  <si>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</si>
  <si>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</si>
  <si>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</si>
  <si>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</si>
  <si>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</si>
  <si>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</si>
  <si>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</si>
  <si>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</si>
  <si>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</si>
  <si>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</si>
  <si>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</si>
  <si>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</si>
  <si>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</si>
  <si>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</si>
  <si>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</si>
  <si>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</si>
  <si>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</si>
  <si>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</si>
  <si>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</si>
  <si>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</si>
  <si>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</si>
  <si>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</si>
  <si>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</si>
  <si>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</si>
  <si>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</si>
  <si>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</si>
  <si>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</si>
  <si>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</si>
  <si>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</si>
  <si>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</si>
  <si>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</si>
  <si>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</si>
  <si>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</si>
  <si>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</si>
  <si>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</si>
  <si>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</si>
  <si>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</si>
  <si>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</si>
  <si>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</si>
  <si>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</si>
  <si>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</si>
  <si>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</si>
  <si>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</si>
  <si>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</si>
  <si>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</si>
  <si>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</si>
  <si>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</si>
  <si>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</si>
  <si>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</si>
  <si>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</si>
  <si>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</si>
  <si>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</si>
  <si>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</si>
  <si>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</si>
  <si>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</si>
  <si>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</si>
  <si>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</si>
  <si>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</si>
  <si>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</si>
  <si>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</si>
  <si>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</si>
  <si>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</si>
  <si>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</si>
  <si>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</si>
  <si>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</si>
  <si>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</si>
  <si>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</si>
  <si>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</si>
  <si>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</si>
  <si>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</si>
  <si>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</si>
  <si>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</si>
  <si>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</si>
  <si>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</si>
  <si>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</si>
  <si>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</si>
  <si>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</si>
  <si>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</si>
  <si>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</si>
  <si>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</si>
  <si>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</si>
  <si>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</si>
  <si>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</si>
  <si>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</si>
  <si>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</si>
  <si>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</si>
  <si>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</si>
  <si>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</si>
  <si>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</si>
  <si>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</si>
  <si>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</si>
  <si>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</si>
  <si>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</si>
  <si>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</si>
  <si>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</si>
  <si>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</si>
  <si>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</si>
  <si>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</si>
  <si>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</si>
  <si>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</si>
  <si>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</si>
  <si>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</si>
  <si>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</si>
  <si>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</si>
  <si>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</si>
  <si>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</si>
  <si>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</si>
  <si>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</si>
  <si>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</si>
  <si>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</si>
  <si>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</si>
  <si>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</si>
  <si>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</si>
  <si>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</si>
  <si>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</si>
  <si>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</si>
  <si>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</si>
  <si>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</si>
  <si>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</si>
  <si>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</si>
  <si>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</si>
  <si>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</si>
  <si>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</si>
  <si>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</si>
  <si>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</si>
  <si>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</si>
  <si>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</si>
  <si>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</si>
  <si>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</si>
  <si>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</si>
  <si>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</si>
  <si>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</si>
  <si>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</si>
  <si>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</si>
  <si>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</si>
  <si>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</si>
  <si>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</si>
  <si>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</si>
  <si>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</si>
  <si>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</si>
  <si>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</si>
  <si>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</si>
  <si>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</si>
  <si>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</si>
  <si>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</si>
  <si>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</si>
  <si>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</si>
  <si>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</si>
  <si>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</si>
  <si>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</si>
  <si>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</si>
  <si>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</si>
  <si>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</si>
  <si>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</si>
  <si>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</si>
  <si>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</si>
  <si>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</si>
  <si>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</si>
  <si>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</si>
  <si>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</si>
  <si>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</si>
  <si>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</si>
  <si>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</si>
  <si>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</si>
  <si>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</si>
  <si>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</si>
  <si>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</si>
  <si>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</si>
  <si>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</si>
  <si>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</si>
  <si>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</si>
  <si>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</si>
  <si>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</si>
  <si>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</si>
  <si>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</si>
  <si>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</si>
  <si>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</si>
  <si>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</si>
  <si>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</si>
  <si>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</si>
  <si>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</si>
  <si>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(blank)</t>
  </si>
  <si>
    <t xml:space="preserve"> 100</t>
  </si>
  <si>
    <t xml:space="preserve"> 20</t>
  </si>
  <si>
    <t xml:space="preserve"> 30</t>
  </si>
  <si>
    <t xml:space="preserve"> 40</t>
  </si>
  <si>
    <t xml:space="preserve"> 50</t>
  </si>
  <si>
    <t xml:space="preserve"> 75</t>
  </si>
  <si>
    <t>100</t>
  </si>
  <si>
    <t>20</t>
  </si>
  <si>
    <t>30</t>
  </si>
  <si>
    <t>40</t>
  </si>
  <si>
    <t>50</t>
  </si>
  <si>
    <t>75</t>
  </si>
  <si>
    <t>primary skill  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</si>
</sst>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Aptos Narrow"/>
      <family val="2"/>
      <scheme val="minor"/>
    </font>
    <font>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9"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2" borderId="0" xfId="0" applyFill="1"/>
    <xf numFmtId="0" fontId="2" fillId="0" borderId="0" xfId="0" applyFont="1"/>
    <xf numFmtId="1" fontId="2" fillId="0" borderId="0" xfId="0" applyNumberFormat="1" applyFont="1"/>
  </cellXfs>
  <cellStyles count="2">
    <cellStyle name="Normal" xfId="0" builtinId="0"/>
    <cellStyle name="Per cent" xfId="1" builtinId="5"/>
  </cellStyles>
  <dxfs count="42">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13" formatCode="0%"/>
    </dxf>
    <dxf>
      <numFmt numFmtId="1" formatCode="0"/>
    </dxf>
    <dxf>
      <numFmt numFmtId="14" formatCode="0.00%"/>
    </dxf>
    <dxf>
      <numFmt numFmtId="13" formatCode="0%"/>
    </dxf>
    <dxf>
      <numFmt numFmtId="164" formatCode="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13" formatCode="0%"/>
    </dxf>
    <dxf>
      <numFmt numFmtId="1" formatCode="0"/>
    </dxf>
    <dxf>
      <numFmt numFmtId="14" formatCode="0.00%"/>
    </dxf>
    <dxf>
      <numFmt numFmtId="13" formatCode="0%"/>
    </dxf>
    <dxf>
      <numFmt numFmtId="164" formatCode="0.0"/>
    </dxf>
    <dxf>
      <font>
        <color rgb="FF9C0006"/>
      </font>
      <fill>
        <patternFill>
          <bgColor rgb="FFFFC7CE"/>
        </patternFill>
      </fill>
    </dxf>
    <dxf>
      <numFmt numFmtId="13" formatCode="0%"/>
    </dxf>
    <dxf>
      <numFmt numFmtId="14" formatCode="0.00%"/>
    </dxf>
    <dxf>
      <numFmt numFmtId="1" formatCode="0"/>
    </dxf>
    <dxf>
      <numFmt numFmtId="164" formatCode="0.0"/>
    </dxf>
    <dxf>
      <numFmt numFmtId="1" formatCode="0"/>
    </dxf>
    <dxf>
      <numFmt numFmtId="1" formatCode="0"/>
    </dxf>
    <dxf>
      <numFmt numFmtId="2" formatCode="0.00"/>
    </dxf>
    <dxf>
      <numFmt numFmtId="1" formatCode="0"/>
    </dxf>
    <dxf>
      <numFmt numFmtId="1" formatCode="0"/>
    </dxf>
    <dxf>
      <numFmt numFmtId="2" formatCode="0.00"/>
    </dxf>
    <dxf>
      <numFmt numFmtId="13" formatCode="0%"/>
    </dxf>
    <dxf>
      <numFmt numFmtId="14" formatCode="0.00%"/>
    </dxf>
    <dxf>
      <numFmt numFmtId="1" formatCode="0"/>
    </dxf>
    <dxf>
      <numFmt numFmtId="1" formatCode="0"/>
    </dxf>
    <dxf>
      <font>
        <b/>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freelance-project.xlsx]pivots!PivotTable2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Years of Experience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954961655851645E-2"/>
          <c:y val="0.20733990147783252"/>
          <c:w val="0.73007848367488271"/>
          <c:h val="0.70340754819440676"/>
        </c:manualLayout>
      </c:layout>
      <c:barChart>
        <c:barDir val="col"/>
        <c:grouping val="clustered"/>
        <c:varyColors val="0"/>
        <c:ser>
          <c:idx val="0"/>
          <c:order val="0"/>
          <c:tx>
            <c:strRef>
              <c:f>pivots!$E$3</c:f>
              <c:strCache>
                <c:ptCount val="1"/>
                <c:pt idx="0">
                  <c:v>Total</c:v>
                </c:pt>
              </c:strCache>
            </c:strRef>
          </c:tx>
          <c:spPr>
            <a:solidFill>
              <a:schemeClr val="accent6"/>
            </a:solidFill>
            <a:ln>
              <a:noFill/>
            </a:ln>
            <a:effectLst/>
          </c:spPr>
          <c:invertIfNegative val="0"/>
          <c:cat>
            <c:strRef>
              <c:f>pivots!$D$4:$D$9</c:f>
              <c:strCache>
                <c:ptCount val="5"/>
                <c:pt idx="0">
                  <c:v>0-5</c:v>
                </c:pt>
                <c:pt idx="1">
                  <c:v>6-10</c:v>
                </c:pt>
                <c:pt idx="2">
                  <c:v>11-15</c:v>
                </c:pt>
                <c:pt idx="3">
                  <c:v>16-20</c:v>
                </c:pt>
                <c:pt idx="4">
                  <c:v>20+</c:v>
                </c:pt>
              </c:strCache>
            </c:strRef>
          </c:cat>
          <c:val>
            <c:numRef>
              <c:f>pivots!$E$4:$E$9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0-EB18-024A-A9F4-833413E458C7}"/>
            </c:ext>
          </c:extLst>
        </c:ser>
        <c:dLbls>
          <c:showLegendKey val="0"/>
          <c:showVal val="0"/>
          <c:showCatName val="0"/>
          <c:showSerName val="0"/>
          <c:showPercent val="0"/>
          <c:showBubbleSize val="0"/>
        </c:dLbls>
        <c:gapWidth val="219"/>
        <c:overlap val="-27"/>
        <c:axId val="577116784"/>
        <c:axId val="577118752"/>
      </c:barChart>
      <c:catAx>
        <c:axId val="57711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7118752"/>
        <c:crosses val="autoZero"/>
        <c:auto val="1"/>
        <c:lblAlgn val="ctr"/>
        <c:lblOffset val="100"/>
        <c:noMultiLvlLbl val="0"/>
      </c:catAx>
      <c:valAx>
        <c:axId val="577118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711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freelance-project.xlsx]pivots!PivotTable3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Hourly</a:t>
            </a:r>
            <a:r>
              <a:rPr lang="en-US" b="1" baseline="0"/>
              <a:t> Rate</a:t>
            </a:r>
            <a:endParaRPr lang="en-US" b="1"/>
          </a:p>
        </c:rich>
      </c:tx>
      <c:layout>
        <c:manualLayout>
          <c:xMode val="edge"/>
          <c:yMode val="edge"/>
          <c:x val="0.42757456810436012"/>
          <c:y val="3.96039603960396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3274278215223"/>
          <c:y val="0.20267759562841531"/>
          <c:w val="0.72691170439632546"/>
          <c:h val="0.55511854051030507"/>
        </c:manualLayout>
      </c:layout>
      <c:barChart>
        <c:barDir val="col"/>
        <c:grouping val="clustered"/>
        <c:varyColors val="0"/>
        <c:ser>
          <c:idx val="0"/>
          <c:order val="0"/>
          <c:tx>
            <c:strRef>
              <c:f>pivots!$H$3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pivots!$G$4:$G$22</c:f>
              <c:strCache>
                <c:ptCount val="18"/>
                <c:pt idx="0">
                  <c:v>100</c:v>
                </c:pt>
                <c:pt idx="1">
                  <c:v> 100</c:v>
                </c:pt>
                <c:pt idx="2">
                  <c:v>30</c:v>
                </c:pt>
                <c:pt idx="3">
                  <c:v>40</c:v>
                </c:pt>
                <c:pt idx="4">
                  <c:v>50</c:v>
                </c:pt>
                <c:pt idx="5">
                  <c:v>75</c:v>
                </c:pt>
                <c:pt idx="6">
                  <c:v> 20</c:v>
                </c:pt>
                <c:pt idx="7">
                  <c:v> 30</c:v>
                </c:pt>
                <c:pt idx="8">
                  <c:v> 40</c:v>
                </c:pt>
                <c:pt idx="9">
                  <c:v> 50</c:v>
                </c:pt>
                <c:pt idx="10">
                  <c:v> 75</c:v>
                </c:pt>
                <c:pt idx="11">
                  <c:v>100</c:v>
                </c:pt>
                <c:pt idx="12">
                  <c:v>20</c:v>
                </c:pt>
                <c:pt idx="13">
                  <c:v>30</c:v>
                </c:pt>
                <c:pt idx="14">
                  <c:v>40</c:v>
                </c:pt>
                <c:pt idx="15">
                  <c:v>50</c:v>
                </c:pt>
                <c:pt idx="16">
                  <c:v>75</c:v>
                </c:pt>
                <c:pt idx="17">
                  <c:v>20</c:v>
                </c:pt>
              </c:strCache>
            </c:strRef>
          </c:cat>
          <c:val>
            <c:numRef>
              <c:f>pivots!$H$4:$H$22</c:f>
              <c:numCache>
                <c:formatCode>0%</c:formatCode>
                <c:ptCount val="18"/>
                <c:pt idx="0">
                  <c:v>8.8300220750551883E-2</c:v>
                </c:pt>
                <c:pt idx="1">
                  <c:v>4.4150110375275942E-2</c:v>
                </c:pt>
                <c:pt idx="2">
                  <c:v>7.7262693156732898E-2</c:v>
                </c:pt>
                <c:pt idx="3">
                  <c:v>0.10375275938189846</c:v>
                </c:pt>
                <c:pt idx="4">
                  <c:v>8.6092715231788075E-2</c:v>
                </c:pt>
                <c:pt idx="5">
                  <c:v>8.4988962472406185E-2</c:v>
                </c:pt>
                <c:pt idx="6">
                  <c:v>4.7461368653421633E-2</c:v>
                </c:pt>
                <c:pt idx="7">
                  <c:v>4.4150110375275942E-2</c:v>
                </c:pt>
                <c:pt idx="8">
                  <c:v>4.3046357615894038E-2</c:v>
                </c:pt>
                <c:pt idx="9">
                  <c:v>4.3046357615894038E-2</c:v>
                </c:pt>
                <c:pt idx="10">
                  <c:v>2.8697571743929361E-2</c:v>
                </c:pt>
                <c:pt idx="11">
                  <c:v>4.0838852097130243E-2</c:v>
                </c:pt>
                <c:pt idx="12">
                  <c:v>3.6423841059602648E-2</c:v>
                </c:pt>
                <c:pt idx="13">
                  <c:v>4.4150110375275942E-2</c:v>
                </c:pt>
                <c:pt idx="14">
                  <c:v>4.194260485651214E-2</c:v>
                </c:pt>
                <c:pt idx="15">
                  <c:v>3.8631346578366449E-2</c:v>
                </c:pt>
                <c:pt idx="16">
                  <c:v>3.4216335540838853E-2</c:v>
                </c:pt>
                <c:pt idx="17">
                  <c:v>7.2847682119205295E-2</c:v>
                </c:pt>
              </c:numCache>
            </c:numRef>
          </c:val>
          <c:extLst>
            <c:ext xmlns:c16="http://schemas.microsoft.com/office/drawing/2014/chart" uri="{C3380CC4-5D6E-409C-BE32-E72D297353CC}">
              <c16:uniqueId val="{00000000-0F34-7344-B9A1-4EB060C03C9A}"/>
            </c:ext>
          </c:extLst>
        </c:ser>
        <c:dLbls>
          <c:dLblPos val="outEnd"/>
          <c:showLegendKey val="0"/>
          <c:showVal val="1"/>
          <c:showCatName val="0"/>
          <c:showSerName val="0"/>
          <c:showPercent val="0"/>
          <c:showBubbleSize val="0"/>
        </c:dLbls>
        <c:gapWidth val="219"/>
        <c:overlap val="-27"/>
        <c:axId val="1134880896"/>
        <c:axId val="1134883472"/>
      </c:barChart>
      <c:catAx>
        <c:axId val="113488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34883472"/>
        <c:crosses val="autoZero"/>
        <c:auto val="1"/>
        <c:lblAlgn val="ctr"/>
        <c:lblOffset val="100"/>
        <c:noMultiLvlLbl val="0"/>
      </c:catAx>
      <c:valAx>
        <c:axId val="1134883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3488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freelance-project.xlsx]pivots!PivotTable4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  by</a:t>
            </a:r>
            <a:r>
              <a:rPr lang="en-US" b="1" baseline="0"/>
              <a:t> Language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pivots!$K$4</c:f>
              <c:strCache>
                <c:ptCount val="1"/>
                <c:pt idx="0">
                  <c:v>Total</c:v>
                </c:pt>
              </c:strCache>
            </c:strRef>
          </c:tx>
          <c:spPr>
            <a:solidFill>
              <a:schemeClr val="accent6"/>
            </a:solidFill>
            <a:ln>
              <a:noFill/>
            </a:ln>
            <a:effectLst/>
          </c:spPr>
          <c:invertIfNegative val="0"/>
          <c:cat>
            <c:strRef>
              <c:f>pivots!$J$5:$J$21</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pivots!$K$5:$K$21</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51B3-6D4D-AABB-B6155CF8BB28}"/>
            </c:ext>
          </c:extLst>
        </c:ser>
        <c:dLbls>
          <c:showLegendKey val="0"/>
          <c:showVal val="0"/>
          <c:showCatName val="0"/>
          <c:showSerName val="0"/>
          <c:showPercent val="0"/>
          <c:showBubbleSize val="0"/>
        </c:dLbls>
        <c:gapWidth val="182"/>
        <c:axId val="1134990240"/>
        <c:axId val="1134991968"/>
      </c:barChart>
      <c:catAx>
        <c:axId val="113499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34991968"/>
        <c:crosses val="autoZero"/>
        <c:auto val="1"/>
        <c:lblAlgn val="ctr"/>
        <c:lblOffset val="100"/>
        <c:noMultiLvlLbl val="0"/>
      </c:catAx>
      <c:valAx>
        <c:axId val="11349919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3499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freelance-project.xlsx]pivots!PivotTable5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pivots!$M$5:$M$26</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pivots!$N$5:$N$26</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49FC-464B-9D94-0D7A22AB119B}"/>
            </c:ext>
          </c:extLst>
        </c:ser>
        <c:dLbls>
          <c:dLblPos val="outEnd"/>
          <c:showLegendKey val="0"/>
          <c:showVal val="1"/>
          <c:showCatName val="0"/>
          <c:showSerName val="0"/>
          <c:showPercent val="0"/>
          <c:showBubbleSize val="0"/>
        </c:dLbls>
        <c:gapWidth val="182"/>
        <c:axId val="577352128"/>
        <c:axId val="577353840"/>
      </c:barChart>
      <c:catAx>
        <c:axId val="57735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7353840"/>
        <c:crosses val="autoZero"/>
        <c:auto val="1"/>
        <c:lblAlgn val="ctr"/>
        <c:lblOffset val="100"/>
        <c:noMultiLvlLbl val="0"/>
      </c:catAx>
      <c:valAx>
        <c:axId val="577353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735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freelance-project.xlsx]pivots!PivotTable1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a:t>
            </a:r>
            <a:r>
              <a:rPr lang="en-US" b="1"/>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pivots!$A$4:$A$15</c:f>
              <c:strCache>
                <c:ptCount val="11"/>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pt idx="10">
                  <c:v>(blank)</c:v>
                </c:pt>
              </c:strCache>
            </c:strRef>
          </c:cat>
          <c:val>
            <c:numRef>
              <c:f>pivots!$B$4:$B$15</c:f>
              <c:numCache>
                <c:formatCode>0.0</c:formatCode>
                <c:ptCount val="11"/>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4E87-0048-887C-2D289DCB3E88}"/>
            </c:ext>
          </c:extLst>
        </c:ser>
        <c:dLbls>
          <c:dLblPos val="outEnd"/>
          <c:showLegendKey val="0"/>
          <c:showVal val="1"/>
          <c:showCatName val="0"/>
          <c:showSerName val="0"/>
          <c:showPercent val="0"/>
          <c:showBubbleSize val="0"/>
        </c:dLbls>
        <c:gapWidth val="219"/>
        <c:overlap val="-27"/>
        <c:axId val="578180064"/>
        <c:axId val="578181776"/>
      </c:barChart>
      <c:catAx>
        <c:axId val="57818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8181776"/>
        <c:crosses val="autoZero"/>
        <c:auto val="1"/>
        <c:lblAlgn val="ctr"/>
        <c:lblOffset val="100"/>
        <c:noMultiLvlLbl val="0"/>
      </c:catAx>
      <c:valAx>
        <c:axId val="5781817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818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12</xdr:row>
      <xdr:rowOff>127000</xdr:rowOff>
    </xdr:from>
    <xdr:to>
      <xdr:col>5</xdr:col>
      <xdr:colOff>584200</xdr:colOff>
      <xdr:row>25</xdr:row>
      <xdr:rowOff>63500</xdr:rowOff>
    </xdr:to>
    <xdr:graphicFrame macro="">
      <xdr:nvGraphicFramePr>
        <xdr:cNvPr id="3" name="Chart 2">
          <a:extLst>
            <a:ext uri="{FF2B5EF4-FFF2-40B4-BE49-F238E27FC236}">
              <a16:creationId xmlns:a16="http://schemas.microsoft.com/office/drawing/2014/main" id="{06744820-50D0-2B46-9009-779734FC8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622300</xdr:colOff>
      <xdr:row>12</xdr:row>
      <xdr:rowOff>139700</xdr:rowOff>
    </xdr:from>
    <xdr:to>
      <xdr:col>10</xdr:col>
      <xdr:colOff>749300</xdr:colOff>
      <xdr:row>25</xdr:row>
      <xdr:rowOff>63500</xdr:rowOff>
    </xdr:to>
    <xdr:graphicFrame macro="">
      <xdr:nvGraphicFramePr>
        <xdr:cNvPr id="4" name="Chart 3">
          <a:extLst>
            <a:ext uri="{FF2B5EF4-FFF2-40B4-BE49-F238E27FC236}">
              <a16:creationId xmlns:a16="http://schemas.microsoft.com/office/drawing/2014/main" id="{47D31598-47C3-604F-97E7-4CBFF4883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317500</xdr:colOff>
      <xdr:row>3</xdr:row>
      <xdr:rowOff>101600</xdr:rowOff>
    </xdr:from>
    <xdr:to>
      <xdr:col>17</xdr:col>
      <xdr:colOff>660400</xdr:colOff>
      <xdr:row>25</xdr:row>
      <xdr:rowOff>76200</xdr:rowOff>
    </xdr:to>
    <xdr:graphicFrame macro="">
      <xdr:nvGraphicFramePr>
        <xdr:cNvPr id="5" name="Chart 4">
          <a:extLst>
            <a:ext uri="{FF2B5EF4-FFF2-40B4-BE49-F238E27FC236}">
              <a16:creationId xmlns:a16="http://schemas.microsoft.com/office/drawing/2014/main" id="{A2FC3C9C-4712-8F4D-B3A4-9821E5B4F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774700</xdr:colOff>
      <xdr:row>3</xdr:row>
      <xdr:rowOff>88900</xdr:rowOff>
    </xdr:from>
    <xdr:to>
      <xdr:col>14</xdr:col>
      <xdr:colOff>292100</xdr:colOff>
      <xdr:row>25</xdr:row>
      <xdr:rowOff>76200</xdr:rowOff>
    </xdr:to>
    <xdr:graphicFrame macro="">
      <xdr:nvGraphicFramePr>
        <xdr:cNvPr id="6" name="Chart 5">
          <a:extLst>
            <a:ext uri="{FF2B5EF4-FFF2-40B4-BE49-F238E27FC236}">
              <a16:creationId xmlns:a16="http://schemas.microsoft.com/office/drawing/2014/main" id="{762627EE-9BA9-6249-ACD3-DB28F08B5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647700</xdr:colOff>
      <xdr:row>3</xdr:row>
      <xdr:rowOff>76200</xdr:rowOff>
    </xdr:from>
    <xdr:to>
      <xdr:col>10</xdr:col>
      <xdr:colOff>762000</xdr:colOff>
      <xdr:row>12</xdr:row>
      <xdr:rowOff>88900</xdr:rowOff>
    </xdr:to>
    <xdr:graphicFrame macro="">
      <xdr:nvGraphicFramePr>
        <xdr:cNvPr id="7" name="Chart 6">
          <a:extLst>
            <a:ext uri="{FF2B5EF4-FFF2-40B4-BE49-F238E27FC236}">
              <a16:creationId xmlns:a16="http://schemas.microsoft.com/office/drawing/2014/main" id="{D26CF367-150F-E64C-938D-E6CB48CD0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50800</xdr:colOff>
      <xdr:row>3</xdr:row>
      <xdr:rowOff>114300</xdr:rowOff>
    </xdr:from>
    <xdr:to>
      <xdr:col>2</xdr:col>
      <xdr:colOff>381000</xdr:colOff>
      <xdr:row>12</xdr:row>
      <xdr:rowOff>88900</xdr:rowOff>
    </xdr:to>
    <mc:AlternateContent xmlns:mc="http://schemas.openxmlformats.org/markup-compatibility/2006" xmlns:a14="http://schemas.microsoft.com/office/drawing/2010/main">
      <mc:Choice Requires="a14">
        <xdr:graphicFrame macro="">
          <xdr:nvGraphicFramePr>
            <xdr:cNvPr id="8" name="Prmary_skill">
              <a:extLst>
                <a:ext uri="{FF2B5EF4-FFF2-40B4-BE49-F238E27FC236}">
                  <a16:creationId xmlns:a16="http://schemas.microsoft.com/office/drawing/2014/main" id="{7E3356BD-1FD7-69FC-EB9B-3ECD40C80FF6}"/>
                </a:ext>
              </a:extLst>
            </xdr:cNvPr>
            <xdr:cNvGraphicFramePr/>
          </xdr:nvGraphicFramePr>
          <xdr:xfrm>
            <a:off x="0" y="0"/>
            <a:ext cx="0" cy="0"/>
          </xdr:xfrm>
          <a:graphic>
            <a:graphicData uri="http://schemas.microsoft.com/office/drawing/2010/slicer">
              <sle:slicer xmlns:sle="http://schemas.microsoft.com/office/drawing/2010/slicer" name="Prmary_skill"/>
            </a:graphicData>
          </a:graphic>
        </xdr:graphicFrame>
      </mc:Choice>
      <mc:Fallback xmlns="">
        <xdr:sp macro="" textlink="">
          <xdr:nvSpPr>
            <xdr:cNvPr id="0" name=""/>
            <xdr:cNvSpPr>
              <a:spLocks noTextEdit="1"/>
            </xdr:cNvSpPr>
          </xdr:nvSpPr>
          <xdr:spPr>
            <a:xfrm>
              <a:off x="50800" y="723900"/>
              <a:ext cx="1981200" cy="1803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457200</xdr:colOff>
      <xdr:row>3</xdr:row>
      <xdr:rowOff>152400</xdr:rowOff>
    </xdr:from>
    <xdr:to>
      <xdr:col>4</xdr:col>
      <xdr:colOff>635000</xdr:colOff>
      <xdr:row>12</xdr:row>
      <xdr:rowOff>88900</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77B953D2-5E0A-3822-FA7D-82DC9AC5145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108200" y="762000"/>
              <a:ext cx="1828800" cy="1765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25400</xdr:rowOff>
    </xdr:from>
    <xdr:to>
      <xdr:col>17</xdr:col>
      <xdr:colOff>660400</xdr:colOff>
      <xdr:row>3</xdr:row>
      <xdr:rowOff>50800</xdr:rowOff>
    </xdr:to>
    <xdr:sp macro="" textlink="">
      <xdr:nvSpPr>
        <xdr:cNvPr id="2" name="Rectangle 1">
          <a:extLst>
            <a:ext uri="{FF2B5EF4-FFF2-40B4-BE49-F238E27FC236}">
              <a16:creationId xmlns:a16="http://schemas.microsoft.com/office/drawing/2014/main" id="{146C84A0-29BC-AC3B-4AE5-64436B295AE6}"/>
            </a:ext>
          </a:extLst>
        </xdr:cNvPr>
        <xdr:cNvSpPr/>
      </xdr:nvSpPr>
      <xdr:spPr>
        <a:xfrm>
          <a:off x="38100" y="25400"/>
          <a:ext cx="14655800" cy="635000"/>
        </a:xfrm>
        <a:prstGeom prst="rect">
          <a:avLst/>
        </a:prstGeom>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200" b="1">
              <a:latin typeface="Times New Roman" panose="02020603050405020304" pitchFamily="18" charset="0"/>
              <a:cs typeface="Times New Roman" panose="02020603050405020304" pitchFamily="18" charset="0"/>
            </a:rPr>
            <a:t>Freelance</a:t>
          </a:r>
          <a:r>
            <a:rPr lang="en-GB" sz="3200" b="1" baseline="0">
              <a:latin typeface="Times New Roman" panose="02020603050405020304" pitchFamily="18" charset="0"/>
              <a:cs typeface="Times New Roman" panose="02020603050405020304" pitchFamily="18" charset="0"/>
            </a:rPr>
            <a:t> Project Dashboard</a:t>
          </a:r>
          <a:endParaRPr lang="en-GB" sz="32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11.820034027776" createdVersion="8" refreshedVersion="8" minRefreshableVersion="3" recordCount="1001" xr:uid="{95598816-1B8F-DA48-BB9D-FBC0ED1F9038}">
  <cacheSource type="worksheet">
    <worksheetSource ref="A1:R1048576" sheet="Worksheet"/>
  </cacheSource>
  <cacheFields count="18">
    <cacheField name="Freelancer_ID" numFmtId="0">
      <sharedItems containsBlank="1"/>
    </cacheField>
    <cacheField name="name_raw" numFmtId="0">
      <sharedItems containsBlank="1"/>
    </cacheField>
    <cacheField name="Full name" numFmtId="0">
      <sharedItems containsBlank="1"/>
    </cacheField>
    <cacheField name="gender_raw" numFmtId="0">
      <sharedItems containsBlank="1"/>
    </cacheField>
    <cacheField name="Gender" numFmtId="0">
      <sharedItems containsBlank="1"/>
    </cacheField>
    <cacheField name="Age" numFmtId="0">
      <sharedItems containsString="0" containsBlank="1" containsNumber="1" containsInteger="1" minValue="20" maxValue="60"/>
    </cacheField>
    <cacheField name="Country" numFmtId="0">
      <sharedItems containsBlank="1" count="22">
        <s v="Italy"/>
        <s v="Australia"/>
        <s v="Germany"/>
        <s v="Netherlands"/>
        <s v="Indonesia"/>
        <s v="United States"/>
        <s v="Turkey"/>
        <s v="United Kingdom"/>
        <s v="Argentina"/>
        <s v="Japan"/>
        <s v="India"/>
        <s v="Brazil"/>
        <s v="South Korea"/>
        <s v="Russia"/>
        <s v="Canada"/>
        <s v="France"/>
        <s v="Egypt"/>
        <s v="South Africa"/>
        <s v="China"/>
        <s v="Mexico"/>
        <s v="Spain"/>
        <m/>
      </sharedItems>
    </cacheField>
    <cacheField name="Language" numFmtId="0">
      <sharedItems containsBlank="1" count="17">
        <s v="Italian"/>
        <s v="English"/>
        <s v="German"/>
        <s v="Dutch"/>
        <s v="Indonesian"/>
        <s v="Turkish"/>
        <s v="Spanish"/>
        <s v="Japanese"/>
        <s v="Hindi"/>
        <s v="Portuguese"/>
        <s v="Korean"/>
        <s v="Russian"/>
        <s v="French"/>
        <s v="Arabic"/>
        <s v="Afrikaans"/>
        <s v="Mandarin"/>
        <m/>
      </sharedItems>
    </cacheField>
    <cacheField name="Prmary_skill" numFmtId="0">
      <sharedItems containsBlank="1" count="11">
        <s v="Blockchain Development"/>
        <s v="Mobile Apps"/>
        <s v="Graphic Design"/>
        <s v="Web Development"/>
        <s v="AI"/>
        <s v="Data Analysis"/>
        <s v="UI/UX Design"/>
        <s v="Cybersecurity"/>
        <s v="DevOps"/>
        <s v="Machine Learning"/>
        <m/>
      </sharedItems>
    </cacheField>
    <cacheField name="years_of_experience" numFmtId="0">
      <sharedItems containsString="0" containsBlank="1" containsNumber="1" containsInteger="1" minValue="0" maxValue="41"/>
    </cacheField>
    <cacheField name="Experience _buckets" numFmtId="0">
      <sharedItems containsBlank="1" count="6">
        <s v="11-15"/>
        <s v="20+"/>
        <s v="0-5"/>
        <s v="6-10"/>
        <s v="16-20"/>
        <m/>
      </sharedItems>
    </cacheField>
    <cacheField name="hourly_rate (USD)_raw" numFmtId="0">
      <sharedItems containsBlank="1" containsMixedTypes="1" containsNumber="1" containsInteger="1" minValue="20" maxValue="100"/>
    </cacheField>
    <cacheField name="Hourly_rate" numFmtId="0">
      <sharedItems containsBlank="1" containsMixedTypes="1" containsNumber="1" containsInteger="1" minValue="20" maxValue="100" count="19">
        <n v="100"/>
        <s v="100"/>
        <n v="50"/>
        <s v=" 40"/>
        <n v="30"/>
        <s v=" 30"/>
        <s v="75"/>
        <s v="40"/>
        <m/>
        <s v=" 50"/>
        <n v="40"/>
        <n v="75"/>
        <s v="50"/>
        <s v="30"/>
        <s v=" 20"/>
        <n v="20"/>
        <s v=" 75"/>
        <s v=" 100"/>
        <s v="20"/>
      </sharedItems>
    </cacheField>
    <cacheField name="Rating" numFmtId="0">
      <sharedItems containsString="0" containsBlank="1" containsNumber="1" minValue="0" maxValue="5"/>
    </cacheField>
    <cacheField name="is_active" numFmtId="0">
      <sharedItems containsBlank="1" containsMixedTypes="1" containsNumber="1" containsInteger="1" minValue="0" maxValue="1"/>
    </cacheField>
    <cacheField name="Status" numFmtId="0">
      <sharedItems containsBlank="1" count="3">
        <s v="Not active"/>
        <m/>
        <s v="Active"/>
      </sharedItems>
    </cacheField>
    <cacheField name="client_satisfaction_raw" numFmtId="0">
      <sharedItems containsString="0" containsBlank="1" containsNumber="1" minValue="0.6" maxValue="100"/>
    </cacheField>
    <cacheField name="Customer_satisfaction" numFmtId="0">
      <sharedItems containsString="0" containsBlank="1" containsNumber="1" minValue="0.6" maxValue="1"/>
    </cacheField>
  </cacheFields>
  <extLst>
    <ext xmlns:x14="http://schemas.microsoft.com/office/spreadsheetml/2009/9/main" uri="{725AE2AE-9491-48be-B2B4-4EB974FC3084}">
      <x14:pivotCacheDefinition pivotCacheId="997791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FL250001"/>
    <s v="Ms. Nicole Kidd"/>
    <s v=" Nicole Kidd"/>
    <s v="f"/>
    <s v="Female"/>
    <n v="52"/>
    <x v="0"/>
    <x v="0"/>
    <x v="0"/>
    <n v="11"/>
    <x v="0"/>
    <n v="100"/>
    <x v="0"/>
    <m/>
    <n v="0"/>
    <x v="0"/>
    <m/>
    <m/>
  </r>
  <r>
    <s v="FL250002"/>
    <s v="Vanessa Garcia"/>
    <s v="Vanessa Garcia"/>
    <s v="FEMALE"/>
    <s v="Female"/>
    <n v="52"/>
    <x v="1"/>
    <x v="1"/>
    <x v="1"/>
    <n v="34"/>
    <x v="1"/>
    <s v="USD 100"/>
    <x v="1"/>
    <n v="3.3"/>
    <n v="1"/>
    <x v="1"/>
    <n v="0.84"/>
    <n v="0.84"/>
  </r>
  <r>
    <s v="FL250003"/>
    <s v="Juan Nelson"/>
    <s v="Juan Nelson"/>
    <s v="male"/>
    <s v="Male"/>
    <n v="53"/>
    <x v="2"/>
    <x v="2"/>
    <x v="2"/>
    <n v="31"/>
    <x v="1"/>
    <n v="50"/>
    <x v="2"/>
    <n v="0"/>
    <s v="N"/>
    <x v="0"/>
    <n v="0.71"/>
    <n v="0.71"/>
  </r>
  <r>
    <s v="FL250004"/>
    <s v="Amanda Spencer"/>
    <s v="Amanda Spencer"/>
    <s v="f"/>
    <s v="Female"/>
    <n v="38"/>
    <x v="1"/>
    <x v="1"/>
    <x v="3"/>
    <n v="4"/>
    <x v="2"/>
    <s v="$40"/>
    <x v="3"/>
    <n v="1.5"/>
    <s v="N"/>
    <x v="1"/>
    <n v="0.9"/>
    <n v="0.9"/>
  </r>
  <r>
    <s v="FL250005"/>
    <s v="Lynn Curtis DDS"/>
    <s v="Lynn Curtis DDS"/>
    <s v="FEMALE"/>
    <s v="Female"/>
    <n v="53"/>
    <x v="2"/>
    <x v="2"/>
    <x v="3"/>
    <n v="27"/>
    <x v="1"/>
    <n v="30"/>
    <x v="4"/>
    <n v="4.8"/>
    <n v="0"/>
    <x v="0"/>
    <n v="0.83"/>
    <n v="0.83"/>
  </r>
  <r>
    <s v="FL250006"/>
    <s v="Lisa Johnson"/>
    <s v="Lisa Johnson"/>
    <s v="FEMALE"/>
    <s v="Female"/>
    <n v="59"/>
    <x v="3"/>
    <x v="3"/>
    <x v="4"/>
    <n v="14"/>
    <x v="0"/>
    <s v="$30"/>
    <x v="5"/>
    <n v="2.4"/>
    <b v="0"/>
    <x v="1"/>
    <m/>
    <m/>
  </r>
  <r>
    <s v="FL250007"/>
    <s v="Eric Myers"/>
    <s v="Eric Myers"/>
    <s v="m"/>
    <s v="Male"/>
    <n v="52"/>
    <x v="4"/>
    <x v="4"/>
    <x v="5"/>
    <n v="10"/>
    <x v="3"/>
    <s v="USD 75"/>
    <x v="6"/>
    <n v="3.1"/>
    <n v="0"/>
    <x v="1"/>
    <n v="0.94"/>
    <n v="0.94"/>
  </r>
  <r>
    <s v="FL250008"/>
    <s v="Ricky Graham"/>
    <s v="Ricky Graham"/>
    <s v="male"/>
    <s v="Male"/>
    <n v="43"/>
    <x v="0"/>
    <x v="0"/>
    <x v="0"/>
    <n v="14"/>
    <x v="0"/>
    <s v="USD 40"/>
    <x v="7"/>
    <n v="4.5999999999999996"/>
    <b v="0"/>
    <x v="1"/>
    <n v="0.94"/>
    <n v="0.94"/>
  </r>
  <r>
    <s v="FL250009"/>
    <s v="Sean Martin"/>
    <s v="Sean Martin"/>
    <s v="male"/>
    <s v="Male"/>
    <n v="26"/>
    <x v="5"/>
    <x v="1"/>
    <x v="0"/>
    <n v="4"/>
    <x v="2"/>
    <m/>
    <x v="8"/>
    <n v="4"/>
    <b v="1"/>
    <x v="1"/>
    <n v="0.76"/>
    <n v="0.76"/>
  </r>
  <r>
    <s v="FL250010"/>
    <s v="Matthew Lloyd"/>
    <s v="Matthew Lloyd"/>
    <s v="male"/>
    <s v="Male"/>
    <n v="52"/>
    <x v="6"/>
    <x v="5"/>
    <x v="4"/>
    <n v="22"/>
    <x v="1"/>
    <s v="$50"/>
    <x v="9"/>
    <m/>
    <n v="1"/>
    <x v="1"/>
    <m/>
    <m/>
  </r>
  <r>
    <s v="FL250011"/>
    <s v="Gavin Randall"/>
    <s v="Gavin Randall"/>
    <s v="m"/>
    <s v="Male"/>
    <n v="40"/>
    <x v="7"/>
    <x v="1"/>
    <x v="5"/>
    <n v="17"/>
    <x v="4"/>
    <n v="40"/>
    <x v="10"/>
    <n v="3.6"/>
    <s v="yes"/>
    <x v="2"/>
    <n v="0.77"/>
    <n v="0.77"/>
  </r>
  <r>
    <s v="FL250012"/>
    <s v="Michelle Curtis"/>
    <s v="Michelle Curtis"/>
    <s v="FEMALE"/>
    <s v="Female"/>
    <n v="55"/>
    <x v="8"/>
    <x v="6"/>
    <x v="6"/>
    <n v="15"/>
    <x v="0"/>
    <m/>
    <x v="8"/>
    <m/>
    <s v="Y"/>
    <x v="1"/>
    <n v="0.86"/>
    <n v="0.86"/>
  </r>
  <r>
    <s v="FL250013"/>
    <s v="Alice Schneider"/>
    <s v="Alice Schneider"/>
    <s v="FEMALE"/>
    <s v="Female"/>
    <n v="57"/>
    <x v="7"/>
    <x v="1"/>
    <x v="7"/>
    <n v="18"/>
    <x v="4"/>
    <m/>
    <x v="8"/>
    <n v="2"/>
    <n v="0"/>
    <x v="1"/>
    <n v="0.86"/>
    <n v="0.86"/>
  </r>
  <r>
    <s v="FL250014"/>
    <s v="Phillip Shelton"/>
    <s v="Phillip Shelton"/>
    <s v="male"/>
    <s v="Male"/>
    <n v="38"/>
    <x v="8"/>
    <x v="6"/>
    <x v="2"/>
    <n v="20"/>
    <x v="4"/>
    <s v="USD 75"/>
    <x v="6"/>
    <n v="2.9"/>
    <n v="1"/>
    <x v="1"/>
    <n v="0.93"/>
    <n v="0.93"/>
  </r>
  <r>
    <s v="FL250015"/>
    <s v="Edward Ferguson"/>
    <s v="Edward Ferguson"/>
    <s v="male"/>
    <s v="Male"/>
    <n v="50"/>
    <x v="2"/>
    <x v="2"/>
    <x v="5"/>
    <n v="22"/>
    <x v="1"/>
    <n v="75"/>
    <x v="11"/>
    <n v="3.7"/>
    <n v="1"/>
    <x v="2"/>
    <n v="0.7"/>
    <n v="0.7"/>
  </r>
  <r>
    <s v="FL250016"/>
    <s v="Wyatt Stout"/>
    <s v="Wyatt Stout"/>
    <s v="m"/>
    <s v="Male"/>
    <n v="42"/>
    <x v="9"/>
    <x v="7"/>
    <x v="5"/>
    <n v="0"/>
    <x v="2"/>
    <s v="$30"/>
    <x v="5"/>
    <n v="1.2"/>
    <n v="0"/>
    <x v="1"/>
    <n v="0.69"/>
    <n v="0.69"/>
  </r>
  <r>
    <s v="FL250017"/>
    <s v="Laura Johnson"/>
    <s v="Laura Johnson"/>
    <s v="FEMALE"/>
    <s v="Female"/>
    <n v="39"/>
    <x v="1"/>
    <x v="1"/>
    <x v="8"/>
    <n v="13"/>
    <x v="0"/>
    <s v="$30"/>
    <x v="5"/>
    <n v="2.5"/>
    <b v="0"/>
    <x v="1"/>
    <n v="0.6"/>
    <n v="0.6"/>
  </r>
  <r>
    <s v="FL250018"/>
    <s v="Scott Burns"/>
    <s v="Scott Burns"/>
    <s v="m"/>
    <s v="Male"/>
    <n v="56"/>
    <x v="10"/>
    <x v="8"/>
    <x v="0"/>
    <m/>
    <x v="2"/>
    <m/>
    <x v="8"/>
    <m/>
    <m/>
    <x v="1"/>
    <n v="0.87"/>
    <n v="0.87"/>
  </r>
  <r>
    <s v="FL250019"/>
    <s v="Tyler Aguirre"/>
    <s v="Tyler Aguirre"/>
    <s v="male"/>
    <s v="Male"/>
    <n v="56"/>
    <x v="5"/>
    <x v="1"/>
    <x v="6"/>
    <n v="31"/>
    <x v="1"/>
    <s v="USD 50"/>
    <x v="12"/>
    <n v="1.1000000000000001"/>
    <s v="N"/>
    <x v="1"/>
    <n v="0.75"/>
    <n v="0.75"/>
  </r>
  <r>
    <s v="FL250020"/>
    <s v="Matthew Lawson"/>
    <s v="Matthew Lawson"/>
    <s v="male"/>
    <s v="Male"/>
    <n v="57"/>
    <x v="0"/>
    <x v="0"/>
    <x v="3"/>
    <n v="3"/>
    <x v="2"/>
    <s v="USD 100"/>
    <x v="1"/>
    <n v="1.8"/>
    <s v="yes"/>
    <x v="1"/>
    <n v="0.68"/>
    <n v="0.68"/>
  </r>
  <r>
    <s v="FL250021"/>
    <s v="James Cherry"/>
    <s v="James Cherry"/>
    <s v="male"/>
    <s v="Male"/>
    <m/>
    <x v="4"/>
    <x v="4"/>
    <x v="4"/>
    <n v="9"/>
    <x v="3"/>
    <n v="50"/>
    <x v="2"/>
    <n v="1.8"/>
    <b v="0"/>
    <x v="0"/>
    <n v="0.65"/>
    <n v="0.65"/>
  </r>
  <r>
    <s v="FL250022"/>
    <s v="Samuel Sanford"/>
    <s v="Samuel Sanford"/>
    <s v="m"/>
    <s v="Male"/>
    <n v="51"/>
    <x v="9"/>
    <x v="7"/>
    <x v="8"/>
    <m/>
    <x v="2"/>
    <m/>
    <x v="8"/>
    <n v="2.4"/>
    <s v="N"/>
    <x v="1"/>
    <n v="0.69"/>
    <n v="0.69"/>
  </r>
  <r>
    <s v="FL250023"/>
    <s v="Cesar Greene"/>
    <s v="Cesar Greene"/>
    <s v="m"/>
    <s v="Male"/>
    <n v="51"/>
    <x v="11"/>
    <x v="9"/>
    <x v="7"/>
    <n v="21"/>
    <x v="1"/>
    <s v="USD 30"/>
    <x v="13"/>
    <n v="4.7"/>
    <s v="N"/>
    <x v="1"/>
    <m/>
    <m/>
  </r>
  <r>
    <s v="FL250024"/>
    <s v="Melanie Carter"/>
    <s v="Melanie Carter"/>
    <s v="FEMALE"/>
    <s v="Female"/>
    <n v="51"/>
    <x v="12"/>
    <x v="10"/>
    <x v="9"/>
    <n v="15"/>
    <x v="0"/>
    <s v="$50"/>
    <x v="9"/>
    <n v="1.3"/>
    <n v="1"/>
    <x v="1"/>
    <n v="1"/>
    <n v="1"/>
  </r>
  <r>
    <s v="FL250025"/>
    <s v="Jennifer Martin"/>
    <s v="Jennifer Martin"/>
    <s v="f"/>
    <s v="Female"/>
    <n v="54"/>
    <x v="4"/>
    <x v="4"/>
    <x v="9"/>
    <n v="13"/>
    <x v="0"/>
    <n v="75"/>
    <x v="11"/>
    <n v="2.9"/>
    <m/>
    <x v="1"/>
    <n v="92"/>
    <n v="0.92"/>
  </r>
  <r>
    <s v="FL250026"/>
    <s v="Anna Mccann"/>
    <s v="Anna Mccann"/>
    <s v="FEMALE"/>
    <s v="Female"/>
    <n v="22"/>
    <x v="12"/>
    <x v="10"/>
    <x v="8"/>
    <n v="0"/>
    <x v="2"/>
    <s v="USD 30"/>
    <x v="13"/>
    <n v="1.2"/>
    <n v="1"/>
    <x v="1"/>
    <n v="0.7"/>
    <n v="0.7"/>
  </r>
  <r>
    <s v="FL250027"/>
    <s v="Marissa Bass"/>
    <s v="Marissa Bass"/>
    <s v="FEMALE"/>
    <s v="Female"/>
    <n v="34"/>
    <x v="9"/>
    <x v="7"/>
    <x v="0"/>
    <n v="8"/>
    <x v="3"/>
    <s v="$20"/>
    <x v="14"/>
    <n v="0"/>
    <b v="1"/>
    <x v="1"/>
    <n v="0.89"/>
    <n v="0.89"/>
  </r>
  <r>
    <s v="FL250028"/>
    <s v="Alexis Day"/>
    <s v="Alexis Day"/>
    <s v="FEMALE"/>
    <s v="Female"/>
    <n v="36"/>
    <x v="13"/>
    <x v="11"/>
    <x v="2"/>
    <n v="11"/>
    <x v="0"/>
    <m/>
    <x v="8"/>
    <n v="1.8"/>
    <s v="Y"/>
    <x v="1"/>
    <n v="0.86"/>
    <n v="0.86"/>
  </r>
  <r>
    <s v="FL250029"/>
    <s v="Megan Jones"/>
    <s v="Megan Jones"/>
    <s v="FEMALE"/>
    <s v="Female"/>
    <n v="47"/>
    <x v="14"/>
    <x v="1"/>
    <x v="4"/>
    <n v="22"/>
    <x v="1"/>
    <n v="30"/>
    <x v="4"/>
    <n v="1.3"/>
    <n v="0"/>
    <x v="0"/>
    <n v="0.62"/>
    <n v="0.62"/>
  </r>
  <r>
    <s v="FL250030"/>
    <s v="Lori Smith"/>
    <s v="Lori Smith"/>
    <s v="FEMALE"/>
    <s v="Female"/>
    <n v="41"/>
    <x v="3"/>
    <x v="3"/>
    <x v="5"/>
    <n v="14"/>
    <x v="0"/>
    <s v="USD 75"/>
    <x v="6"/>
    <n v="1.2"/>
    <n v="0"/>
    <x v="1"/>
    <m/>
    <m/>
  </r>
  <r>
    <s v="FL250031"/>
    <s v="Eric Carpenter"/>
    <s v="Eric Carpenter"/>
    <s v="male"/>
    <s v="Male"/>
    <n v="22"/>
    <x v="3"/>
    <x v="3"/>
    <x v="8"/>
    <n v="4"/>
    <x v="2"/>
    <m/>
    <x v="8"/>
    <n v="1"/>
    <s v="yes"/>
    <x v="1"/>
    <m/>
    <m/>
  </r>
  <r>
    <s v="FL250032"/>
    <s v="Timothy Daniels"/>
    <s v="Timothy Daniels"/>
    <s v="male"/>
    <s v="Male"/>
    <n v="38"/>
    <x v="15"/>
    <x v="12"/>
    <x v="9"/>
    <n v="19"/>
    <x v="4"/>
    <s v="USD 100"/>
    <x v="1"/>
    <n v="4.2"/>
    <s v="N"/>
    <x v="1"/>
    <n v="0.68"/>
    <n v="0.68"/>
  </r>
  <r>
    <s v="FL250033"/>
    <s v="Robert Nelson"/>
    <s v="Robert Nelson"/>
    <s v="m"/>
    <s v="Male"/>
    <n v="46"/>
    <x v="16"/>
    <x v="13"/>
    <x v="4"/>
    <n v="9"/>
    <x v="3"/>
    <n v="20"/>
    <x v="15"/>
    <n v="1.4"/>
    <b v="1"/>
    <x v="2"/>
    <n v="0.76"/>
    <n v="0.76"/>
  </r>
  <r>
    <s v="FL250034"/>
    <s v="Michael Anderson"/>
    <s v="Michael Anderson"/>
    <s v="male"/>
    <s v="Male"/>
    <m/>
    <x v="12"/>
    <x v="10"/>
    <x v="4"/>
    <n v="9"/>
    <x v="3"/>
    <n v="40"/>
    <x v="10"/>
    <n v="2.4"/>
    <s v="yes"/>
    <x v="2"/>
    <n v="82"/>
    <n v="0.82"/>
  </r>
  <r>
    <s v="FL250035"/>
    <s v="Jessica Snyder"/>
    <s v="Jessica Snyder"/>
    <s v="FEMALE"/>
    <s v="Female"/>
    <n v="54"/>
    <x v="5"/>
    <x v="1"/>
    <x v="3"/>
    <n v="32"/>
    <x v="1"/>
    <n v="75"/>
    <x v="11"/>
    <n v="1"/>
    <s v="yes"/>
    <x v="2"/>
    <n v="0.81"/>
    <n v="0.81"/>
  </r>
  <r>
    <s v="FL250036"/>
    <s v="Emily Daniels"/>
    <s v="Emily Daniels"/>
    <s v="FEMALE"/>
    <s v="Female"/>
    <n v="52"/>
    <x v="12"/>
    <x v="10"/>
    <x v="3"/>
    <n v="28"/>
    <x v="1"/>
    <s v="$20"/>
    <x v="14"/>
    <m/>
    <n v="0"/>
    <x v="1"/>
    <m/>
    <m/>
  </r>
  <r>
    <s v="FL250037"/>
    <s v="Jamie Ramirez"/>
    <s v="Jamie Ramirez"/>
    <s v="f"/>
    <s v="Female"/>
    <n v="42"/>
    <x v="9"/>
    <x v="7"/>
    <x v="1"/>
    <n v="6"/>
    <x v="3"/>
    <n v="40"/>
    <x v="10"/>
    <m/>
    <n v="0"/>
    <x v="0"/>
    <n v="0.63"/>
    <n v="0.63"/>
  </r>
  <r>
    <s v="FL250038"/>
    <s v="Amy Harrison"/>
    <s v="Amy Harrison"/>
    <s v="f"/>
    <s v="Female"/>
    <n v="29"/>
    <x v="3"/>
    <x v="3"/>
    <x v="2"/>
    <n v="10"/>
    <x v="3"/>
    <n v="40"/>
    <x v="10"/>
    <n v="2.2000000000000002"/>
    <s v="N"/>
    <x v="0"/>
    <n v="0.67"/>
    <n v="0.67"/>
  </r>
  <r>
    <s v="FL250039"/>
    <s v="Melinda White"/>
    <s v="Melinda White"/>
    <s v="f"/>
    <s v="Female"/>
    <n v="42"/>
    <x v="17"/>
    <x v="14"/>
    <x v="1"/>
    <n v="23"/>
    <x v="1"/>
    <n v="50"/>
    <x v="2"/>
    <n v="3.2"/>
    <s v="yes"/>
    <x v="2"/>
    <m/>
    <m/>
  </r>
  <r>
    <s v="FL250040"/>
    <s v="James Hernandez"/>
    <s v="James Hernandez"/>
    <s v="male"/>
    <s v="Male"/>
    <n v="60"/>
    <x v="9"/>
    <x v="7"/>
    <x v="3"/>
    <n v="13"/>
    <x v="0"/>
    <s v="$20"/>
    <x v="14"/>
    <n v="3.6"/>
    <n v="0"/>
    <x v="1"/>
    <n v="0.8"/>
    <n v="0.8"/>
  </r>
  <r>
    <s v="FL250041"/>
    <s v="Angelica Rogers"/>
    <s v="Angelica Rogers"/>
    <s v="FEMALE"/>
    <s v="Female"/>
    <n v="59"/>
    <x v="7"/>
    <x v="1"/>
    <x v="4"/>
    <n v="3"/>
    <x v="2"/>
    <s v="USD 50"/>
    <x v="12"/>
    <n v="0"/>
    <s v="no"/>
    <x v="1"/>
    <m/>
    <m/>
  </r>
  <r>
    <s v="FL250042"/>
    <s v="Savannah Williams"/>
    <s v="Savannah Williams"/>
    <s v="FEMALE"/>
    <s v="Female"/>
    <n v="21"/>
    <x v="14"/>
    <x v="1"/>
    <x v="3"/>
    <n v="0"/>
    <x v="2"/>
    <n v="30"/>
    <x v="4"/>
    <n v="2.7"/>
    <n v="1"/>
    <x v="2"/>
    <n v="0.84"/>
    <n v="0.84"/>
  </r>
  <r>
    <s v="FL250043"/>
    <s v="Kaitlyn Schmidt"/>
    <s v="Kaitlyn Schmidt"/>
    <s v="FEMALE"/>
    <s v="Female"/>
    <n v="35"/>
    <x v="2"/>
    <x v="2"/>
    <x v="8"/>
    <n v="10"/>
    <x v="3"/>
    <s v="$50"/>
    <x v="9"/>
    <n v="0"/>
    <s v="no"/>
    <x v="1"/>
    <m/>
    <m/>
  </r>
  <r>
    <s v="FL250044"/>
    <s v="Jason Singh"/>
    <s v="Jason Singh"/>
    <s v="male"/>
    <s v="Male"/>
    <n v="41"/>
    <x v="7"/>
    <x v="1"/>
    <x v="5"/>
    <m/>
    <x v="2"/>
    <n v="20"/>
    <x v="15"/>
    <n v="2.8"/>
    <b v="1"/>
    <x v="2"/>
    <n v="0.63"/>
    <n v="0.63"/>
  </r>
  <r>
    <s v="FL250045"/>
    <s v="Michelle Ramirez"/>
    <s v="Michelle Ramirez"/>
    <s v="FEMALE"/>
    <s v="Female"/>
    <n v="51"/>
    <x v="3"/>
    <x v="3"/>
    <x v="9"/>
    <n v="23"/>
    <x v="1"/>
    <n v="20"/>
    <x v="15"/>
    <n v="2.5"/>
    <b v="0"/>
    <x v="0"/>
    <n v="0.8"/>
    <n v="0.8"/>
  </r>
  <r>
    <s v="FL250046"/>
    <s v="James Brown"/>
    <s v="James Brown"/>
    <s v="male"/>
    <s v="Male"/>
    <n v="41"/>
    <x v="17"/>
    <x v="14"/>
    <x v="3"/>
    <n v="9"/>
    <x v="3"/>
    <s v="$75"/>
    <x v="16"/>
    <n v="4.9000000000000004"/>
    <n v="1"/>
    <x v="1"/>
    <n v="0.74"/>
    <n v="0.74"/>
  </r>
  <r>
    <s v="FL250047"/>
    <s v="Mrs. Samantha Simmons"/>
    <s v=" Samantha Simmons"/>
    <s v="FEMALE"/>
    <m/>
    <n v="47"/>
    <x v="16"/>
    <x v="13"/>
    <x v="8"/>
    <n v="15"/>
    <x v="0"/>
    <s v="USD 30"/>
    <x v="13"/>
    <n v="4.5"/>
    <n v="1"/>
    <x v="1"/>
    <n v="0.85"/>
    <n v="0.85"/>
  </r>
  <r>
    <s v="FL250048"/>
    <s v="Chase Mason"/>
    <s v="Chase Mason"/>
    <s v="male"/>
    <s v="Male"/>
    <n v="25"/>
    <x v="18"/>
    <x v="15"/>
    <x v="2"/>
    <n v="4"/>
    <x v="2"/>
    <n v="50"/>
    <x v="2"/>
    <n v="2.7"/>
    <s v="N"/>
    <x v="0"/>
    <n v="0.77"/>
    <n v="0.77"/>
  </r>
  <r>
    <s v="FL250049"/>
    <s v="Dominique Ward"/>
    <s v="Dominique Ward"/>
    <s v="f"/>
    <s v="Female"/>
    <n v="25"/>
    <x v="19"/>
    <x v="6"/>
    <x v="1"/>
    <n v="7"/>
    <x v="3"/>
    <n v="20"/>
    <x v="15"/>
    <n v="1.9"/>
    <n v="0"/>
    <x v="0"/>
    <m/>
    <m/>
  </r>
  <r>
    <s v="FL250050"/>
    <s v="Lance Griffin"/>
    <s v="Lance Griffin"/>
    <s v="m"/>
    <s v="Male"/>
    <n v="29"/>
    <x v="3"/>
    <x v="3"/>
    <x v="6"/>
    <n v="1"/>
    <x v="2"/>
    <n v="20"/>
    <x v="15"/>
    <n v="1.4"/>
    <n v="1"/>
    <x v="2"/>
    <n v="0.63"/>
    <n v="0.63"/>
  </r>
  <r>
    <s v="FL250051"/>
    <s v="Julie Burgess"/>
    <s v="Julie Burgess"/>
    <s v="FEMALE"/>
    <s v="Female"/>
    <n v="23"/>
    <x v="8"/>
    <x v="6"/>
    <x v="7"/>
    <n v="0"/>
    <x v="2"/>
    <n v="75"/>
    <x v="11"/>
    <n v="1.9"/>
    <b v="1"/>
    <x v="2"/>
    <n v="0.79"/>
    <n v="0.79"/>
  </r>
  <r>
    <s v="FL250052"/>
    <s v="Don Scott"/>
    <s v="Don Scott"/>
    <s v="male"/>
    <s v="Male"/>
    <n v="31"/>
    <x v="15"/>
    <x v="12"/>
    <x v="5"/>
    <n v="8"/>
    <x v="3"/>
    <n v="50"/>
    <x v="2"/>
    <n v="3.4"/>
    <n v="0"/>
    <x v="0"/>
    <m/>
    <m/>
  </r>
  <r>
    <s v="FL250053"/>
    <s v="Kyle Atkinson"/>
    <s v="Kyle Atkinson"/>
    <s v="male"/>
    <s v="Male"/>
    <n v="51"/>
    <x v="2"/>
    <x v="2"/>
    <x v="9"/>
    <n v="33"/>
    <x v="1"/>
    <n v="75"/>
    <x v="11"/>
    <n v="3.3"/>
    <m/>
    <x v="1"/>
    <n v="0.68"/>
    <n v="0.68"/>
  </r>
  <r>
    <s v="FL250054"/>
    <s v="Jimmy Hogan"/>
    <s v="Jimmy Hogan"/>
    <s v="m"/>
    <s v="Male"/>
    <m/>
    <x v="20"/>
    <x v="6"/>
    <x v="6"/>
    <n v="1"/>
    <x v="2"/>
    <n v="30"/>
    <x v="4"/>
    <n v="0"/>
    <n v="0"/>
    <x v="0"/>
    <n v="0.68"/>
    <n v="0.68"/>
  </r>
  <r>
    <s v="FL250055"/>
    <s v="Jennifer Mcintyre"/>
    <s v="Jennifer Mcintyre"/>
    <s v="f"/>
    <s v="Female"/>
    <n v="29"/>
    <x v="6"/>
    <x v="5"/>
    <x v="7"/>
    <n v="11"/>
    <x v="0"/>
    <n v="100"/>
    <x v="0"/>
    <n v="2.2999999999999998"/>
    <b v="1"/>
    <x v="2"/>
    <n v="0.72"/>
    <n v="0.72"/>
  </r>
  <r>
    <s v="FL250056"/>
    <s v="Larry Simpson"/>
    <s v="Larry Simpson"/>
    <s v="m"/>
    <s v="Male"/>
    <n v="50"/>
    <x v="7"/>
    <x v="1"/>
    <x v="4"/>
    <n v="15"/>
    <x v="0"/>
    <m/>
    <x v="8"/>
    <n v="2"/>
    <s v="yes"/>
    <x v="1"/>
    <n v="0.65"/>
    <n v="0.65"/>
  </r>
  <r>
    <s v="FL250057"/>
    <s v="Laura Price"/>
    <s v="Laura Price"/>
    <s v="f"/>
    <s v="Female"/>
    <n v="26"/>
    <x v="7"/>
    <x v="1"/>
    <x v="8"/>
    <n v="8"/>
    <x v="3"/>
    <n v="50"/>
    <x v="2"/>
    <n v="1.3"/>
    <b v="0"/>
    <x v="0"/>
    <n v="0.76"/>
    <n v="0.76"/>
  </r>
  <r>
    <s v="FL250058"/>
    <s v="Mark Wright"/>
    <s v="Mark Wright"/>
    <s v="male"/>
    <s v="Male"/>
    <n v="38"/>
    <x v="14"/>
    <x v="1"/>
    <x v="4"/>
    <n v="17"/>
    <x v="4"/>
    <s v="USD 40"/>
    <x v="7"/>
    <n v="4"/>
    <b v="1"/>
    <x v="1"/>
    <n v="0.9"/>
    <n v="0.9"/>
  </r>
  <r>
    <s v="FL250059"/>
    <s v="Samantha Mcdaniel"/>
    <s v="Samantha Mcdaniel"/>
    <s v="FEMALE"/>
    <s v="Female"/>
    <n v="23"/>
    <x v="10"/>
    <x v="8"/>
    <x v="1"/>
    <m/>
    <x v="2"/>
    <n v="75"/>
    <x v="11"/>
    <n v="3.6"/>
    <n v="1"/>
    <x v="2"/>
    <n v="0.65"/>
    <n v="0.65"/>
  </r>
  <r>
    <s v="FL250060"/>
    <s v="Barbara Foster"/>
    <s v="Barbara Foster"/>
    <s v="FEMALE"/>
    <s v="Female"/>
    <n v="51"/>
    <x v="17"/>
    <x v="14"/>
    <x v="8"/>
    <n v="28"/>
    <x v="1"/>
    <n v="40"/>
    <x v="10"/>
    <n v="3.9"/>
    <n v="0"/>
    <x v="0"/>
    <n v="0.63"/>
    <n v="0.63"/>
  </r>
  <r>
    <s v="FL250061"/>
    <s v="Courtney Tran"/>
    <s v="Courtney Tran"/>
    <s v="f"/>
    <s v="Female"/>
    <n v="51"/>
    <x v="4"/>
    <x v="4"/>
    <x v="4"/>
    <n v="33"/>
    <x v="1"/>
    <s v="$75"/>
    <x v="16"/>
    <n v="0"/>
    <b v="1"/>
    <x v="1"/>
    <m/>
    <m/>
  </r>
  <r>
    <s v="FL250062"/>
    <s v="Eddie Todd"/>
    <s v="Eddie Todd"/>
    <s v="male"/>
    <s v="Male"/>
    <n v="47"/>
    <x v="2"/>
    <x v="2"/>
    <x v="4"/>
    <n v="18"/>
    <x v="4"/>
    <n v="75"/>
    <x v="11"/>
    <n v="0"/>
    <n v="0"/>
    <x v="0"/>
    <m/>
    <m/>
  </r>
  <r>
    <s v="FL250063"/>
    <s v="Christine Johnson"/>
    <s v="Christine Johnson"/>
    <s v="FEMALE"/>
    <s v="Female"/>
    <n v="34"/>
    <x v="13"/>
    <x v="11"/>
    <x v="6"/>
    <n v="16"/>
    <x v="4"/>
    <s v="$20"/>
    <x v="14"/>
    <n v="2.2999999999999998"/>
    <s v="yes"/>
    <x v="1"/>
    <n v="0.93"/>
    <n v="0.93"/>
  </r>
  <r>
    <s v="FL250064"/>
    <s v="Leah Phelps"/>
    <s v="Leah Phelps"/>
    <s v="f"/>
    <s v="Female"/>
    <n v="58"/>
    <x v="4"/>
    <x v="4"/>
    <x v="5"/>
    <n v="35"/>
    <x v="1"/>
    <s v="USD 50"/>
    <x v="12"/>
    <n v="4.7"/>
    <s v="no"/>
    <x v="1"/>
    <n v="0.7"/>
    <n v="0.7"/>
  </r>
  <r>
    <s v="FL250065"/>
    <s v="Rebekah Williams"/>
    <s v="Rebekah Williams"/>
    <s v="f"/>
    <s v="Female"/>
    <n v="50"/>
    <x v="13"/>
    <x v="11"/>
    <x v="4"/>
    <n v="14"/>
    <x v="0"/>
    <m/>
    <x v="8"/>
    <n v="3.5"/>
    <s v="Y"/>
    <x v="1"/>
    <n v="0.83"/>
    <n v="0.83"/>
  </r>
  <r>
    <s v="FL250066"/>
    <s v="Crystal Wilson"/>
    <s v="Crystal Wilson"/>
    <s v="FEMALE"/>
    <s v="Female"/>
    <n v="34"/>
    <x v="20"/>
    <x v="6"/>
    <x v="3"/>
    <n v="12"/>
    <x v="0"/>
    <n v="40"/>
    <x v="10"/>
    <n v="2.4"/>
    <n v="1"/>
    <x v="2"/>
    <n v="64"/>
    <n v="0.64"/>
  </r>
  <r>
    <s v="FL250067"/>
    <s v="Ashley Cordova"/>
    <s v="Ashley Cordova"/>
    <s v="FEMALE"/>
    <s v="Female"/>
    <n v="45"/>
    <x v="11"/>
    <x v="9"/>
    <x v="4"/>
    <n v="11"/>
    <x v="0"/>
    <s v="USD 75"/>
    <x v="6"/>
    <n v="4"/>
    <s v="N"/>
    <x v="1"/>
    <n v="1"/>
    <n v="1"/>
  </r>
  <r>
    <s v="FL250068"/>
    <s v="Vicki Kelly"/>
    <s v="Vicki Kelly"/>
    <s v="FEMALE"/>
    <s v="Female"/>
    <n v="55"/>
    <x v="11"/>
    <x v="9"/>
    <x v="3"/>
    <n v="0"/>
    <x v="2"/>
    <s v="$40"/>
    <x v="3"/>
    <n v="0"/>
    <b v="1"/>
    <x v="1"/>
    <m/>
    <m/>
  </r>
  <r>
    <s v="FL250069"/>
    <s v="Corey Warren"/>
    <s v="Corey Warren"/>
    <s v="m"/>
    <s v="Male"/>
    <m/>
    <x v="8"/>
    <x v="6"/>
    <x v="6"/>
    <n v="6"/>
    <x v="3"/>
    <n v="100"/>
    <x v="0"/>
    <n v="1.5"/>
    <b v="0"/>
    <x v="0"/>
    <m/>
    <m/>
  </r>
  <r>
    <s v="FL250070"/>
    <s v="Gina Thompson"/>
    <s v="Gina Thompson"/>
    <s v="FEMALE"/>
    <s v="Female"/>
    <n v="60"/>
    <x v="18"/>
    <x v="15"/>
    <x v="6"/>
    <n v="38"/>
    <x v="1"/>
    <s v="$20"/>
    <x v="14"/>
    <n v="2"/>
    <s v="no"/>
    <x v="1"/>
    <n v="0.71"/>
    <n v="0.71"/>
  </r>
  <r>
    <s v="FL250071"/>
    <s v="Yvonne Berg"/>
    <s v="Yvonne Berg"/>
    <s v="f"/>
    <s v="Female"/>
    <n v="33"/>
    <x v="17"/>
    <x v="14"/>
    <x v="1"/>
    <n v="11"/>
    <x v="0"/>
    <m/>
    <x v="8"/>
    <m/>
    <s v="yes"/>
    <x v="1"/>
    <n v="0.84"/>
    <n v="0.84"/>
  </r>
  <r>
    <s v="FL250072"/>
    <s v="Thomas Miller"/>
    <s v="Thomas Miller"/>
    <s v="m"/>
    <s v="Male"/>
    <n v="60"/>
    <x v="0"/>
    <x v="0"/>
    <x v="8"/>
    <n v="13"/>
    <x v="0"/>
    <s v="USD 50"/>
    <x v="12"/>
    <n v="1"/>
    <b v="0"/>
    <x v="1"/>
    <m/>
    <m/>
  </r>
  <r>
    <s v="FL250073"/>
    <s v="Nicholas Burton"/>
    <s v="Nicholas Burton"/>
    <s v="male"/>
    <s v="Male"/>
    <n v="40"/>
    <x v="5"/>
    <x v="1"/>
    <x v="3"/>
    <n v="9"/>
    <x v="3"/>
    <s v="$100"/>
    <x v="17"/>
    <n v="4.5"/>
    <s v="yes"/>
    <x v="1"/>
    <n v="0.69"/>
    <n v="0.69"/>
  </r>
  <r>
    <s v="FL250074"/>
    <s v="Jorge Riley"/>
    <s v="Jorge Riley"/>
    <s v="male"/>
    <s v="Male"/>
    <n v="59"/>
    <x v="1"/>
    <x v="1"/>
    <x v="0"/>
    <n v="4"/>
    <x v="2"/>
    <m/>
    <x v="8"/>
    <n v="1.9"/>
    <b v="0"/>
    <x v="1"/>
    <n v="88"/>
    <n v="0.88"/>
  </r>
  <r>
    <s v="FL250075"/>
    <s v="Melvin Harris"/>
    <s v="Melvin Harris"/>
    <s v="m"/>
    <s v="Male"/>
    <n v="36"/>
    <x v="0"/>
    <x v="0"/>
    <x v="9"/>
    <n v="14"/>
    <x v="0"/>
    <s v="$100"/>
    <x v="17"/>
    <n v="3.7"/>
    <n v="0"/>
    <x v="1"/>
    <m/>
    <m/>
  </r>
  <r>
    <s v="FL250076"/>
    <s v="Jeremy Meyer"/>
    <s v="Jeremy Meyer"/>
    <s v="male"/>
    <s v="Male"/>
    <n v="32"/>
    <x v="10"/>
    <x v="8"/>
    <x v="5"/>
    <m/>
    <x v="2"/>
    <n v="30"/>
    <x v="4"/>
    <n v="1.9"/>
    <b v="1"/>
    <x v="2"/>
    <n v="0.96"/>
    <n v="0.96"/>
  </r>
  <r>
    <s v="FL250077"/>
    <s v="Timothy Lee"/>
    <s v="Timothy Lee"/>
    <s v="male"/>
    <s v="Male"/>
    <n v="59"/>
    <x v="1"/>
    <x v="1"/>
    <x v="4"/>
    <n v="9"/>
    <x v="3"/>
    <s v="USD 75"/>
    <x v="6"/>
    <n v="4"/>
    <n v="1"/>
    <x v="1"/>
    <n v="96"/>
    <n v="0.96"/>
  </r>
  <r>
    <s v="FL250078"/>
    <s v="Diana Bautista"/>
    <s v="Diana Bautista"/>
    <s v="f"/>
    <s v="Female"/>
    <n v="54"/>
    <x v="20"/>
    <x v="6"/>
    <x v="8"/>
    <n v="32"/>
    <x v="1"/>
    <s v="USD 40"/>
    <x v="7"/>
    <n v="1.8"/>
    <s v="N"/>
    <x v="1"/>
    <m/>
    <m/>
  </r>
  <r>
    <s v="FL250079"/>
    <s v="Leslie Rodriguez"/>
    <s v="Leslie Rodriguez"/>
    <s v="f"/>
    <s v="Female"/>
    <n v="37"/>
    <x v="14"/>
    <x v="1"/>
    <x v="2"/>
    <n v="9"/>
    <x v="3"/>
    <m/>
    <x v="8"/>
    <n v="0"/>
    <n v="1"/>
    <x v="1"/>
    <n v="0.89"/>
    <n v="0.89"/>
  </r>
  <r>
    <s v="FL250080"/>
    <s v="Noah Wiggins"/>
    <s v="Noah Wiggins"/>
    <s v="male"/>
    <s v="Male"/>
    <n v="54"/>
    <x v="10"/>
    <x v="8"/>
    <x v="9"/>
    <n v="21"/>
    <x v="1"/>
    <s v="$100"/>
    <x v="17"/>
    <n v="4.5999999999999996"/>
    <b v="0"/>
    <x v="1"/>
    <m/>
    <m/>
  </r>
  <r>
    <s v="FL250081"/>
    <s v="Bridget Williams"/>
    <s v="Bridget Williams"/>
    <s v="FEMALE"/>
    <s v="Female"/>
    <n v="33"/>
    <x v="8"/>
    <x v="6"/>
    <x v="6"/>
    <n v="12"/>
    <x v="0"/>
    <n v="100"/>
    <x v="0"/>
    <n v="3.6"/>
    <n v="0"/>
    <x v="0"/>
    <n v="0.63"/>
    <n v="0.63"/>
  </r>
  <r>
    <s v="FL250082"/>
    <s v="Veronica Baker"/>
    <s v="Veronica Baker"/>
    <s v="f"/>
    <s v="Female"/>
    <n v="25"/>
    <x v="16"/>
    <x v="13"/>
    <x v="3"/>
    <n v="7"/>
    <x v="3"/>
    <s v="USD 40"/>
    <x v="7"/>
    <n v="4.4000000000000004"/>
    <m/>
    <x v="1"/>
    <n v="81"/>
    <n v="0.81"/>
  </r>
  <r>
    <s v="FL250083"/>
    <s v="Andrew Avila"/>
    <s v="Andrew Avila"/>
    <s v="male"/>
    <s v="Male"/>
    <m/>
    <x v="18"/>
    <x v="15"/>
    <x v="8"/>
    <n v="3"/>
    <x v="2"/>
    <n v="40"/>
    <x v="10"/>
    <n v="4.5999999999999996"/>
    <s v="N"/>
    <x v="0"/>
    <n v="0.74"/>
    <n v="0.74"/>
  </r>
  <r>
    <s v="FL250084"/>
    <s v="Michael Roberson"/>
    <s v="Michael Roberson"/>
    <s v="male"/>
    <s v="Male"/>
    <n v="35"/>
    <x v="12"/>
    <x v="10"/>
    <x v="3"/>
    <n v="5"/>
    <x v="2"/>
    <s v="$75"/>
    <x v="16"/>
    <n v="3.2"/>
    <b v="0"/>
    <x v="1"/>
    <n v="0.72"/>
    <n v="0.72"/>
  </r>
  <r>
    <s v="FL250085"/>
    <s v="Austin Jenkins"/>
    <s v="Austin Jenkins"/>
    <s v="male"/>
    <s v="Male"/>
    <n v="59"/>
    <x v="12"/>
    <x v="10"/>
    <x v="4"/>
    <n v="30"/>
    <x v="1"/>
    <s v="$40"/>
    <x v="3"/>
    <n v="0"/>
    <b v="1"/>
    <x v="1"/>
    <m/>
    <m/>
  </r>
  <r>
    <s v="FL250086"/>
    <s v="Brenda Green"/>
    <s v="Brenda Green"/>
    <s v="FEMALE"/>
    <s v="Female"/>
    <n v="21"/>
    <x v="18"/>
    <x v="15"/>
    <x v="8"/>
    <n v="2"/>
    <x v="2"/>
    <n v="100"/>
    <x v="0"/>
    <n v="2.6"/>
    <s v="Y"/>
    <x v="2"/>
    <n v="0.85"/>
    <n v="0.85"/>
  </r>
  <r>
    <s v="FL250087"/>
    <s v="Samuel Pierce"/>
    <s v="Samuel Pierce"/>
    <s v="m"/>
    <s v="Male"/>
    <n v="25"/>
    <x v="5"/>
    <x v="1"/>
    <x v="1"/>
    <n v="2"/>
    <x v="2"/>
    <s v="$75"/>
    <x v="16"/>
    <n v="3.7"/>
    <s v="N"/>
    <x v="1"/>
    <m/>
    <m/>
  </r>
  <r>
    <s v="FL250088"/>
    <s v="Briana Smith"/>
    <s v="Briana Smith"/>
    <s v="f"/>
    <s v="Female"/>
    <n v="38"/>
    <x v="19"/>
    <x v="6"/>
    <x v="3"/>
    <n v="19"/>
    <x v="4"/>
    <n v="75"/>
    <x v="11"/>
    <n v="2.2999999999999998"/>
    <b v="0"/>
    <x v="0"/>
    <n v="0.61"/>
    <n v="0.61"/>
  </r>
  <r>
    <s v="FL250089"/>
    <s v="Ronald Barrett"/>
    <s v="Ronald Barrett"/>
    <s v="male"/>
    <s v="Male"/>
    <n v="57"/>
    <x v="13"/>
    <x v="11"/>
    <x v="4"/>
    <n v="16"/>
    <x v="4"/>
    <n v="100"/>
    <x v="0"/>
    <n v="3.1"/>
    <b v="0"/>
    <x v="0"/>
    <m/>
    <m/>
  </r>
  <r>
    <s v="FL250090"/>
    <s v="Matthew Smith"/>
    <s v="Matthew Smith"/>
    <s v="m"/>
    <s v="Male"/>
    <n v="32"/>
    <x v="10"/>
    <x v="8"/>
    <x v="1"/>
    <n v="10"/>
    <x v="3"/>
    <s v="$20"/>
    <x v="14"/>
    <n v="2.4"/>
    <n v="0"/>
    <x v="1"/>
    <n v="0.86"/>
    <n v="0.86"/>
  </r>
  <r>
    <s v="FL250091"/>
    <s v="Logan Huang"/>
    <s v="Logan Huang"/>
    <s v="male"/>
    <s v="Male"/>
    <n v="21"/>
    <x v="0"/>
    <x v="0"/>
    <x v="8"/>
    <n v="2"/>
    <x v="2"/>
    <s v="USD 100"/>
    <x v="1"/>
    <n v="1.6"/>
    <s v="yes"/>
    <x v="1"/>
    <n v="0.97"/>
    <n v="0.97"/>
  </r>
  <r>
    <s v="FL250092"/>
    <s v="Miranda Hutchinson"/>
    <s v="Miranda Hutchinson"/>
    <s v="FEMALE"/>
    <s v="Female"/>
    <n v="57"/>
    <x v="14"/>
    <x v="1"/>
    <x v="7"/>
    <n v="18"/>
    <x v="4"/>
    <n v="50"/>
    <x v="2"/>
    <n v="2.4"/>
    <n v="1"/>
    <x v="2"/>
    <n v="0.63"/>
    <n v="0.63"/>
  </r>
  <r>
    <s v="FL250093"/>
    <s v="Paul Richardson"/>
    <s v="Paul Richardson"/>
    <s v="male"/>
    <s v="Male"/>
    <n v="53"/>
    <x v="18"/>
    <x v="15"/>
    <x v="6"/>
    <n v="21"/>
    <x v="1"/>
    <s v="USD 100"/>
    <x v="1"/>
    <m/>
    <s v="Y"/>
    <x v="1"/>
    <n v="0.97"/>
    <n v="0.97"/>
  </r>
  <r>
    <s v="FL250094"/>
    <s v="Jose Jones"/>
    <s v="Jose Jones"/>
    <s v="m"/>
    <s v="Male"/>
    <n v="35"/>
    <x v="13"/>
    <x v="11"/>
    <x v="0"/>
    <n v="3"/>
    <x v="2"/>
    <s v="USD 30"/>
    <x v="13"/>
    <n v="3.8"/>
    <s v="yes"/>
    <x v="1"/>
    <n v="0.81"/>
    <n v="0.81"/>
  </r>
  <r>
    <s v="FL250095"/>
    <s v="Denise Smith"/>
    <s v="Denise Smith"/>
    <s v="f"/>
    <s v="Female"/>
    <n v="54"/>
    <x v="18"/>
    <x v="15"/>
    <x v="9"/>
    <n v="17"/>
    <x v="4"/>
    <n v="20"/>
    <x v="15"/>
    <n v="1.7"/>
    <n v="0"/>
    <x v="0"/>
    <n v="0.69"/>
    <n v="0.69"/>
  </r>
  <r>
    <s v="FL250096"/>
    <s v="Shelby Mcmahon"/>
    <s v="Shelby Mcmahon"/>
    <s v="FEMALE"/>
    <s v="Female"/>
    <n v="36"/>
    <x v="0"/>
    <x v="0"/>
    <x v="6"/>
    <n v="0"/>
    <x v="2"/>
    <n v="20"/>
    <x v="15"/>
    <n v="1.3"/>
    <s v="Y"/>
    <x v="2"/>
    <n v="0.64"/>
    <n v="0.64"/>
  </r>
  <r>
    <s v="FL250097"/>
    <s v="Bethany Wright"/>
    <s v="Bethany Wright"/>
    <s v="f"/>
    <s v="Female"/>
    <n v="49"/>
    <x v="20"/>
    <x v="6"/>
    <x v="7"/>
    <n v="25"/>
    <x v="1"/>
    <n v="50"/>
    <x v="2"/>
    <n v="5"/>
    <s v="N"/>
    <x v="0"/>
    <n v="0.77"/>
    <n v="0.77"/>
  </r>
  <r>
    <s v="FL250098"/>
    <s v="David Ortiz"/>
    <s v="David Ortiz"/>
    <s v="male"/>
    <s v="Male"/>
    <n v="37"/>
    <x v="5"/>
    <x v="1"/>
    <x v="0"/>
    <n v="17"/>
    <x v="4"/>
    <n v="20"/>
    <x v="15"/>
    <n v="3.3"/>
    <n v="0"/>
    <x v="0"/>
    <n v="96"/>
    <n v="0.96"/>
  </r>
  <r>
    <s v="FL250099"/>
    <s v="Andrew Lynch"/>
    <s v="Andrew Lynch"/>
    <s v="male"/>
    <s v="Male"/>
    <m/>
    <x v="5"/>
    <x v="1"/>
    <x v="6"/>
    <n v="5"/>
    <x v="2"/>
    <s v="$20"/>
    <x v="14"/>
    <n v="1.1000000000000001"/>
    <s v="no"/>
    <x v="1"/>
    <n v="0.74"/>
    <n v="0.74"/>
  </r>
  <r>
    <s v="FL250100"/>
    <s v="Kristopher Meyers"/>
    <s v="Kristopher Meyers"/>
    <s v="m"/>
    <s v="Male"/>
    <n v="32"/>
    <x v="16"/>
    <x v="13"/>
    <x v="6"/>
    <n v="10"/>
    <x v="3"/>
    <n v="50"/>
    <x v="2"/>
    <n v="1.2"/>
    <b v="0"/>
    <x v="0"/>
    <n v="0.89"/>
    <n v="0.89"/>
  </r>
  <r>
    <s v="FL250101"/>
    <s v="Thomas Roth"/>
    <s v="Thomas Roth"/>
    <s v="m"/>
    <s v="Male"/>
    <n v="35"/>
    <x v="10"/>
    <x v="8"/>
    <x v="1"/>
    <n v="0"/>
    <x v="2"/>
    <m/>
    <x v="8"/>
    <n v="2"/>
    <n v="1"/>
    <x v="1"/>
    <n v="0.64"/>
    <n v="0.64"/>
  </r>
  <r>
    <s v="FL250102"/>
    <s v="Vicki Brown"/>
    <s v="Vicki Brown"/>
    <s v="f"/>
    <s v="Female"/>
    <n v="51"/>
    <x v="13"/>
    <x v="11"/>
    <x v="2"/>
    <n v="2"/>
    <x v="2"/>
    <s v="$30"/>
    <x v="5"/>
    <n v="4.5"/>
    <n v="0"/>
    <x v="1"/>
    <n v="64"/>
    <n v="0.64"/>
  </r>
  <r>
    <s v="FL250103"/>
    <s v="Stacy Sutton"/>
    <s v="Stacy Sutton"/>
    <s v="f"/>
    <s v="Female"/>
    <n v="50"/>
    <x v="13"/>
    <x v="11"/>
    <x v="8"/>
    <n v="30"/>
    <x v="1"/>
    <n v="100"/>
    <x v="0"/>
    <n v="3"/>
    <n v="1"/>
    <x v="2"/>
    <n v="0.73"/>
    <n v="0.73"/>
  </r>
  <r>
    <s v="FL250104"/>
    <s v="Kimberly Holland"/>
    <s v="Kimberly Holland"/>
    <s v="f"/>
    <s v="Female"/>
    <n v="21"/>
    <x v="6"/>
    <x v="5"/>
    <x v="0"/>
    <n v="2"/>
    <x v="2"/>
    <s v="$50"/>
    <x v="9"/>
    <n v="4.9000000000000004"/>
    <s v="yes"/>
    <x v="1"/>
    <n v="0.68"/>
    <n v="0.68"/>
  </r>
  <r>
    <s v="FL250105"/>
    <s v="Travis Richardson"/>
    <s v="Travis Richardson"/>
    <s v="male"/>
    <s v="Male"/>
    <n v="25"/>
    <x v="5"/>
    <x v="1"/>
    <x v="2"/>
    <n v="3"/>
    <x v="2"/>
    <s v="$30"/>
    <x v="5"/>
    <m/>
    <s v="no"/>
    <x v="1"/>
    <n v="0.88"/>
    <n v="0.88"/>
  </r>
  <r>
    <s v="FL250106"/>
    <s v="Jasmin Ho"/>
    <s v="Jasmin Ho"/>
    <s v="FEMALE"/>
    <s v="Female"/>
    <n v="57"/>
    <x v="15"/>
    <x v="12"/>
    <x v="8"/>
    <n v="21"/>
    <x v="1"/>
    <s v="$40"/>
    <x v="3"/>
    <n v="2.5"/>
    <n v="0"/>
    <x v="1"/>
    <n v="0.77"/>
    <n v="0.77"/>
  </r>
  <r>
    <s v="FL250107"/>
    <s v="Mark Paul"/>
    <s v="Mark Paul"/>
    <s v="m"/>
    <s v="Male"/>
    <n v="58"/>
    <x v="13"/>
    <x v="11"/>
    <x v="0"/>
    <n v="3"/>
    <x v="2"/>
    <m/>
    <x v="8"/>
    <n v="0"/>
    <n v="1"/>
    <x v="1"/>
    <m/>
    <m/>
  </r>
  <r>
    <s v="FL250108"/>
    <s v="Jennifer Lewis"/>
    <s v="Jennifer Lewis"/>
    <s v="f"/>
    <s v="Female"/>
    <n v="45"/>
    <x v="4"/>
    <x v="4"/>
    <x v="1"/>
    <n v="19"/>
    <x v="4"/>
    <n v="40"/>
    <x v="10"/>
    <m/>
    <n v="1"/>
    <x v="2"/>
    <n v="0.72"/>
    <n v="0.72"/>
  </r>
  <r>
    <s v="FL250109"/>
    <s v="Elizabeth Lester"/>
    <s v="Elizabeth Lester"/>
    <s v="f"/>
    <s v="Female"/>
    <n v="23"/>
    <x v="5"/>
    <x v="1"/>
    <x v="3"/>
    <n v="0"/>
    <x v="2"/>
    <n v="20"/>
    <x v="15"/>
    <n v="4.7"/>
    <s v="Y"/>
    <x v="2"/>
    <n v="0.6"/>
    <n v="0.6"/>
  </r>
  <r>
    <s v="FL250110"/>
    <s v="Kimberly Griffin"/>
    <s v="Kimberly Griffin"/>
    <s v="FEMALE"/>
    <s v="Female"/>
    <n v="46"/>
    <x v="5"/>
    <x v="1"/>
    <x v="4"/>
    <n v="9"/>
    <x v="3"/>
    <s v="$30"/>
    <x v="5"/>
    <n v="3.5"/>
    <m/>
    <x v="1"/>
    <n v="72"/>
    <n v="0.72"/>
  </r>
  <r>
    <s v="FL250111"/>
    <s v="Tyler Warner"/>
    <s v="Tyler Warner"/>
    <s v="male"/>
    <s v="Male"/>
    <n v="27"/>
    <x v="8"/>
    <x v="6"/>
    <x v="6"/>
    <n v="5"/>
    <x v="2"/>
    <n v="30"/>
    <x v="4"/>
    <m/>
    <s v="N"/>
    <x v="0"/>
    <n v="0.92"/>
    <n v="0.92"/>
  </r>
  <r>
    <s v="FL250112"/>
    <s v="Jane Cox"/>
    <s v="Jane Cox"/>
    <s v="FEMALE"/>
    <s v="Female"/>
    <n v="32"/>
    <x v="5"/>
    <x v="1"/>
    <x v="9"/>
    <n v="6"/>
    <x v="3"/>
    <s v="USD 50"/>
    <x v="12"/>
    <n v="3.4"/>
    <n v="1"/>
    <x v="1"/>
    <m/>
    <m/>
  </r>
  <r>
    <s v="FL250113"/>
    <s v="Leah Williams"/>
    <s v="Leah Williams"/>
    <s v="f"/>
    <s v="Female"/>
    <n v="48"/>
    <x v="8"/>
    <x v="6"/>
    <x v="9"/>
    <n v="6"/>
    <x v="3"/>
    <s v="USD 75"/>
    <x v="6"/>
    <n v="2.5"/>
    <m/>
    <x v="1"/>
    <n v="0.92"/>
    <n v="0.92"/>
  </r>
  <r>
    <s v="FL250114"/>
    <s v="Kevin Wong"/>
    <s v="Kevin Wong"/>
    <s v="male"/>
    <s v="Male"/>
    <n v="30"/>
    <x v="6"/>
    <x v="5"/>
    <x v="1"/>
    <n v="3"/>
    <x v="2"/>
    <s v="$30"/>
    <x v="5"/>
    <n v="1.1000000000000001"/>
    <b v="1"/>
    <x v="1"/>
    <m/>
    <m/>
  </r>
  <r>
    <s v="FL250115"/>
    <s v="Robert Andrews"/>
    <s v="Robert Andrews"/>
    <s v="male"/>
    <s v="Male"/>
    <n v="59"/>
    <x v="6"/>
    <x v="5"/>
    <x v="4"/>
    <n v="13"/>
    <x v="0"/>
    <s v="USD 20"/>
    <x v="18"/>
    <n v="4.8"/>
    <m/>
    <x v="1"/>
    <m/>
    <m/>
  </r>
  <r>
    <s v="FL250116"/>
    <s v="Jessica Torres"/>
    <s v="Jessica Torres"/>
    <s v="FEMALE"/>
    <s v="Female"/>
    <n v="32"/>
    <x v="19"/>
    <x v="6"/>
    <x v="4"/>
    <n v="5"/>
    <x v="2"/>
    <s v="$30"/>
    <x v="5"/>
    <m/>
    <n v="0"/>
    <x v="1"/>
    <n v="0.86"/>
    <n v="0.86"/>
  </r>
  <r>
    <s v="FL250117"/>
    <s v="Teresa Kim"/>
    <s v="Teresa Kim"/>
    <s v="FEMALE"/>
    <s v="Female"/>
    <n v="57"/>
    <x v="16"/>
    <x v="13"/>
    <x v="6"/>
    <n v="4"/>
    <x v="2"/>
    <s v="USD 40"/>
    <x v="7"/>
    <n v="3.4"/>
    <n v="1"/>
    <x v="1"/>
    <n v="0.68"/>
    <n v="0.68"/>
  </r>
  <r>
    <s v="FL250118"/>
    <s v="Jon Morgan"/>
    <s v="Jon Morgan"/>
    <s v="male"/>
    <s v="Male"/>
    <n v="27"/>
    <x v="1"/>
    <x v="1"/>
    <x v="9"/>
    <n v="7"/>
    <x v="3"/>
    <s v="USD 20"/>
    <x v="18"/>
    <n v="3.2"/>
    <n v="1"/>
    <x v="1"/>
    <n v="0.62"/>
    <n v="0.62"/>
  </r>
  <r>
    <s v="FL250119"/>
    <s v="Gloria Chaney"/>
    <s v="Gloria Chaney"/>
    <s v="f"/>
    <s v="Female"/>
    <n v="33"/>
    <x v="4"/>
    <x v="4"/>
    <x v="9"/>
    <n v="13"/>
    <x v="0"/>
    <n v="20"/>
    <x v="15"/>
    <n v="3.2"/>
    <b v="0"/>
    <x v="0"/>
    <m/>
    <m/>
  </r>
  <r>
    <s v="FL250120"/>
    <s v="Jesse Campbell"/>
    <s v="Jesse Campbell"/>
    <s v="male"/>
    <s v="Male"/>
    <n v="29"/>
    <x v="12"/>
    <x v="10"/>
    <x v="5"/>
    <n v="4"/>
    <x v="2"/>
    <n v="30"/>
    <x v="4"/>
    <n v="0"/>
    <s v="Y"/>
    <x v="2"/>
    <n v="0.82"/>
    <n v="0.82"/>
  </r>
  <r>
    <s v="FL250121"/>
    <s v="Allison Tucker MD"/>
    <s v="Allison Tucker MD"/>
    <s v="FEMALE"/>
    <s v="Female"/>
    <n v="36"/>
    <x v="4"/>
    <x v="4"/>
    <x v="6"/>
    <n v="13"/>
    <x v="0"/>
    <n v="75"/>
    <x v="11"/>
    <m/>
    <n v="1"/>
    <x v="2"/>
    <m/>
    <m/>
  </r>
  <r>
    <s v="FL250122"/>
    <s v="Candice Petersen"/>
    <s v="Candice Petersen"/>
    <s v="FEMALE"/>
    <s v="Female"/>
    <n v="47"/>
    <x v="0"/>
    <x v="0"/>
    <x v="8"/>
    <n v="5"/>
    <x v="2"/>
    <s v="$40"/>
    <x v="3"/>
    <n v="3.7"/>
    <b v="0"/>
    <x v="1"/>
    <n v="93"/>
    <n v="0.93"/>
  </r>
  <r>
    <s v="FL250123"/>
    <s v="Christopher Nichols"/>
    <s v="Christopher Nichols"/>
    <s v="male"/>
    <s v="Male"/>
    <n v="48"/>
    <x v="14"/>
    <x v="1"/>
    <x v="9"/>
    <n v="15"/>
    <x v="0"/>
    <s v="USD 50"/>
    <x v="12"/>
    <n v="1"/>
    <s v="Y"/>
    <x v="1"/>
    <n v="0.64"/>
    <n v="0.64"/>
  </r>
  <r>
    <s v="FL250124"/>
    <s v="Debra Garcia"/>
    <s v="Debra Garcia"/>
    <s v="f"/>
    <s v="Female"/>
    <n v="27"/>
    <x v="18"/>
    <x v="15"/>
    <x v="6"/>
    <n v="8"/>
    <x v="3"/>
    <s v="$50"/>
    <x v="9"/>
    <n v="0"/>
    <m/>
    <x v="1"/>
    <m/>
    <m/>
  </r>
  <r>
    <s v="FL250125"/>
    <s v="Andrew Fuentes"/>
    <s v="Andrew Fuentes"/>
    <s v="male"/>
    <s v="Male"/>
    <n v="34"/>
    <x v="1"/>
    <x v="1"/>
    <x v="3"/>
    <n v="10"/>
    <x v="3"/>
    <m/>
    <x v="8"/>
    <n v="1.7"/>
    <s v="N"/>
    <x v="1"/>
    <n v="0.96"/>
    <n v="0.96"/>
  </r>
  <r>
    <s v="FL250126"/>
    <s v="Jason Carter"/>
    <s v="Jason Carter"/>
    <s v="male"/>
    <s v="Male"/>
    <n v="49"/>
    <x v="12"/>
    <x v="10"/>
    <x v="5"/>
    <n v="19"/>
    <x v="4"/>
    <m/>
    <x v="8"/>
    <n v="5"/>
    <s v="Y"/>
    <x v="1"/>
    <n v="0.83"/>
    <n v="0.83"/>
  </r>
  <r>
    <s v="FL250127"/>
    <s v="Austin Romero"/>
    <s v="Austin Romero"/>
    <s v="male"/>
    <s v="Male"/>
    <n v="30"/>
    <x v="11"/>
    <x v="9"/>
    <x v="1"/>
    <n v="10"/>
    <x v="3"/>
    <s v="$100"/>
    <x v="17"/>
    <n v="1.7"/>
    <s v="yes"/>
    <x v="1"/>
    <n v="0.64"/>
    <n v="0.64"/>
  </r>
  <r>
    <s v="FL250128"/>
    <s v="Clayton Burns"/>
    <s v="Clayton Burns"/>
    <s v="male"/>
    <s v="Male"/>
    <n v="31"/>
    <x v="16"/>
    <x v="13"/>
    <x v="2"/>
    <n v="8"/>
    <x v="3"/>
    <n v="40"/>
    <x v="10"/>
    <n v="4.4000000000000004"/>
    <n v="0"/>
    <x v="0"/>
    <n v="0.7"/>
    <n v="0.7"/>
  </r>
  <r>
    <s v="FL250129"/>
    <s v="Jonathan Clark"/>
    <s v="Jonathan Clark"/>
    <s v="m"/>
    <s v="Male"/>
    <n v="58"/>
    <x v="18"/>
    <x v="15"/>
    <x v="9"/>
    <n v="9"/>
    <x v="3"/>
    <n v="20"/>
    <x v="15"/>
    <n v="0"/>
    <s v="N"/>
    <x v="0"/>
    <n v="0.65"/>
    <n v="0.65"/>
  </r>
  <r>
    <s v="FL250130"/>
    <s v="Alexander Griffin"/>
    <s v="Alexander Griffin"/>
    <s v="male"/>
    <s v="Male"/>
    <n v="47"/>
    <x v="15"/>
    <x v="12"/>
    <x v="9"/>
    <n v="13"/>
    <x v="0"/>
    <n v="40"/>
    <x v="10"/>
    <n v="3.4"/>
    <m/>
    <x v="1"/>
    <n v="0.67"/>
    <n v="0.67"/>
  </r>
  <r>
    <s v="FL250131"/>
    <s v="Shelly Whitehead"/>
    <s v="Shelly Whitehead"/>
    <s v="f"/>
    <s v="Female"/>
    <n v="45"/>
    <x v="7"/>
    <x v="1"/>
    <x v="7"/>
    <n v="14"/>
    <x v="0"/>
    <s v="USD 100"/>
    <x v="1"/>
    <n v="1.1000000000000001"/>
    <s v="no"/>
    <x v="1"/>
    <n v="93"/>
    <n v="0.93"/>
  </r>
  <r>
    <s v="FL250132"/>
    <s v="Kaitlyn Davis"/>
    <s v="Kaitlyn Davis"/>
    <s v="FEMALE"/>
    <s v="Female"/>
    <n v="57"/>
    <x v="15"/>
    <x v="12"/>
    <x v="9"/>
    <n v="0"/>
    <x v="2"/>
    <n v="50"/>
    <x v="2"/>
    <n v="1.6"/>
    <s v="N"/>
    <x v="0"/>
    <n v="0.6"/>
    <n v="0.6"/>
  </r>
  <r>
    <s v="FL250133"/>
    <s v="Christopher Jones"/>
    <s v="Christopher Jones"/>
    <s v="male"/>
    <s v="Male"/>
    <n v="50"/>
    <x v="10"/>
    <x v="8"/>
    <x v="3"/>
    <n v="22"/>
    <x v="1"/>
    <n v="100"/>
    <x v="0"/>
    <n v="4.0999999999999996"/>
    <s v="N"/>
    <x v="0"/>
    <n v="0.62"/>
    <n v="0.62"/>
  </r>
  <r>
    <s v="FL250134"/>
    <s v="Cindy Jacobs"/>
    <s v="Cindy Jacobs"/>
    <s v="FEMALE"/>
    <s v="Female"/>
    <m/>
    <x v="11"/>
    <x v="9"/>
    <x v="9"/>
    <n v="4"/>
    <x v="2"/>
    <m/>
    <x v="8"/>
    <n v="2.5"/>
    <m/>
    <x v="1"/>
    <n v="0.7"/>
    <n v="0.7"/>
  </r>
  <r>
    <s v="FL250135"/>
    <s v="Penny Day"/>
    <s v="Penny Day"/>
    <s v="FEMALE"/>
    <s v="Female"/>
    <n v="45"/>
    <x v="4"/>
    <x v="4"/>
    <x v="0"/>
    <n v="22"/>
    <x v="1"/>
    <s v="$100"/>
    <x v="17"/>
    <n v="4"/>
    <s v="Y"/>
    <x v="1"/>
    <n v="0.75"/>
    <n v="0.75"/>
  </r>
  <r>
    <s v="FL250136"/>
    <s v="Thomas Ingram"/>
    <s v="Thomas Ingram"/>
    <s v="male"/>
    <s v="Male"/>
    <n v="60"/>
    <x v="17"/>
    <x v="14"/>
    <x v="7"/>
    <n v="39"/>
    <x v="1"/>
    <n v="75"/>
    <x v="11"/>
    <n v="1.4"/>
    <s v="no"/>
    <x v="0"/>
    <n v="0.7"/>
    <n v="0.7"/>
  </r>
  <r>
    <s v="FL250137"/>
    <s v="Donna Hansen"/>
    <s v="Donna Hansen"/>
    <s v="FEMALE"/>
    <s v="Female"/>
    <n v="43"/>
    <x v="7"/>
    <x v="1"/>
    <x v="7"/>
    <n v="5"/>
    <x v="2"/>
    <s v="USD 50"/>
    <x v="12"/>
    <m/>
    <n v="1"/>
    <x v="1"/>
    <n v="0.84"/>
    <n v="0.84"/>
  </r>
  <r>
    <s v="FL250138"/>
    <s v="Donna Bailey"/>
    <s v="Donna Bailey"/>
    <s v="f"/>
    <s v="Female"/>
    <n v="39"/>
    <x v="15"/>
    <x v="12"/>
    <x v="7"/>
    <n v="5"/>
    <x v="2"/>
    <s v="USD 40"/>
    <x v="7"/>
    <n v="1.2"/>
    <n v="0"/>
    <x v="1"/>
    <n v="83"/>
    <n v="0.83"/>
  </r>
  <r>
    <s v="FL250139"/>
    <s v="Joshua Armstrong"/>
    <s v="Joshua Armstrong"/>
    <s v="male"/>
    <s v="Male"/>
    <n v="26"/>
    <x v="19"/>
    <x v="6"/>
    <x v="6"/>
    <n v="5"/>
    <x v="2"/>
    <n v="50"/>
    <x v="2"/>
    <n v="0"/>
    <s v="N"/>
    <x v="0"/>
    <m/>
    <m/>
  </r>
  <r>
    <s v="FL250140"/>
    <s v="Jonathan Garza"/>
    <s v="Jonathan Garza"/>
    <s v="m"/>
    <s v="Male"/>
    <n v="31"/>
    <x v="2"/>
    <x v="2"/>
    <x v="7"/>
    <n v="11"/>
    <x v="0"/>
    <n v="50"/>
    <x v="2"/>
    <n v="3.1"/>
    <b v="0"/>
    <x v="0"/>
    <n v="0.88"/>
    <n v="0.88"/>
  </r>
  <r>
    <s v="FL250141"/>
    <s v="Charles Jones"/>
    <s v="Charles Jones"/>
    <s v="m"/>
    <s v="Male"/>
    <n v="52"/>
    <x v="15"/>
    <x v="12"/>
    <x v="6"/>
    <n v="15"/>
    <x v="0"/>
    <n v="50"/>
    <x v="2"/>
    <n v="0"/>
    <s v="yes"/>
    <x v="2"/>
    <n v="0.81"/>
    <n v="0.81"/>
  </r>
  <r>
    <s v="FL250142"/>
    <s v="Lindsey Miles"/>
    <s v="Lindsey Miles"/>
    <s v="FEMALE"/>
    <s v="Female"/>
    <n v="34"/>
    <x v="10"/>
    <x v="8"/>
    <x v="5"/>
    <n v="5"/>
    <x v="2"/>
    <s v="USD 20"/>
    <x v="18"/>
    <n v="2.2000000000000002"/>
    <s v="Y"/>
    <x v="1"/>
    <n v="0.8"/>
    <n v="0.8"/>
  </r>
  <r>
    <s v="FL250143"/>
    <s v="Eduardo Reed"/>
    <s v="Eduardo Reed"/>
    <s v="male"/>
    <s v="Male"/>
    <n v="45"/>
    <x v="7"/>
    <x v="1"/>
    <x v="3"/>
    <n v="7"/>
    <x v="3"/>
    <n v="75"/>
    <x v="11"/>
    <n v="3"/>
    <n v="1"/>
    <x v="2"/>
    <n v="0.67"/>
    <n v="0.67"/>
  </r>
  <r>
    <s v="FL250144"/>
    <s v="Lee Fowler"/>
    <s v="Lee Fowler"/>
    <s v="m"/>
    <s v="Male"/>
    <n v="46"/>
    <x v="7"/>
    <x v="1"/>
    <x v="7"/>
    <n v="9"/>
    <x v="3"/>
    <s v="$20"/>
    <x v="14"/>
    <n v="0"/>
    <s v="N"/>
    <x v="1"/>
    <n v="0.82"/>
    <n v="0.82"/>
  </r>
  <r>
    <s v="FL250145"/>
    <s v="Steven Jones Jr."/>
    <s v="Steven Jones Jr."/>
    <s v="m"/>
    <s v="Male"/>
    <n v="56"/>
    <x v="15"/>
    <x v="12"/>
    <x v="6"/>
    <n v="21"/>
    <x v="1"/>
    <s v="USD 100"/>
    <x v="1"/>
    <n v="0"/>
    <b v="1"/>
    <x v="1"/>
    <n v="78"/>
    <n v="0.78"/>
  </r>
  <r>
    <s v="FL250146"/>
    <s v="Ashley Chen"/>
    <s v="Ashley Chen"/>
    <s v="FEMALE"/>
    <s v="Female"/>
    <n v="59"/>
    <x v="2"/>
    <x v="2"/>
    <x v="4"/>
    <n v="7"/>
    <x v="3"/>
    <s v="$40"/>
    <x v="3"/>
    <n v="1.4"/>
    <b v="0"/>
    <x v="1"/>
    <n v="0.81"/>
    <n v="0.81"/>
  </r>
  <r>
    <s v="FL250147"/>
    <s v="Erica Davis"/>
    <s v="Erica Davis"/>
    <s v="FEMALE"/>
    <s v="Female"/>
    <n v="54"/>
    <x v="16"/>
    <x v="13"/>
    <x v="0"/>
    <n v="4"/>
    <x v="2"/>
    <m/>
    <x v="8"/>
    <n v="1.4"/>
    <b v="1"/>
    <x v="1"/>
    <n v="0.74"/>
    <n v="0.74"/>
  </r>
  <r>
    <s v="FL250148"/>
    <s v="Wayne Gonzales"/>
    <s v="Wayne Gonzales"/>
    <s v="m"/>
    <s v="Male"/>
    <n v="36"/>
    <x v="2"/>
    <x v="2"/>
    <x v="6"/>
    <n v="7"/>
    <x v="3"/>
    <n v="30"/>
    <x v="4"/>
    <n v="0"/>
    <s v="N"/>
    <x v="0"/>
    <n v="0.88"/>
    <n v="0.88"/>
  </r>
  <r>
    <s v="FL250149"/>
    <s v="Gary Ballard"/>
    <s v="Gary Ballard"/>
    <s v="male"/>
    <s v="Male"/>
    <n v="25"/>
    <x v="19"/>
    <x v="6"/>
    <x v="5"/>
    <n v="0"/>
    <x v="2"/>
    <n v="40"/>
    <x v="10"/>
    <n v="0"/>
    <n v="0"/>
    <x v="0"/>
    <n v="0.9"/>
    <n v="0.9"/>
  </r>
  <r>
    <s v="FL250150"/>
    <s v="Maria Mcguire"/>
    <s v="Maria Mcguire"/>
    <s v="FEMALE"/>
    <s v="Female"/>
    <n v="37"/>
    <x v="13"/>
    <x v="11"/>
    <x v="5"/>
    <n v="15"/>
    <x v="0"/>
    <s v="$40"/>
    <x v="3"/>
    <n v="2.9"/>
    <b v="0"/>
    <x v="1"/>
    <m/>
    <m/>
  </r>
  <r>
    <s v="FL250151"/>
    <s v="Matthew Richards"/>
    <s v="Matthew Richards"/>
    <s v="m"/>
    <s v="Male"/>
    <m/>
    <x v="6"/>
    <x v="5"/>
    <x v="5"/>
    <n v="10"/>
    <x v="3"/>
    <s v="USD 40"/>
    <x v="7"/>
    <n v="0"/>
    <m/>
    <x v="1"/>
    <m/>
    <m/>
  </r>
  <r>
    <s v="FL250152"/>
    <s v="Patrick Malone"/>
    <s v="Patrick Malone"/>
    <s v="m"/>
    <s v="Male"/>
    <n v="29"/>
    <x v="20"/>
    <x v="6"/>
    <x v="5"/>
    <n v="11"/>
    <x v="0"/>
    <n v="20"/>
    <x v="15"/>
    <n v="2.7"/>
    <s v="no"/>
    <x v="0"/>
    <n v="0.93"/>
    <n v="0.93"/>
  </r>
  <r>
    <s v="FL250153"/>
    <s v="Cindy Martin"/>
    <s v="Cindy Martin"/>
    <s v="FEMALE"/>
    <s v="Female"/>
    <n v="55"/>
    <x v="8"/>
    <x v="6"/>
    <x v="1"/>
    <n v="12"/>
    <x v="0"/>
    <n v="100"/>
    <x v="0"/>
    <n v="1.8"/>
    <n v="1"/>
    <x v="2"/>
    <m/>
    <m/>
  </r>
  <r>
    <s v="FL250154"/>
    <s v="Anne Edwards"/>
    <s v="Anne Edwards"/>
    <s v="FEMALE"/>
    <s v="Female"/>
    <n v="38"/>
    <x v="9"/>
    <x v="7"/>
    <x v="8"/>
    <n v="20"/>
    <x v="4"/>
    <s v="$75"/>
    <x v="16"/>
    <n v="1.1000000000000001"/>
    <s v="no"/>
    <x v="1"/>
    <n v="0.71"/>
    <n v="0.71"/>
  </r>
  <r>
    <s v="FL250155"/>
    <s v="Mitchell Martin"/>
    <s v="Mitchell Martin"/>
    <s v="male"/>
    <s v="Male"/>
    <n v="47"/>
    <x v="12"/>
    <x v="10"/>
    <x v="8"/>
    <n v="29"/>
    <x v="1"/>
    <s v="$40"/>
    <x v="3"/>
    <n v="4.3"/>
    <n v="1"/>
    <x v="1"/>
    <n v="0.95"/>
    <n v="0.95"/>
  </r>
  <r>
    <s v="FL250156"/>
    <s v="Mitchell Patrick"/>
    <s v="Mitchell Patrick"/>
    <s v="m"/>
    <s v="Male"/>
    <n v="60"/>
    <x v="11"/>
    <x v="9"/>
    <x v="3"/>
    <n v="15"/>
    <x v="0"/>
    <n v="100"/>
    <x v="0"/>
    <n v="1.5"/>
    <n v="0"/>
    <x v="0"/>
    <n v="80"/>
    <n v="0.8"/>
  </r>
  <r>
    <s v="FL250157"/>
    <s v="Rebecca Lyons"/>
    <s v="Rebecca Lyons"/>
    <s v="FEMALE"/>
    <s v="Female"/>
    <n v="43"/>
    <x v="0"/>
    <x v="0"/>
    <x v="5"/>
    <n v="9"/>
    <x v="3"/>
    <s v="$20"/>
    <x v="14"/>
    <n v="2.2000000000000002"/>
    <s v="N"/>
    <x v="1"/>
    <m/>
    <m/>
  </r>
  <r>
    <s v="FL250158"/>
    <s v="Christian Lopez"/>
    <s v="Christian Lopez"/>
    <s v="male"/>
    <s v="Male"/>
    <n v="56"/>
    <x v="17"/>
    <x v="14"/>
    <x v="5"/>
    <m/>
    <x v="2"/>
    <n v="100"/>
    <x v="0"/>
    <n v="3.2"/>
    <n v="0"/>
    <x v="0"/>
    <n v="0.62"/>
    <n v="0.62"/>
  </r>
  <r>
    <s v="FL250159"/>
    <s v="Nathan Blair"/>
    <s v="Nathan Blair"/>
    <s v="male"/>
    <s v="Male"/>
    <n v="42"/>
    <x v="13"/>
    <x v="11"/>
    <x v="8"/>
    <n v="2"/>
    <x v="2"/>
    <s v="$50"/>
    <x v="9"/>
    <n v="1.9"/>
    <b v="0"/>
    <x v="1"/>
    <n v="0.95"/>
    <n v="0.95"/>
  </r>
  <r>
    <s v="FL250160"/>
    <s v="Patricia Lopez"/>
    <s v="Patricia Lopez"/>
    <s v="FEMALE"/>
    <s v="Female"/>
    <n v="20"/>
    <x v="20"/>
    <x v="6"/>
    <x v="2"/>
    <n v="0"/>
    <x v="2"/>
    <n v="40"/>
    <x v="10"/>
    <n v="2.5"/>
    <n v="0"/>
    <x v="0"/>
    <n v="0.79"/>
    <n v="0.79"/>
  </r>
  <r>
    <s v="FL250161"/>
    <s v="Michelle Wu"/>
    <s v="Michelle Wu"/>
    <s v="FEMALE"/>
    <s v="Female"/>
    <n v="47"/>
    <x v="4"/>
    <x v="4"/>
    <x v="6"/>
    <n v="12"/>
    <x v="0"/>
    <n v="40"/>
    <x v="10"/>
    <n v="4.5"/>
    <s v="no"/>
    <x v="0"/>
    <n v="0.62"/>
    <n v="0.62"/>
  </r>
  <r>
    <s v="FL250162"/>
    <s v="Donald Mitchell"/>
    <s v="Donald Mitchell"/>
    <s v="m"/>
    <s v="Male"/>
    <m/>
    <x v="8"/>
    <x v="6"/>
    <x v="5"/>
    <n v="12"/>
    <x v="0"/>
    <s v="$30"/>
    <x v="5"/>
    <n v="4.0999999999999996"/>
    <s v="no"/>
    <x v="1"/>
    <n v="0.68"/>
    <n v="0.68"/>
  </r>
  <r>
    <s v="FL250163"/>
    <s v="Sean Gordon"/>
    <s v="Sean Gordon"/>
    <s v="m"/>
    <s v="Male"/>
    <n v="56"/>
    <x v="4"/>
    <x v="4"/>
    <x v="8"/>
    <n v="15"/>
    <x v="0"/>
    <s v="USD 75"/>
    <x v="6"/>
    <n v="0"/>
    <s v="no"/>
    <x v="1"/>
    <m/>
    <m/>
  </r>
  <r>
    <s v="FL250164"/>
    <s v="Gregory Clarke"/>
    <s v="Gregory Clarke"/>
    <s v="male"/>
    <s v="Male"/>
    <n v="59"/>
    <x v="7"/>
    <x v="1"/>
    <x v="8"/>
    <n v="29"/>
    <x v="1"/>
    <s v="USD 75"/>
    <x v="6"/>
    <m/>
    <n v="0"/>
    <x v="1"/>
    <n v="0.8"/>
    <n v="0.8"/>
  </r>
  <r>
    <s v="FL250165"/>
    <s v="Steven Whitney"/>
    <s v="Steven Whitney"/>
    <s v="male"/>
    <s v="Male"/>
    <n v="56"/>
    <x v="9"/>
    <x v="7"/>
    <x v="7"/>
    <n v="15"/>
    <x v="0"/>
    <n v="40"/>
    <x v="10"/>
    <n v="3.7"/>
    <m/>
    <x v="1"/>
    <n v="0.92"/>
    <n v="0.92"/>
  </r>
  <r>
    <s v="FL250166"/>
    <s v="Robin Acosta"/>
    <s v="Robin Acosta"/>
    <s v="FEMALE"/>
    <s v="Female"/>
    <n v="31"/>
    <x v="17"/>
    <x v="14"/>
    <x v="3"/>
    <m/>
    <x v="2"/>
    <s v="USD 75"/>
    <x v="6"/>
    <n v="1.3"/>
    <n v="1"/>
    <x v="1"/>
    <n v="0.65"/>
    <n v="0.65"/>
  </r>
  <r>
    <s v="FL250167"/>
    <s v="John Smith"/>
    <s v="John Smith"/>
    <s v="m"/>
    <s v="Male"/>
    <n v="60"/>
    <x v="12"/>
    <x v="10"/>
    <x v="1"/>
    <n v="33"/>
    <x v="1"/>
    <n v="40"/>
    <x v="10"/>
    <n v="3.6"/>
    <n v="1"/>
    <x v="2"/>
    <n v="0.87"/>
    <n v="0.87"/>
  </r>
  <r>
    <s v="FL250168"/>
    <s v="Susan Baker"/>
    <s v="Susan Baker"/>
    <s v="FEMALE"/>
    <s v="Female"/>
    <n v="31"/>
    <x v="14"/>
    <x v="1"/>
    <x v="3"/>
    <n v="10"/>
    <x v="3"/>
    <n v="75"/>
    <x v="11"/>
    <n v="0"/>
    <s v="no"/>
    <x v="0"/>
    <n v="0.7"/>
    <n v="0.7"/>
  </r>
  <r>
    <s v="FL250169"/>
    <s v="Anthony Larsen"/>
    <s v="Anthony Larsen"/>
    <s v="male"/>
    <s v="Male"/>
    <n v="60"/>
    <x v="8"/>
    <x v="6"/>
    <x v="7"/>
    <n v="20"/>
    <x v="4"/>
    <n v="40"/>
    <x v="10"/>
    <n v="1.4"/>
    <s v="no"/>
    <x v="0"/>
    <n v="87"/>
    <n v="0.87"/>
  </r>
  <r>
    <s v="FL250170"/>
    <s v="Nicholas Carpenter"/>
    <s v="Nicholas Carpenter"/>
    <s v="male"/>
    <s v="Male"/>
    <n v="46"/>
    <x v="15"/>
    <x v="12"/>
    <x v="8"/>
    <n v="23"/>
    <x v="1"/>
    <n v="20"/>
    <x v="15"/>
    <n v="2.9"/>
    <s v="N"/>
    <x v="0"/>
    <n v="0.72"/>
    <n v="0.72"/>
  </r>
  <r>
    <s v="FL250171"/>
    <s v="Debra Salazar"/>
    <s v="Debra Salazar"/>
    <s v="f"/>
    <s v="Female"/>
    <m/>
    <x v="3"/>
    <x v="3"/>
    <x v="0"/>
    <m/>
    <x v="2"/>
    <n v="40"/>
    <x v="10"/>
    <n v="2.8"/>
    <s v="N"/>
    <x v="0"/>
    <n v="0.8"/>
    <n v="0.8"/>
  </r>
  <r>
    <s v="FL250172"/>
    <s v="William Smith"/>
    <s v="William Smith"/>
    <s v="male"/>
    <s v="Male"/>
    <n v="34"/>
    <x v="9"/>
    <x v="7"/>
    <x v="6"/>
    <n v="0"/>
    <x v="2"/>
    <n v="20"/>
    <x v="15"/>
    <n v="1.7"/>
    <n v="0"/>
    <x v="0"/>
    <n v="0.66"/>
    <n v="0.66"/>
  </r>
  <r>
    <s v="FL250173"/>
    <s v="Caroline Gross"/>
    <s v="Caroline Gross"/>
    <s v="f"/>
    <s v="Female"/>
    <n v="42"/>
    <x v="3"/>
    <x v="3"/>
    <x v="2"/>
    <n v="7"/>
    <x v="3"/>
    <s v="USD 40"/>
    <x v="7"/>
    <n v="0"/>
    <n v="1"/>
    <x v="1"/>
    <m/>
    <m/>
  </r>
  <r>
    <s v="FL250174"/>
    <s v="Jeremy Sawyer"/>
    <s v="Jeremy Sawyer"/>
    <s v="m"/>
    <s v="Male"/>
    <n v="31"/>
    <x v="7"/>
    <x v="1"/>
    <x v="5"/>
    <n v="4"/>
    <x v="2"/>
    <s v="USD 75"/>
    <x v="6"/>
    <n v="1.1000000000000001"/>
    <b v="1"/>
    <x v="1"/>
    <n v="0.64"/>
    <n v="0.64"/>
  </r>
  <r>
    <s v="FL250175"/>
    <s v="Eduardo Burns"/>
    <s v="Eduardo Burns"/>
    <s v="male"/>
    <s v="Male"/>
    <n v="29"/>
    <x v="11"/>
    <x v="9"/>
    <x v="6"/>
    <n v="9"/>
    <x v="3"/>
    <n v="20"/>
    <x v="15"/>
    <m/>
    <m/>
    <x v="1"/>
    <n v="0.68"/>
    <n v="0.68"/>
  </r>
  <r>
    <s v="FL250176"/>
    <s v="Amanda Jones"/>
    <s v="Amanda Jones"/>
    <s v="FEMALE"/>
    <s v="Female"/>
    <n v="57"/>
    <x v="1"/>
    <x v="1"/>
    <x v="2"/>
    <n v="17"/>
    <x v="4"/>
    <n v="20"/>
    <x v="15"/>
    <n v="3.6"/>
    <n v="0"/>
    <x v="0"/>
    <n v="0.63"/>
    <n v="0.63"/>
  </r>
  <r>
    <s v="FL250177"/>
    <s v="Frederick Ware"/>
    <s v="Frederick Ware"/>
    <s v="male"/>
    <s v="Male"/>
    <n v="47"/>
    <x v="10"/>
    <x v="8"/>
    <x v="8"/>
    <n v="8"/>
    <x v="3"/>
    <n v="20"/>
    <x v="15"/>
    <n v="4.5"/>
    <n v="1"/>
    <x v="2"/>
    <n v="0.72"/>
    <n v="0.72"/>
  </r>
  <r>
    <s v="FL250178"/>
    <s v="Michael Black"/>
    <s v="Michael Black"/>
    <s v="male"/>
    <s v="Male"/>
    <n v="47"/>
    <x v="17"/>
    <x v="14"/>
    <x v="4"/>
    <n v="14"/>
    <x v="0"/>
    <s v="$30"/>
    <x v="5"/>
    <n v="0"/>
    <b v="1"/>
    <x v="1"/>
    <n v="0.86"/>
    <n v="0.86"/>
  </r>
  <r>
    <s v="FL250179"/>
    <s v="Patricia Sanders"/>
    <s v="Patricia Sanders"/>
    <s v="FEMALE"/>
    <s v="Female"/>
    <n v="45"/>
    <x v="15"/>
    <x v="12"/>
    <x v="2"/>
    <n v="21"/>
    <x v="1"/>
    <s v="USD 30"/>
    <x v="13"/>
    <n v="1.5"/>
    <n v="1"/>
    <x v="1"/>
    <n v="0.73"/>
    <n v="0.73"/>
  </r>
  <r>
    <s v="FL250180"/>
    <s v="Marc Joseph"/>
    <s v="Marc Joseph"/>
    <s v="m"/>
    <s v="Male"/>
    <n v="24"/>
    <x v="6"/>
    <x v="5"/>
    <x v="9"/>
    <n v="1"/>
    <x v="2"/>
    <s v="$30"/>
    <x v="5"/>
    <n v="3.7"/>
    <s v="no"/>
    <x v="1"/>
    <n v="0.95"/>
    <n v="0.95"/>
  </r>
  <r>
    <s v="FL250181"/>
    <s v="Vanessa White"/>
    <s v="Vanessa White"/>
    <s v="FEMALE"/>
    <s v="Female"/>
    <n v="31"/>
    <x v="8"/>
    <x v="6"/>
    <x v="1"/>
    <n v="12"/>
    <x v="0"/>
    <n v="20"/>
    <x v="15"/>
    <n v="2.2999999999999998"/>
    <b v="0"/>
    <x v="0"/>
    <n v="0.9"/>
    <n v="0.9"/>
  </r>
  <r>
    <s v="FL250182"/>
    <s v="Jennifer Garcia"/>
    <s v="Jennifer Garcia"/>
    <s v="f"/>
    <s v="Female"/>
    <n v="20"/>
    <x v="19"/>
    <x v="6"/>
    <x v="2"/>
    <n v="2"/>
    <x v="2"/>
    <s v="$20"/>
    <x v="14"/>
    <n v="2.8"/>
    <n v="0"/>
    <x v="1"/>
    <n v="0.78"/>
    <n v="0.78"/>
  </r>
  <r>
    <s v="FL250183"/>
    <s v="Michael Zavala"/>
    <s v="Michael Zavala"/>
    <s v="male"/>
    <s v="Male"/>
    <n v="38"/>
    <x v="9"/>
    <x v="7"/>
    <x v="3"/>
    <n v="3"/>
    <x v="2"/>
    <n v="30"/>
    <x v="4"/>
    <n v="3.5"/>
    <s v="no"/>
    <x v="0"/>
    <n v="0.97"/>
    <n v="0.97"/>
  </r>
  <r>
    <s v="FL250184"/>
    <s v="Kimberly Williams"/>
    <s v="Kimberly Williams"/>
    <s v="FEMALE"/>
    <s v="Female"/>
    <n v="33"/>
    <x v="2"/>
    <x v="2"/>
    <x v="6"/>
    <n v="11"/>
    <x v="0"/>
    <m/>
    <x v="8"/>
    <n v="0"/>
    <s v="yes"/>
    <x v="1"/>
    <n v="0.65"/>
    <n v="0.65"/>
  </r>
  <r>
    <s v="FL250185"/>
    <s v="Elizabeth Jenkins"/>
    <s v="Elizabeth Jenkins"/>
    <s v="f"/>
    <s v="Female"/>
    <n v="31"/>
    <x v="1"/>
    <x v="1"/>
    <x v="3"/>
    <n v="4"/>
    <x v="2"/>
    <n v="40"/>
    <x v="10"/>
    <n v="3.2"/>
    <n v="1"/>
    <x v="2"/>
    <n v="0.78"/>
    <n v="0.78"/>
  </r>
  <r>
    <s v="FL250186"/>
    <s v="Brandon Ford"/>
    <s v="Brandon Ford"/>
    <s v="m"/>
    <s v="Male"/>
    <n v="41"/>
    <x v="20"/>
    <x v="6"/>
    <x v="9"/>
    <n v="21"/>
    <x v="1"/>
    <n v="50"/>
    <x v="2"/>
    <n v="3.3"/>
    <s v="Y"/>
    <x v="2"/>
    <n v="0.65"/>
    <n v="0.65"/>
  </r>
  <r>
    <s v="FL250187"/>
    <s v="Justin House"/>
    <s v="Justin House"/>
    <s v="male"/>
    <s v="Male"/>
    <n v="54"/>
    <x v="6"/>
    <x v="5"/>
    <x v="3"/>
    <n v="0"/>
    <x v="2"/>
    <s v="$20"/>
    <x v="14"/>
    <n v="4.9000000000000004"/>
    <m/>
    <x v="1"/>
    <m/>
    <m/>
  </r>
  <r>
    <s v="FL250188"/>
    <s v="Henry Mullen"/>
    <s v="Henry Mullen"/>
    <s v="male"/>
    <s v="Male"/>
    <n v="50"/>
    <x v="19"/>
    <x v="6"/>
    <x v="5"/>
    <n v="6"/>
    <x v="3"/>
    <n v="30"/>
    <x v="4"/>
    <n v="2.2000000000000002"/>
    <n v="1"/>
    <x v="2"/>
    <n v="0.95"/>
    <n v="0.95"/>
  </r>
  <r>
    <s v="FL250189"/>
    <s v="Jesse Cochran"/>
    <s v="Jesse Cochran"/>
    <s v="male"/>
    <s v="Male"/>
    <n v="48"/>
    <x v="11"/>
    <x v="9"/>
    <x v="9"/>
    <n v="18"/>
    <x v="4"/>
    <s v="USD 40"/>
    <x v="7"/>
    <m/>
    <n v="1"/>
    <x v="1"/>
    <n v="0.88"/>
    <n v="0.88"/>
  </r>
  <r>
    <s v="FL250190"/>
    <s v="Melissa Rich"/>
    <s v="Melissa Rich"/>
    <s v="f"/>
    <s v="Female"/>
    <n v="49"/>
    <x v="19"/>
    <x v="6"/>
    <x v="2"/>
    <m/>
    <x v="2"/>
    <m/>
    <x v="8"/>
    <n v="1.8"/>
    <n v="0"/>
    <x v="1"/>
    <m/>
    <m/>
  </r>
  <r>
    <s v="FL250191"/>
    <s v="Patrick Dunlap"/>
    <s v="Patrick Dunlap"/>
    <s v="male"/>
    <s v="Male"/>
    <n v="21"/>
    <x v="12"/>
    <x v="10"/>
    <x v="2"/>
    <n v="1"/>
    <x v="2"/>
    <n v="75"/>
    <x v="11"/>
    <n v="4.5999999999999996"/>
    <n v="0"/>
    <x v="0"/>
    <n v="0.92"/>
    <n v="0.92"/>
  </r>
  <r>
    <s v="FL250192"/>
    <s v="Troy Carson"/>
    <s v="Troy Carson"/>
    <s v="m"/>
    <s v="Male"/>
    <n v="58"/>
    <x v="1"/>
    <x v="1"/>
    <x v="2"/>
    <n v="20"/>
    <x v="4"/>
    <n v="75"/>
    <x v="11"/>
    <n v="2.8"/>
    <s v="no"/>
    <x v="0"/>
    <n v="0.75"/>
    <n v="0.75"/>
  </r>
  <r>
    <s v="FL250193"/>
    <s v="Matthew Smith"/>
    <s v="Matthew Smith"/>
    <s v="male"/>
    <s v="Male"/>
    <n v="41"/>
    <x v="0"/>
    <x v="0"/>
    <x v="8"/>
    <m/>
    <x v="2"/>
    <s v="$30"/>
    <x v="5"/>
    <n v="1.4"/>
    <b v="0"/>
    <x v="1"/>
    <n v="0.74"/>
    <n v="0.74"/>
  </r>
  <r>
    <s v="FL250194"/>
    <s v="Jennifer Cherry"/>
    <s v="Jennifer Cherry"/>
    <s v="f"/>
    <s v="Female"/>
    <n v="58"/>
    <x v="13"/>
    <x v="11"/>
    <x v="0"/>
    <n v="25"/>
    <x v="1"/>
    <s v="$30"/>
    <x v="5"/>
    <n v="4.2"/>
    <s v="Y"/>
    <x v="1"/>
    <n v="0.71"/>
    <n v="0.71"/>
  </r>
  <r>
    <s v="FL250195"/>
    <s v="Brandi Tucker"/>
    <s v="Brandi Tucker"/>
    <s v="FEMALE"/>
    <s v="Female"/>
    <n v="50"/>
    <x v="17"/>
    <x v="14"/>
    <x v="2"/>
    <n v="20"/>
    <x v="4"/>
    <s v="USD 40"/>
    <x v="7"/>
    <n v="3.6"/>
    <n v="1"/>
    <x v="1"/>
    <n v="0.89"/>
    <n v="0.89"/>
  </r>
  <r>
    <s v="FL250196"/>
    <s v="Zachary Burke"/>
    <s v="Zachary Burke"/>
    <s v="m"/>
    <s v="Male"/>
    <n v="52"/>
    <x v="4"/>
    <x v="4"/>
    <x v="3"/>
    <n v="33"/>
    <x v="1"/>
    <s v="$100"/>
    <x v="17"/>
    <n v="1.6"/>
    <m/>
    <x v="1"/>
    <n v="0.66"/>
    <n v="0.66"/>
  </r>
  <r>
    <s v="FL250197"/>
    <s v="Thomas Jones"/>
    <s v="Thomas Jones"/>
    <s v="m"/>
    <s v="Male"/>
    <n v="34"/>
    <x v="3"/>
    <x v="3"/>
    <x v="5"/>
    <n v="6"/>
    <x v="3"/>
    <s v="$100"/>
    <x v="17"/>
    <n v="2"/>
    <s v="no"/>
    <x v="1"/>
    <m/>
    <m/>
  </r>
  <r>
    <s v="FL250198"/>
    <s v="Brian Dunn"/>
    <s v="Brian Dunn"/>
    <s v="male"/>
    <s v="Male"/>
    <n v="32"/>
    <x v="15"/>
    <x v="12"/>
    <x v="9"/>
    <n v="11"/>
    <x v="0"/>
    <n v="40"/>
    <x v="10"/>
    <n v="4.3"/>
    <b v="1"/>
    <x v="2"/>
    <n v="0.86"/>
    <n v="0.86"/>
  </r>
  <r>
    <s v="FL250199"/>
    <s v="Shirley Strickland"/>
    <s v="Shirley Strickland"/>
    <s v="f"/>
    <s v="Female"/>
    <n v="50"/>
    <x v="10"/>
    <x v="8"/>
    <x v="2"/>
    <n v="28"/>
    <x v="1"/>
    <s v="$100"/>
    <x v="17"/>
    <n v="4.9000000000000004"/>
    <s v="Y"/>
    <x v="1"/>
    <n v="0.86"/>
    <n v="0.86"/>
  </r>
  <r>
    <s v="FL250200"/>
    <s v="Nicole Meyers"/>
    <s v="Nicole Meyers"/>
    <s v="FEMALE"/>
    <s v="Female"/>
    <n v="39"/>
    <x v="8"/>
    <x v="6"/>
    <x v="5"/>
    <n v="11"/>
    <x v="0"/>
    <n v="100"/>
    <x v="0"/>
    <n v="3.5"/>
    <s v="Y"/>
    <x v="2"/>
    <n v="0.82"/>
    <n v="0.82"/>
  </r>
  <r>
    <s v="FL250201"/>
    <s v="Jill Stephens"/>
    <s v="Jill Stephens"/>
    <s v="f"/>
    <s v="Female"/>
    <n v="25"/>
    <x v="20"/>
    <x v="6"/>
    <x v="4"/>
    <n v="2"/>
    <x v="2"/>
    <n v="100"/>
    <x v="0"/>
    <n v="2.5"/>
    <s v="no"/>
    <x v="0"/>
    <n v="87"/>
    <n v="0.87"/>
  </r>
  <r>
    <s v="FL250202"/>
    <s v="Heidi Miranda"/>
    <s v="Heidi Miranda"/>
    <s v="FEMALE"/>
    <s v="Female"/>
    <n v="55"/>
    <x v="18"/>
    <x v="15"/>
    <x v="9"/>
    <n v="7"/>
    <x v="3"/>
    <n v="100"/>
    <x v="0"/>
    <n v="1.7"/>
    <n v="1"/>
    <x v="2"/>
    <n v="0.8"/>
    <n v="0.8"/>
  </r>
  <r>
    <s v="FL250203"/>
    <s v="Jesus Martinez"/>
    <s v="Jesus Martinez"/>
    <s v="m"/>
    <s v="Male"/>
    <n v="42"/>
    <x v="0"/>
    <x v="0"/>
    <x v="8"/>
    <n v="10"/>
    <x v="3"/>
    <s v="USD 100"/>
    <x v="1"/>
    <n v="4.5999999999999996"/>
    <s v="Y"/>
    <x v="1"/>
    <n v="0.71"/>
    <n v="0.71"/>
  </r>
  <r>
    <s v="FL250204"/>
    <s v="Adam Payne"/>
    <s v="Adam Payne"/>
    <s v="male"/>
    <s v="Male"/>
    <n v="43"/>
    <x v="13"/>
    <x v="11"/>
    <x v="1"/>
    <n v="6"/>
    <x v="3"/>
    <n v="50"/>
    <x v="2"/>
    <m/>
    <s v="N"/>
    <x v="0"/>
    <n v="0.77"/>
    <n v="0.77"/>
  </r>
  <r>
    <s v="FL250205"/>
    <s v="Walter Williams"/>
    <s v="Walter Williams"/>
    <s v="m"/>
    <s v="Male"/>
    <n v="54"/>
    <x v="0"/>
    <x v="0"/>
    <x v="8"/>
    <n v="29"/>
    <x v="1"/>
    <s v="$30"/>
    <x v="5"/>
    <n v="1.7"/>
    <n v="0"/>
    <x v="1"/>
    <n v="68"/>
    <n v="0.68"/>
  </r>
  <r>
    <s v="FL250206"/>
    <s v="Shannon Farmer"/>
    <s v="Shannon Farmer"/>
    <s v="FEMALE"/>
    <s v="Female"/>
    <n v="21"/>
    <x v="16"/>
    <x v="13"/>
    <x v="2"/>
    <n v="0"/>
    <x v="2"/>
    <n v="20"/>
    <x v="15"/>
    <n v="1.8"/>
    <s v="N"/>
    <x v="0"/>
    <n v="0.91"/>
    <n v="0.91"/>
  </r>
  <r>
    <s v="FL250207"/>
    <s v="Peter Reyes"/>
    <s v="Peter Reyes"/>
    <s v="m"/>
    <s v="Male"/>
    <n v="46"/>
    <x v="14"/>
    <x v="1"/>
    <x v="6"/>
    <n v="5"/>
    <x v="2"/>
    <n v="20"/>
    <x v="15"/>
    <n v="2.2000000000000002"/>
    <b v="0"/>
    <x v="0"/>
    <n v="0.75"/>
    <n v="0.75"/>
  </r>
  <r>
    <s v="FL250208"/>
    <s v="Kristen Knight"/>
    <s v="Kristen Knight"/>
    <s v="f"/>
    <s v="Female"/>
    <n v="30"/>
    <x v="20"/>
    <x v="6"/>
    <x v="0"/>
    <n v="11"/>
    <x v="0"/>
    <n v="40"/>
    <x v="10"/>
    <n v="1"/>
    <s v="N"/>
    <x v="0"/>
    <n v="0.9"/>
    <n v="0.9"/>
  </r>
  <r>
    <s v="FL250209"/>
    <s v="William Moore Jr."/>
    <s v="William Moore Jr."/>
    <s v="male"/>
    <s v="Male"/>
    <n v="36"/>
    <x v="18"/>
    <x v="15"/>
    <x v="9"/>
    <n v="11"/>
    <x v="0"/>
    <s v="$75"/>
    <x v="16"/>
    <n v="3.2"/>
    <n v="0"/>
    <x v="1"/>
    <n v="93"/>
    <n v="0.93"/>
  </r>
  <r>
    <s v="FL250210"/>
    <s v="Jennifer Rowe"/>
    <s v="Jennifer Rowe"/>
    <s v="FEMALE"/>
    <s v="Female"/>
    <n v="47"/>
    <x v="2"/>
    <x v="2"/>
    <x v="5"/>
    <n v="15"/>
    <x v="0"/>
    <n v="40"/>
    <x v="10"/>
    <n v="2.1"/>
    <s v="yes"/>
    <x v="2"/>
    <n v="0.94"/>
    <n v="0.94"/>
  </r>
  <r>
    <s v="FL250211"/>
    <s v="Mikayla Henry"/>
    <s v="Mikayla Henry"/>
    <s v="f"/>
    <s v="Female"/>
    <n v="43"/>
    <x v="14"/>
    <x v="1"/>
    <x v="1"/>
    <n v="1"/>
    <x v="2"/>
    <s v="USD 50"/>
    <x v="12"/>
    <n v="4.5999999999999996"/>
    <b v="1"/>
    <x v="1"/>
    <n v="64"/>
    <n v="0.64"/>
  </r>
  <r>
    <s v="FL250212"/>
    <s v="Jacob Kerr"/>
    <s v="Jacob Kerr"/>
    <s v="m"/>
    <s v="Male"/>
    <n v="57"/>
    <x v="12"/>
    <x v="10"/>
    <x v="7"/>
    <n v="8"/>
    <x v="3"/>
    <s v="$20"/>
    <x v="14"/>
    <n v="0"/>
    <s v="yes"/>
    <x v="1"/>
    <n v="0.84"/>
    <n v="0.84"/>
  </r>
  <r>
    <s v="FL250213"/>
    <s v="Ryan Johnson"/>
    <s v="Ryan Johnson"/>
    <s v="male"/>
    <s v="Male"/>
    <n v="52"/>
    <x v="0"/>
    <x v="0"/>
    <x v="9"/>
    <n v="30"/>
    <x v="1"/>
    <s v="$20"/>
    <x v="14"/>
    <n v="2.8"/>
    <s v="no"/>
    <x v="1"/>
    <n v="0.87"/>
    <n v="0.87"/>
  </r>
  <r>
    <s v="FL250214"/>
    <s v="Michael Ruiz"/>
    <s v="Michael Ruiz"/>
    <s v="male"/>
    <s v="Male"/>
    <m/>
    <x v="2"/>
    <x v="2"/>
    <x v="0"/>
    <n v="8"/>
    <x v="3"/>
    <s v="$40"/>
    <x v="3"/>
    <n v="0"/>
    <s v="N"/>
    <x v="1"/>
    <n v="0.64"/>
    <n v="0.64"/>
  </r>
  <r>
    <s v="FL250215"/>
    <s v="Monica Roberts"/>
    <s v="Monica Roberts"/>
    <s v="FEMALE"/>
    <s v="Female"/>
    <n v="22"/>
    <x v="4"/>
    <x v="4"/>
    <x v="9"/>
    <n v="0"/>
    <x v="2"/>
    <n v="100"/>
    <x v="0"/>
    <n v="2.7"/>
    <b v="1"/>
    <x v="2"/>
    <n v="0.64"/>
    <n v="0.64"/>
  </r>
  <r>
    <s v="FL250216"/>
    <s v="Danny Brown"/>
    <s v="Danny Brown"/>
    <s v="m"/>
    <s v="Male"/>
    <m/>
    <x v="10"/>
    <x v="8"/>
    <x v="9"/>
    <n v="12"/>
    <x v="0"/>
    <s v="$20"/>
    <x v="14"/>
    <n v="0"/>
    <b v="1"/>
    <x v="1"/>
    <n v="0.8"/>
    <n v="0.8"/>
  </r>
  <r>
    <s v="FL250217"/>
    <s v="Karen Larsen"/>
    <s v="Karen Larsen"/>
    <s v="f"/>
    <s v="Female"/>
    <n v="58"/>
    <x v="20"/>
    <x v="6"/>
    <x v="1"/>
    <n v="4"/>
    <x v="2"/>
    <s v="$50"/>
    <x v="9"/>
    <n v="3.1"/>
    <n v="0"/>
    <x v="1"/>
    <n v="0.9"/>
    <n v="0.9"/>
  </r>
  <r>
    <s v="FL250218"/>
    <s v="Robert Evans"/>
    <s v="Robert Evans"/>
    <s v="m"/>
    <s v="Male"/>
    <n v="39"/>
    <x v="12"/>
    <x v="10"/>
    <x v="3"/>
    <n v="14"/>
    <x v="0"/>
    <s v="USD 100"/>
    <x v="1"/>
    <n v="0"/>
    <s v="Y"/>
    <x v="1"/>
    <n v="0.92"/>
    <n v="0.92"/>
  </r>
  <r>
    <s v="FL250219"/>
    <s v="Sean Poole"/>
    <s v="Sean Poole"/>
    <s v="m"/>
    <s v="Male"/>
    <n v="32"/>
    <x v="4"/>
    <x v="4"/>
    <x v="2"/>
    <n v="14"/>
    <x v="0"/>
    <m/>
    <x v="8"/>
    <m/>
    <n v="0"/>
    <x v="1"/>
    <n v="0.96"/>
    <n v="0.96"/>
  </r>
  <r>
    <s v="FL250220"/>
    <s v="Richard Quinn"/>
    <s v="Richard Quinn"/>
    <s v="m"/>
    <s v="Male"/>
    <n v="37"/>
    <x v="14"/>
    <x v="1"/>
    <x v="6"/>
    <n v="2"/>
    <x v="2"/>
    <s v="$30"/>
    <x v="5"/>
    <n v="2.2999999999999998"/>
    <s v="yes"/>
    <x v="1"/>
    <m/>
    <m/>
  </r>
  <r>
    <s v="FL250221"/>
    <s v="Jennifer Gonzalez"/>
    <s v="Jennifer Gonzalez"/>
    <s v="FEMALE"/>
    <s v="Female"/>
    <n v="21"/>
    <x v="18"/>
    <x v="15"/>
    <x v="7"/>
    <n v="2"/>
    <x v="2"/>
    <n v="100"/>
    <x v="0"/>
    <n v="2.4"/>
    <s v="Y"/>
    <x v="2"/>
    <m/>
    <m/>
  </r>
  <r>
    <s v="FL250222"/>
    <s v="James Skinner"/>
    <s v="James Skinner"/>
    <s v="male"/>
    <s v="Male"/>
    <n v="41"/>
    <x v="12"/>
    <x v="10"/>
    <x v="9"/>
    <n v="4"/>
    <x v="2"/>
    <n v="75"/>
    <x v="11"/>
    <n v="2.6"/>
    <m/>
    <x v="1"/>
    <n v="0.85"/>
    <n v="0.85"/>
  </r>
  <r>
    <s v="FL250223"/>
    <s v="Michelle Hill"/>
    <s v="Michelle Hill"/>
    <s v="f"/>
    <s v="Female"/>
    <n v="21"/>
    <x v="14"/>
    <x v="1"/>
    <x v="4"/>
    <n v="0"/>
    <x v="2"/>
    <s v="USD 40"/>
    <x v="7"/>
    <n v="1.1000000000000001"/>
    <n v="0"/>
    <x v="1"/>
    <n v="0.79"/>
    <n v="0.79"/>
  </r>
  <r>
    <s v="FL250224"/>
    <s v="Jacqueline Williams"/>
    <s v="Jacqueline Williams"/>
    <s v="f"/>
    <s v="Female"/>
    <n v="58"/>
    <x v="18"/>
    <x v="15"/>
    <x v="9"/>
    <n v="9"/>
    <x v="3"/>
    <n v="30"/>
    <x v="4"/>
    <n v="0"/>
    <n v="1"/>
    <x v="2"/>
    <n v="0.65"/>
    <n v="0.65"/>
  </r>
  <r>
    <s v="FL250225"/>
    <s v="Darrell Johnson"/>
    <s v="Darrell Johnson"/>
    <s v="male"/>
    <s v="Male"/>
    <n v="60"/>
    <x v="14"/>
    <x v="1"/>
    <x v="9"/>
    <n v="3"/>
    <x v="2"/>
    <n v="40"/>
    <x v="10"/>
    <n v="4.7"/>
    <b v="0"/>
    <x v="0"/>
    <n v="0.63"/>
    <n v="0.63"/>
  </r>
  <r>
    <s v="FL250226"/>
    <s v="Ryan Crawford"/>
    <s v="Ryan Crawford"/>
    <s v="m"/>
    <s v="Male"/>
    <n v="27"/>
    <x v="17"/>
    <x v="14"/>
    <x v="3"/>
    <n v="2"/>
    <x v="2"/>
    <s v="$40"/>
    <x v="3"/>
    <n v="1.2"/>
    <b v="0"/>
    <x v="1"/>
    <m/>
    <m/>
  </r>
  <r>
    <s v="FL250227"/>
    <s v="Chelsea Barber"/>
    <s v="Chelsea Barber"/>
    <s v="f"/>
    <s v="Female"/>
    <n v="29"/>
    <x v="2"/>
    <x v="2"/>
    <x v="9"/>
    <n v="10"/>
    <x v="3"/>
    <s v="USD 40"/>
    <x v="7"/>
    <n v="1.2"/>
    <b v="0"/>
    <x v="1"/>
    <n v="0.78"/>
    <n v="0.78"/>
  </r>
  <r>
    <s v="FL250228"/>
    <s v="Elaine Martinez"/>
    <s v="Elaine Martinez"/>
    <s v="FEMALE"/>
    <s v="Female"/>
    <n v="54"/>
    <x v="14"/>
    <x v="1"/>
    <x v="2"/>
    <n v="33"/>
    <x v="1"/>
    <s v="$75"/>
    <x v="16"/>
    <n v="0"/>
    <n v="1"/>
    <x v="1"/>
    <n v="0.62"/>
    <n v="0.62"/>
  </r>
  <r>
    <s v="FL250229"/>
    <s v="Joseph Kent"/>
    <s v="Joseph Kent"/>
    <s v="m"/>
    <s v="Male"/>
    <n v="52"/>
    <x v="19"/>
    <x v="6"/>
    <x v="9"/>
    <n v="12"/>
    <x v="0"/>
    <n v="40"/>
    <x v="10"/>
    <n v="1.2"/>
    <n v="0"/>
    <x v="0"/>
    <n v="0.76"/>
    <n v="0.76"/>
  </r>
  <r>
    <s v="FL250230"/>
    <s v="Megan Welch"/>
    <s v="Megan Welch"/>
    <s v="FEMALE"/>
    <s v="Female"/>
    <n v="55"/>
    <x v="4"/>
    <x v="4"/>
    <x v="0"/>
    <n v="18"/>
    <x v="4"/>
    <n v="100"/>
    <x v="0"/>
    <n v="2.9"/>
    <n v="0"/>
    <x v="0"/>
    <n v="97"/>
    <n v="0.97"/>
  </r>
  <r>
    <s v="FL250231"/>
    <s v="Stephen Ramirez"/>
    <s v="Stephen Ramirez"/>
    <s v="male"/>
    <s v="Male"/>
    <n v="37"/>
    <x v="11"/>
    <x v="9"/>
    <x v="0"/>
    <n v="4"/>
    <x v="2"/>
    <m/>
    <x v="8"/>
    <m/>
    <s v="N"/>
    <x v="1"/>
    <m/>
    <m/>
  </r>
  <r>
    <s v="FL250232"/>
    <s v="Chloe Gray"/>
    <s v="Chloe Gray"/>
    <s v="f"/>
    <s v="Female"/>
    <n v="34"/>
    <x v="16"/>
    <x v="13"/>
    <x v="5"/>
    <n v="11"/>
    <x v="0"/>
    <s v="$50"/>
    <x v="9"/>
    <n v="3.9"/>
    <n v="1"/>
    <x v="1"/>
    <n v="0.82"/>
    <n v="0.82"/>
  </r>
  <r>
    <s v="FL250233"/>
    <s v="Michael Williams Jr."/>
    <s v="Michael Williams Jr."/>
    <s v="m"/>
    <s v="Male"/>
    <n v="20"/>
    <x v="15"/>
    <x v="12"/>
    <x v="5"/>
    <n v="1"/>
    <x v="2"/>
    <n v="50"/>
    <x v="2"/>
    <n v="3.1"/>
    <m/>
    <x v="1"/>
    <n v="0.71"/>
    <n v="0.71"/>
  </r>
  <r>
    <s v="FL250234"/>
    <s v="Matthew Martin"/>
    <s v="Matthew Martin"/>
    <s v="m"/>
    <s v="Male"/>
    <n v="22"/>
    <x v="19"/>
    <x v="6"/>
    <x v="6"/>
    <n v="2"/>
    <x v="2"/>
    <m/>
    <x v="8"/>
    <n v="0"/>
    <n v="1"/>
    <x v="1"/>
    <m/>
    <m/>
  </r>
  <r>
    <s v="FL250235"/>
    <s v="Julia Murphy"/>
    <s v="Julia Murphy"/>
    <s v="f"/>
    <s v="Female"/>
    <n v="23"/>
    <x v="12"/>
    <x v="10"/>
    <x v="2"/>
    <n v="2"/>
    <x v="2"/>
    <n v="50"/>
    <x v="2"/>
    <n v="3.2"/>
    <b v="1"/>
    <x v="2"/>
    <m/>
    <m/>
  </r>
  <r>
    <s v="FL250236"/>
    <s v="Anna Evans"/>
    <s v="Anna Evans"/>
    <s v="f"/>
    <s v="Female"/>
    <n v="53"/>
    <x v="12"/>
    <x v="10"/>
    <x v="0"/>
    <n v="34"/>
    <x v="1"/>
    <n v="30"/>
    <x v="4"/>
    <m/>
    <s v="Y"/>
    <x v="2"/>
    <m/>
    <m/>
  </r>
  <r>
    <s v="FL250237"/>
    <s v="Brenda Fleming"/>
    <s v="Brenda Fleming"/>
    <s v="f"/>
    <s v="Female"/>
    <n v="56"/>
    <x v="12"/>
    <x v="10"/>
    <x v="2"/>
    <n v="27"/>
    <x v="1"/>
    <n v="100"/>
    <x v="0"/>
    <n v="4.7"/>
    <b v="1"/>
    <x v="2"/>
    <n v="0.69"/>
    <n v="0.69"/>
  </r>
  <r>
    <s v="FL250238"/>
    <s v="Daniel Harrington"/>
    <s v="Daniel Harrington"/>
    <s v="m"/>
    <s v="Male"/>
    <n v="27"/>
    <x v="14"/>
    <x v="1"/>
    <x v="4"/>
    <n v="4"/>
    <x v="2"/>
    <n v="75"/>
    <x v="11"/>
    <n v="5"/>
    <n v="0"/>
    <x v="0"/>
    <n v="0.88"/>
    <n v="0.88"/>
  </r>
  <r>
    <s v="FL250239"/>
    <s v="Daniel Barnett"/>
    <s v="Daniel Barnett"/>
    <s v="male"/>
    <s v="Male"/>
    <n v="34"/>
    <x v="0"/>
    <x v="0"/>
    <x v="1"/>
    <n v="11"/>
    <x v="0"/>
    <s v="USD 40"/>
    <x v="7"/>
    <m/>
    <b v="0"/>
    <x v="1"/>
    <n v="0.67"/>
    <n v="0.67"/>
  </r>
  <r>
    <s v="FL250240"/>
    <s v="Mark Cummings"/>
    <s v="Mark Cummings"/>
    <s v="m"/>
    <s v="Male"/>
    <n v="29"/>
    <x v="5"/>
    <x v="1"/>
    <x v="3"/>
    <n v="4"/>
    <x v="2"/>
    <s v="USD 50"/>
    <x v="12"/>
    <n v="4"/>
    <n v="0"/>
    <x v="1"/>
    <m/>
    <m/>
  </r>
  <r>
    <s v="FL250241"/>
    <s v="Christopher Guerra"/>
    <s v="Christopher Guerra"/>
    <s v="m"/>
    <s v="Male"/>
    <n v="34"/>
    <x v="10"/>
    <x v="8"/>
    <x v="4"/>
    <n v="11"/>
    <x v="0"/>
    <m/>
    <x v="8"/>
    <n v="1.2"/>
    <n v="1"/>
    <x v="1"/>
    <m/>
    <m/>
  </r>
  <r>
    <s v="FL250242"/>
    <s v="Sarah Ho"/>
    <s v="Sarah Ho"/>
    <s v="FEMALE"/>
    <s v="Female"/>
    <n v="32"/>
    <x v="19"/>
    <x v="6"/>
    <x v="4"/>
    <n v="1"/>
    <x v="2"/>
    <n v="100"/>
    <x v="0"/>
    <n v="4.7"/>
    <n v="0"/>
    <x v="0"/>
    <n v="0.67"/>
    <n v="0.67"/>
  </r>
  <r>
    <s v="FL250243"/>
    <s v="Veronica Thomas"/>
    <s v="Veronica Thomas"/>
    <s v="f"/>
    <s v="Female"/>
    <n v="21"/>
    <x v="17"/>
    <x v="14"/>
    <x v="9"/>
    <n v="2"/>
    <x v="2"/>
    <n v="20"/>
    <x v="15"/>
    <n v="2.4"/>
    <m/>
    <x v="1"/>
    <n v="0.86"/>
    <n v="0.86"/>
  </r>
  <r>
    <s v="FL250244"/>
    <s v="Mitchell Watson"/>
    <s v="Mitchell Watson"/>
    <s v="male"/>
    <s v="Male"/>
    <n v="20"/>
    <x v="19"/>
    <x v="6"/>
    <x v="2"/>
    <n v="2"/>
    <x v="2"/>
    <m/>
    <x v="8"/>
    <n v="1.1000000000000001"/>
    <b v="0"/>
    <x v="1"/>
    <n v="0.69"/>
    <n v="0.69"/>
  </r>
  <r>
    <s v="FL250245"/>
    <s v="Monica Murphy"/>
    <s v="Monica Murphy"/>
    <s v="FEMALE"/>
    <s v="Female"/>
    <n v="35"/>
    <x v="5"/>
    <x v="1"/>
    <x v="1"/>
    <n v="10"/>
    <x v="3"/>
    <n v="50"/>
    <x v="2"/>
    <n v="1.4"/>
    <b v="1"/>
    <x v="2"/>
    <n v="0.85"/>
    <n v="0.85"/>
  </r>
  <r>
    <s v="FL250246"/>
    <s v="Kristen Williams"/>
    <s v="Kristen Williams"/>
    <s v="f"/>
    <s v="Female"/>
    <n v="47"/>
    <x v="5"/>
    <x v="1"/>
    <x v="6"/>
    <n v="18"/>
    <x v="4"/>
    <n v="40"/>
    <x v="10"/>
    <n v="3.4"/>
    <n v="0"/>
    <x v="0"/>
    <n v="60"/>
    <n v="0.6"/>
  </r>
  <r>
    <s v="FL250247"/>
    <s v="Nicole Wright"/>
    <s v="Nicole Wright"/>
    <s v="f"/>
    <s v="Female"/>
    <n v="41"/>
    <x v="6"/>
    <x v="5"/>
    <x v="0"/>
    <n v="4"/>
    <x v="2"/>
    <n v="40"/>
    <x v="10"/>
    <n v="2.7"/>
    <n v="1"/>
    <x v="2"/>
    <n v="70"/>
    <n v="0.7"/>
  </r>
  <r>
    <s v="FL250248"/>
    <s v="Andrew Ruiz"/>
    <s v="Andrew Ruiz"/>
    <s v="male"/>
    <s v="Male"/>
    <n v="58"/>
    <x v="8"/>
    <x v="6"/>
    <x v="3"/>
    <n v="23"/>
    <x v="1"/>
    <m/>
    <x v="8"/>
    <n v="4.9000000000000004"/>
    <b v="0"/>
    <x v="1"/>
    <m/>
    <m/>
  </r>
  <r>
    <s v="FL250249"/>
    <s v="Zachary Jackson"/>
    <s v="Zachary Jackson"/>
    <s v="m"/>
    <s v="Male"/>
    <n v="34"/>
    <x v="18"/>
    <x v="15"/>
    <x v="5"/>
    <n v="6"/>
    <x v="3"/>
    <n v="75"/>
    <x v="11"/>
    <n v="1.9"/>
    <n v="1"/>
    <x v="2"/>
    <n v="0.81"/>
    <n v="0.81"/>
  </r>
  <r>
    <s v="FL250250"/>
    <s v="Stephanie Carter"/>
    <s v="Stephanie Carter"/>
    <s v="f"/>
    <s v="Female"/>
    <n v="50"/>
    <x v="10"/>
    <x v="8"/>
    <x v="1"/>
    <n v="5"/>
    <x v="2"/>
    <n v="100"/>
    <x v="0"/>
    <m/>
    <n v="1"/>
    <x v="2"/>
    <m/>
    <m/>
  </r>
  <r>
    <s v="FL250251"/>
    <s v="Amy Olson"/>
    <s v="Amy Olson"/>
    <s v="f"/>
    <s v="Female"/>
    <n v="42"/>
    <x v="19"/>
    <x v="6"/>
    <x v="8"/>
    <n v="19"/>
    <x v="4"/>
    <s v="USD 75"/>
    <x v="6"/>
    <n v="4.5999999999999996"/>
    <n v="0"/>
    <x v="1"/>
    <n v="0.78"/>
    <n v="0.78"/>
  </r>
  <r>
    <s v="FL250252"/>
    <s v="Fred Stark"/>
    <s v="Fred Stark"/>
    <s v="m"/>
    <s v="Male"/>
    <n v="43"/>
    <x v="2"/>
    <x v="2"/>
    <x v="6"/>
    <n v="6"/>
    <x v="3"/>
    <n v="50"/>
    <x v="2"/>
    <n v="0"/>
    <n v="0"/>
    <x v="0"/>
    <n v="81"/>
    <n v="0.81"/>
  </r>
  <r>
    <s v="FL250253"/>
    <s v="Jacob Gill"/>
    <s v="Jacob Gill"/>
    <s v="male"/>
    <s v="Male"/>
    <n v="34"/>
    <x v="2"/>
    <x v="2"/>
    <x v="5"/>
    <n v="8"/>
    <x v="3"/>
    <n v="75"/>
    <x v="11"/>
    <n v="1.8"/>
    <n v="1"/>
    <x v="2"/>
    <n v="0.71"/>
    <n v="0.71"/>
  </r>
  <r>
    <s v="FL250254"/>
    <s v="Anthony Nichols"/>
    <s v="Anthony Nichols"/>
    <s v="male"/>
    <s v="Male"/>
    <n v="24"/>
    <x v="20"/>
    <x v="6"/>
    <x v="1"/>
    <n v="3"/>
    <x v="2"/>
    <n v="75"/>
    <x v="11"/>
    <n v="2"/>
    <b v="0"/>
    <x v="0"/>
    <m/>
    <m/>
  </r>
  <r>
    <s v="FL250255"/>
    <s v="William Knapp"/>
    <s v="William Knapp"/>
    <s v="m"/>
    <s v="Male"/>
    <n v="48"/>
    <x v="17"/>
    <x v="14"/>
    <x v="6"/>
    <n v="8"/>
    <x v="3"/>
    <n v="30"/>
    <x v="4"/>
    <n v="5"/>
    <n v="1"/>
    <x v="2"/>
    <n v="0.99"/>
    <n v="0.99"/>
  </r>
  <r>
    <s v="FL250256"/>
    <s v="Elizabeth Walker"/>
    <s v="Elizabeth Walker"/>
    <s v="f"/>
    <s v="Female"/>
    <n v="39"/>
    <x v="12"/>
    <x v="10"/>
    <x v="5"/>
    <n v="12"/>
    <x v="0"/>
    <s v="$20"/>
    <x v="14"/>
    <n v="3.2"/>
    <b v="1"/>
    <x v="1"/>
    <n v="0.66"/>
    <n v="0.66"/>
  </r>
  <r>
    <s v="FL250257"/>
    <s v="Brenda Reeves"/>
    <s v="Brenda Reeves"/>
    <s v="f"/>
    <s v="Female"/>
    <n v="57"/>
    <x v="1"/>
    <x v="1"/>
    <x v="0"/>
    <n v="30"/>
    <x v="1"/>
    <s v="$30"/>
    <x v="5"/>
    <n v="2.4"/>
    <m/>
    <x v="1"/>
    <n v="0.8"/>
    <n v="0.8"/>
  </r>
  <r>
    <s v="FL250258"/>
    <s v="Carrie Little"/>
    <s v="Carrie Little"/>
    <s v="FEMALE"/>
    <s v="Female"/>
    <n v="44"/>
    <x v="14"/>
    <x v="1"/>
    <x v="3"/>
    <n v="21"/>
    <x v="1"/>
    <n v="100"/>
    <x v="0"/>
    <n v="2.9"/>
    <n v="0"/>
    <x v="0"/>
    <n v="0.83"/>
    <n v="0.83"/>
  </r>
  <r>
    <s v="FL250259"/>
    <s v="Steven Jackson"/>
    <s v="Steven Jackson"/>
    <s v="male"/>
    <s v="Male"/>
    <n v="37"/>
    <x v="11"/>
    <x v="9"/>
    <x v="6"/>
    <n v="17"/>
    <x v="4"/>
    <s v="USD 20"/>
    <x v="18"/>
    <n v="0"/>
    <s v="yes"/>
    <x v="1"/>
    <n v="87"/>
    <n v="0.87"/>
  </r>
  <r>
    <s v="FL250260"/>
    <s v="Mark Perry"/>
    <s v="Mark Perry"/>
    <s v="male"/>
    <s v="Male"/>
    <n v="50"/>
    <x v="6"/>
    <x v="5"/>
    <x v="5"/>
    <n v="9"/>
    <x v="3"/>
    <n v="30"/>
    <x v="4"/>
    <n v="3"/>
    <n v="0"/>
    <x v="0"/>
    <n v="76"/>
    <n v="0.76"/>
  </r>
  <r>
    <s v="FL250261"/>
    <s v="Cameron Spencer"/>
    <s v="Cameron Spencer"/>
    <s v="male"/>
    <s v="Male"/>
    <n v="50"/>
    <x v="20"/>
    <x v="6"/>
    <x v="6"/>
    <n v="2"/>
    <x v="2"/>
    <n v="50"/>
    <x v="2"/>
    <n v="1.6"/>
    <s v="no"/>
    <x v="0"/>
    <n v="0.89"/>
    <n v="0.89"/>
  </r>
  <r>
    <s v="FL250262"/>
    <s v="Jennifer Holmes"/>
    <s v="Jennifer Holmes"/>
    <s v="FEMALE"/>
    <s v="Female"/>
    <n v="28"/>
    <x v="15"/>
    <x v="12"/>
    <x v="2"/>
    <n v="1"/>
    <x v="2"/>
    <n v="20"/>
    <x v="15"/>
    <n v="3.6"/>
    <s v="yes"/>
    <x v="2"/>
    <n v="0.94"/>
    <n v="0.94"/>
  </r>
  <r>
    <s v="FL250263"/>
    <s v="Jacob Joseph"/>
    <s v="Jacob Joseph"/>
    <s v="male"/>
    <s v="Male"/>
    <n v="48"/>
    <x v="0"/>
    <x v="0"/>
    <x v="3"/>
    <n v="23"/>
    <x v="1"/>
    <m/>
    <x v="8"/>
    <n v="2.1"/>
    <n v="0"/>
    <x v="1"/>
    <n v="0.68"/>
    <n v="0.68"/>
  </r>
  <r>
    <s v="FL250264"/>
    <s v="Jeffery Tucker"/>
    <s v="Jeffery Tucker"/>
    <s v="male"/>
    <s v="Male"/>
    <n v="42"/>
    <x v="2"/>
    <x v="2"/>
    <x v="8"/>
    <n v="8"/>
    <x v="3"/>
    <n v="30"/>
    <x v="4"/>
    <n v="3.6"/>
    <n v="1"/>
    <x v="2"/>
    <n v="0.96"/>
    <n v="0.96"/>
  </r>
  <r>
    <s v="FL250265"/>
    <s v="Jacqueline Drake"/>
    <s v="Jacqueline Drake"/>
    <s v="FEMALE"/>
    <s v="Female"/>
    <n v="37"/>
    <x v="14"/>
    <x v="1"/>
    <x v="5"/>
    <n v="6"/>
    <x v="3"/>
    <s v="$20"/>
    <x v="14"/>
    <n v="2.7"/>
    <b v="1"/>
    <x v="1"/>
    <n v="0.91"/>
    <n v="0.91"/>
  </r>
  <r>
    <s v="FL250266"/>
    <s v="Brian Bautista"/>
    <s v="Brian Bautista"/>
    <s v="male"/>
    <s v="Male"/>
    <n v="21"/>
    <x v="10"/>
    <x v="8"/>
    <x v="0"/>
    <n v="1"/>
    <x v="2"/>
    <n v="100"/>
    <x v="0"/>
    <n v="2.1"/>
    <n v="1"/>
    <x v="2"/>
    <n v="0.92"/>
    <n v="0.92"/>
  </r>
  <r>
    <s v="FL250267"/>
    <s v="Dakota Wells"/>
    <s v="Dakota Wells"/>
    <s v="male"/>
    <s v="Male"/>
    <n v="50"/>
    <x v="12"/>
    <x v="10"/>
    <x v="3"/>
    <n v="19"/>
    <x v="4"/>
    <s v="$40"/>
    <x v="3"/>
    <n v="4.9000000000000004"/>
    <m/>
    <x v="1"/>
    <n v="0.82"/>
    <n v="0.82"/>
  </r>
  <r>
    <s v="FL250268"/>
    <s v="Julie White"/>
    <s v="Julie White"/>
    <s v="f"/>
    <s v="Female"/>
    <n v="22"/>
    <x v="8"/>
    <x v="6"/>
    <x v="4"/>
    <n v="2"/>
    <x v="2"/>
    <n v="30"/>
    <x v="4"/>
    <n v="2.1"/>
    <m/>
    <x v="1"/>
    <m/>
    <m/>
  </r>
  <r>
    <s v="FL250269"/>
    <s v="Barbara Keith"/>
    <s v="Barbara Keith"/>
    <s v="FEMALE"/>
    <s v="Female"/>
    <n v="39"/>
    <x v="9"/>
    <x v="7"/>
    <x v="3"/>
    <n v="21"/>
    <x v="1"/>
    <n v="100"/>
    <x v="0"/>
    <n v="0"/>
    <s v="no"/>
    <x v="0"/>
    <n v="0.91"/>
    <n v="0.91"/>
  </r>
  <r>
    <s v="FL250270"/>
    <s v="Heather Camacho"/>
    <s v="Heather Camacho"/>
    <s v="FEMALE"/>
    <s v="Female"/>
    <n v="25"/>
    <x v="9"/>
    <x v="7"/>
    <x v="9"/>
    <n v="3"/>
    <x v="2"/>
    <s v="$50"/>
    <x v="9"/>
    <n v="2.8"/>
    <s v="yes"/>
    <x v="1"/>
    <n v="86"/>
    <n v="0.86"/>
  </r>
  <r>
    <s v="FL250271"/>
    <s v="Melanie Harris"/>
    <s v="Melanie Harris"/>
    <s v="FEMALE"/>
    <s v="Female"/>
    <n v="47"/>
    <x v="17"/>
    <x v="14"/>
    <x v="1"/>
    <n v="14"/>
    <x v="0"/>
    <m/>
    <x v="8"/>
    <m/>
    <b v="0"/>
    <x v="1"/>
    <n v="0.69"/>
    <n v="0.69"/>
  </r>
  <r>
    <s v="FL250272"/>
    <s v="Jacqueline Peterson"/>
    <s v="Jacqueline Peterson"/>
    <s v="f"/>
    <s v="Female"/>
    <n v="35"/>
    <x v="17"/>
    <x v="14"/>
    <x v="6"/>
    <n v="10"/>
    <x v="3"/>
    <s v="USD 100"/>
    <x v="1"/>
    <n v="4.7"/>
    <b v="1"/>
    <x v="1"/>
    <n v="0.84"/>
    <n v="0.84"/>
  </r>
  <r>
    <s v="FL250273"/>
    <s v="Nancy Long"/>
    <s v="Nancy Long"/>
    <s v="f"/>
    <s v="Female"/>
    <m/>
    <x v="7"/>
    <x v="1"/>
    <x v="7"/>
    <n v="5"/>
    <x v="2"/>
    <n v="100"/>
    <x v="0"/>
    <n v="1.3"/>
    <n v="0"/>
    <x v="0"/>
    <n v="0.6"/>
    <n v="0.6"/>
  </r>
  <r>
    <s v="FL250274"/>
    <s v="Mr. Juan Mitchell"/>
    <s v=" Juan Mitchell"/>
    <s v="male"/>
    <m/>
    <n v="35"/>
    <x v="3"/>
    <x v="3"/>
    <x v="0"/>
    <n v="6"/>
    <x v="3"/>
    <s v="USD 75"/>
    <x v="6"/>
    <n v="1.6"/>
    <n v="1"/>
    <x v="1"/>
    <n v="0.97"/>
    <n v="0.97"/>
  </r>
  <r>
    <s v="FL250275"/>
    <s v="William Gaines"/>
    <s v="William Gaines"/>
    <s v="male"/>
    <s v="Male"/>
    <n v="59"/>
    <x v="15"/>
    <x v="12"/>
    <x v="3"/>
    <n v="21"/>
    <x v="1"/>
    <n v="100"/>
    <x v="0"/>
    <n v="0"/>
    <m/>
    <x v="1"/>
    <n v="0.7"/>
    <n v="0.7"/>
  </r>
  <r>
    <s v="FL250276"/>
    <s v="Haley Yates"/>
    <s v="Haley Yates"/>
    <s v="FEMALE"/>
    <s v="Female"/>
    <n v="26"/>
    <x v="18"/>
    <x v="15"/>
    <x v="6"/>
    <n v="4"/>
    <x v="2"/>
    <s v="USD 100"/>
    <x v="1"/>
    <n v="3.6"/>
    <s v="no"/>
    <x v="1"/>
    <n v="0.81"/>
    <n v="0.81"/>
  </r>
  <r>
    <s v="FL250277"/>
    <s v="Richard Mcguire"/>
    <s v="Richard Mcguire"/>
    <s v="male"/>
    <s v="Male"/>
    <n v="44"/>
    <x v="13"/>
    <x v="11"/>
    <x v="9"/>
    <n v="18"/>
    <x v="4"/>
    <n v="20"/>
    <x v="15"/>
    <n v="4.7"/>
    <n v="1"/>
    <x v="2"/>
    <n v="0.88"/>
    <n v="0.88"/>
  </r>
  <r>
    <s v="FL250278"/>
    <s v="Stephanie Fisher"/>
    <s v="Stephanie Fisher"/>
    <s v="FEMALE"/>
    <s v="Female"/>
    <n v="31"/>
    <x v="17"/>
    <x v="14"/>
    <x v="6"/>
    <n v="12"/>
    <x v="0"/>
    <s v="$40"/>
    <x v="3"/>
    <m/>
    <n v="1"/>
    <x v="1"/>
    <n v="1"/>
    <n v="1"/>
  </r>
  <r>
    <s v="FL250279"/>
    <s v="Anthony Goodwin DDS"/>
    <s v="Anthony Goodwin DDS"/>
    <s v="male"/>
    <s v="Male"/>
    <n v="60"/>
    <x v="6"/>
    <x v="5"/>
    <x v="5"/>
    <n v="6"/>
    <x v="3"/>
    <m/>
    <x v="8"/>
    <n v="3.2"/>
    <n v="0"/>
    <x v="1"/>
    <n v="95"/>
    <n v="0.95"/>
  </r>
  <r>
    <s v="FL250280"/>
    <s v="Meagan Walters"/>
    <s v="Meagan Walters"/>
    <s v="FEMALE"/>
    <s v="Female"/>
    <n v="23"/>
    <x v="7"/>
    <x v="1"/>
    <x v="0"/>
    <n v="4"/>
    <x v="2"/>
    <s v="USD 20"/>
    <x v="18"/>
    <m/>
    <n v="0"/>
    <x v="1"/>
    <n v="0.71"/>
    <n v="0.71"/>
  </r>
  <r>
    <s v="FL250281"/>
    <s v="David Powell"/>
    <s v="David Powell"/>
    <s v="m"/>
    <s v="Male"/>
    <n v="42"/>
    <x v="4"/>
    <x v="4"/>
    <x v="6"/>
    <n v="13"/>
    <x v="0"/>
    <s v="$20"/>
    <x v="14"/>
    <n v="4.7"/>
    <s v="N"/>
    <x v="1"/>
    <n v="0.85"/>
    <n v="0.85"/>
  </r>
  <r>
    <s v="FL250282"/>
    <s v="Kelly Jones"/>
    <s v="Kelly Jones"/>
    <s v="f"/>
    <s v="Female"/>
    <n v="48"/>
    <x v="10"/>
    <x v="8"/>
    <x v="1"/>
    <n v="6"/>
    <x v="3"/>
    <n v="30"/>
    <x v="4"/>
    <m/>
    <s v="N"/>
    <x v="0"/>
    <n v="0.96"/>
    <n v="0.96"/>
  </r>
  <r>
    <s v="FL250283"/>
    <s v="Dr. Michael Aguilar"/>
    <s v=" Michael Aguilar"/>
    <s v="m"/>
    <m/>
    <n v="42"/>
    <x v="3"/>
    <x v="3"/>
    <x v="2"/>
    <n v="10"/>
    <x v="3"/>
    <s v="USD 20"/>
    <x v="18"/>
    <n v="2.4"/>
    <s v="Y"/>
    <x v="1"/>
    <n v="0.92"/>
    <n v="0.92"/>
  </r>
  <r>
    <s v="FL250284"/>
    <s v="Alex Novak"/>
    <s v="Alex Novak"/>
    <s v="m"/>
    <s v="Male"/>
    <n v="52"/>
    <x v="12"/>
    <x v="10"/>
    <x v="7"/>
    <n v="20"/>
    <x v="4"/>
    <n v="50"/>
    <x v="2"/>
    <m/>
    <b v="0"/>
    <x v="0"/>
    <n v="0.79"/>
    <n v="0.79"/>
  </r>
  <r>
    <s v="FL250285"/>
    <s v="Ann Contreras"/>
    <s v="Ann Contreras"/>
    <s v="FEMALE"/>
    <s v="Female"/>
    <n v="55"/>
    <x v="9"/>
    <x v="7"/>
    <x v="3"/>
    <n v="20"/>
    <x v="4"/>
    <n v="75"/>
    <x v="11"/>
    <n v="2.9"/>
    <b v="0"/>
    <x v="0"/>
    <m/>
    <m/>
  </r>
  <r>
    <s v="FL250286"/>
    <s v="Mary Reed"/>
    <s v="Mary Reed"/>
    <s v="f"/>
    <s v="Female"/>
    <n v="58"/>
    <x v="17"/>
    <x v="14"/>
    <x v="7"/>
    <n v="11"/>
    <x v="0"/>
    <n v="50"/>
    <x v="2"/>
    <n v="0"/>
    <n v="0"/>
    <x v="0"/>
    <m/>
    <m/>
  </r>
  <r>
    <s v="FL250287"/>
    <s v="Lauren Ross"/>
    <s v="Lauren Ross"/>
    <s v="FEMALE"/>
    <s v="Female"/>
    <n v="46"/>
    <x v="12"/>
    <x v="10"/>
    <x v="9"/>
    <n v="12"/>
    <x v="0"/>
    <n v="20"/>
    <x v="15"/>
    <n v="0"/>
    <b v="0"/>
    <x v="0"/>
    <n v="0.89"/>
    <n v="0.89"/>
  </r>
  <r>
    <s v="FL250288"/>
    <s v="Candice Wise"/>
    <s v="Candice Wise"/>
    <s v="FEMALE"/>
    <s v="Female"/>
    <n v="45"/>
    <x v="20"/>
    <x v="6"/>
    <x v="9"/>
    <n v="1"/>
    <x v="2"/>
    <n v="100"/>
    <x v="0"/>
    <n v="1.5"/>
    <n v="1"/>
    <x v="2"/>
    <n v="1"/>
    <n v="1"/>
  </r>
  <r>
    <s v="FL250289"/>
    <s v="Joyce Humphrey"/>
    <s v="Joyce Humphrey"/>
    <s v="FEMALE"/>
    <s v="Female"/>
    <n v="56"/>
    <x v="10"/>
    <x v="8"/>
    <x v="9"/>
    <n v="2"/>
    <x v="2"/>
    <n v="30"/>
    <x v="4"/>
    <n v="1.9"/>
    <n v="1"/>
    <x v="2"/>
    <n v="0.81"/>
    <n v="0.81"/>
  </r>
  <r>
    <s v="FL250290"/>
    <s v="James Carr"/>
    <s v="James Carr"/>
    <s v="male"/>
    <s v="Male"/>
    <n v="44"/>
    <x v="7"/>
    <x v="1"/>
    <x v="0"/>
    <n v="13"/>
    <x v="0"/>
    <n v="100"/>
    <x v="0"/>
    <n v="3.1"/>
    <s v="Y"/>
    <x v="2"/>
    <n v="95"/>
    <n v="0.95"/>
  </r>
  <r>
    <s v="FL250291"/>
    <s v="Joseph Mendoza"/>
    <s v="Joseph Mendoza"/>
    <s v="male"/>
    <s v="Male"/>
    <n v="46"/>
    <x v="4"/>
    <x v="4"/>
    <x v="6"/>
    <n v="0"/>
    <x v="2"/>
    <m/>
    <x v="8"/>
    <n v="1.8"/>
    <s v="N"/>
    <x v="1"/>
    <n v="0.88"/>
    <n v="0.88"/>
  </r>
  <r>
    <s v="FL250292"/>
    <s v="Cathy Baldwin"/>
    <s v="Cathy Baldwin"/>
    <s v="FEMALE"/>
    <s v="Female"/>
    <n v="27"/>
    <x v="9"/>
    <x v="7"/>
    <x v="3"/>
    <n v="7"/>
    <x v="3"/>
    <n v="30"/>
    <x v="4"/>
    <n v="2.4"/>
    <s v="yes"/>
    <x v="2"/>
    <n v="0.66"/>
    <n v="0.66"/>
  </r>
  <r>
    <s v="FL250293"/>
    <s v="Christine Hart"/>
    <s v="Christine Hart"/>
    <s v="FEMALE"/>
    <s v="Female"/>
    <n v="49"/>
    <x v="10"/>
    <x v="8"/>
    <x v="0"/>
    <n v="13"/>
    <x v="0"/>
    <n v="100"/>
    <x v="0"/>
    <n v="4.2"/>
    <n v="1"/>
    <x v="2"/>
    <n v="0.84"/>
    <n v="0.84"/>
  </r>
  <r>
    <s v="FL250294"/>
    <s v="Mike Stanley"/>
    <s v="Mike Stanley"/>
    <s v="male"/>
    <s v="Male"/>
    <n v="53"/>
    <x v="19"/>
    <x v="6"/>
    <x v="3"/>
    <n v="21"/>
    <x v="1"/>
    <s v="$50"/>
    <x v="9"/>
    <n v="1.4"/>
    <s v="N"/>
    <x v="1"/>
    <m/>
    <m/>
  </r>
  <r>
    <s v="FL250295"/>
    <s v="Jeffrey Edwards"/>
    <s v="Jeffrey Edwards"/>
    <s v="male"/>
    <s v="Male"/>
    <n v="56"/>
    <x v="1"/>
    <x v="1"/>
    <x v="3"/>
    <n v="19"/>
    <x v="4"/>
    <n v="40"/>
    <x v="10"/>
    <n v="1.2"/>
    <s v="Y"/>
    <x v="2"/>
    <n v="0.82"/>
    <n v="0.82"/>
  </r>
  <r>
    <s v="FL250296"/>
    <s v="Amy Lee"/>
    <s v="Amy Lee"/>
    <s v="FEMALE"/>
    <s v="Female"/>
    <n v="56"/>
    <x v="7"/>
    <x v="1"/>
    <x v="8"/>
    <n v="34"/>
    <x v="1"/>
    <m/>
    <x v="8"/>
    <n v="2.1"/>
    <s v="yes"/>
    <x v="1"/>
    <n v="0.84"/>
    <n v="0.84"/>
  </r>
  <r>
    <s v="FL250297"/>
    <s v="Mark Thompson"/>
    <s v="Mark Thompson"/>
    <s v="male"/>
    <s v="Male"/>
    <n v="38"/>
    <x v="17"/>
    <x v="14"/>
    <x v="5"/>
    <n v="3"/>
    <x v="2"/>
    <n v="100"/>
    <x v="0"/>
    <n v="1.4"/>
    <b v="0"/>
    <x v="0"/>
    <n v="0.73"/>
    <n v="0.73"/>
  </r>
  <r>
    <s v="FL250298"/>
    <s v="Alex Wilson"/>
    <s v="Alex Wilson"/>
    <s v="m"/>
    <s v="Male"/>
    <n v="20"/>
    <x v="12"/>
    <x v="10"/>
    <x v="1"/>
    <n v="0"/>
    <x v="2"/>
    <n v="30"/>
    <x v="4"/>
    <n v="3.8"/>
    <m/>
    <x v="1"/>
    <n v="0.93"/>
    <n v="0.93"/>
  </r>
  <r>
    <s v="FL250299"/>
    <s v="Nancy Mendez"/>
    <s v="Nancy Mendez"/>
    <s v="FEMALE"/>
    <s v="Female"/>
    <n v="38"/>
    <x v="14"/>
    <x v="1"/>
    <x v="9"/>
    <n v="20"/>
    <x v="4"/>
    <n v="50"/>
    <x v="2"/>
    <n v="0"/>
    <m/>
    <x v="1"/>
    <n v="0.64"/>
    <n v="0.64"/>
  </r>
  <r>
    <s v="FL250300"/>
    <s v="Beth Crane"/>
    <s v="Beth Crane"/>
    <s v="f"/>
    <s v="Female"/>
    <m/>
    <x v="3"/>
    <x v="3"/>
    <x v="1"/>
    <n v="6"/>
    <x v="3"/>
    <n v="40"/>
    <x v="10"/>
    <n v="3.5"/>
    <n v="0"/>
    <x v="0"/>
    <n v="0.76"/>
    <n v="0.76"/>
  </r>
  <r>
    <s v="FL250301"/>
    <s v="Miguel Rogers"/>
    <s v="Miguel Rogers"/>
    <s v="male"/>
    <s v="Male"/>
    <n v="46"/>
    <x v="10"/>
    <x v="8"/>
    <x v="9"/>
    <n v="13"/>
    <x v="0"/>
    <s v="$100"/>
    <x v="17"/>
    <n v="0"/>
    <s v="Y"/>
    <x v="1"/>
    <n v="0.97"/>
    <n v="0.97"/>
  </r>
  <r>
    <s v="FL250302"/>
    <s v="Thomas Robles"/>
    <s v="Thomas Robles"/>
    <s v="male"/>
    <s v="Male"/>
    <n v="36"/>
    <x v="17"/>
    <x v="14"/>
    <x v="5"/>
    <n v="9"/>
    <x v="3"/>
    <n v="75"/>
    <x v="11"/>
    <n v="2.2000000000000002"/>
    <n v="0"/>
    <x v="0"/>
    <n v="0.95"/>
    <n v="0.95"/>
  </r>
  <r>
    <s v="FL250303"/>
    <s v="Joel Brown III"/>
    <s v="Joel Brown III"/>
    <s v="male"/>
    <s v="Male"/>
    <n v="33"/>
    <x v="13"/>
    <x v="11"/>
    <x v="3"/>
    <n v="2"/>
    <x v="2"/>
    <n v="75"/>
    <x v="11"/>
    <n v="2.5"/>
    <b v="0"/>
    <x v="0"/>
    <n v="0.65"/>
    <n v="0.65"/>
  </r>
  <r>
    <s v="FL250304"/>
    <s v="Olivia Schultz"/>
    <s v="Olivia Schultz"/>
    <s v="f"/>
    <s v="Female"/>
    <n v="37"/>
    <x v="14"/>
    <x v="1"/>
    <x v="2"/>
    <n v="0"/>
    <x v="2"/>
    <s v="USD 50"/>
    <x v="12"/>
    <n v="4.7"/>
    <n v="0"/>
    <x v="1"/>
    <n v="0.77"/>
    <n v="0.77"/>
  </r>
  <r>
    <s v="FL250305"/>
    <s v="Clayton Pena"/>
    <s v="Clayton Pena"/>
    <s v="male"/>
    <s v="Male"/>
    <n v="20"/>
    <x v="16"/>
    <x v="13"/>
    <x v="5"/>
    <n v="0"/>
    <x v="2"/>
    <n v="20"/>
    <x v="15"/>
    <n v="3.9"/>
    <b v="0"/>
    <x v="0"/>
    <m/>
    <m/>
  </r>
  <r>
    <s v="FL250306"/>
    <s v="Ashley Salazar"/>
    <s v="Ashley Salazar"/>
    <s v="FEMALE"/>
    <s v="Female"/>
    <n v="48"/>
    <x v="18"/>
    <x v="15"/>
    <x v="5"/>
    <n v="2"/>
    <x v="2"/>
    <n v="75"/>
    <x v="11"/>
    <n v="1.6"/>
    <s v="N"/>
    <x v="0"/>
    <n v="0.67"/>
    <n v="0.67"/>
  </r>
  <r>
    <s v="FL250307"/>
    <s v="Robert Lucas"/>
    <s v="Robert Lucas"/>
    <s v="male"/>
    <s v="Male"/>
    <n v="27"/>
    <x v="15"/>
    <x v="12"/>
    <x v="7"/>
    <n v="2"/>
    <x v="2"/>
    <s v="$50"/>
    <x v="9"/>
    <m/>
    <n v="0"/>
    <x v="1"/>
    <n v="0.84"/>
    <n v="0.84"/>
  </r>
  <r>
    <s v="FL250308"/>
    <s v="David Cox"/>
    <s v="David Cox"/>
    <s v="m"/>
    <s v="Male"/>
    <n v="34"/>
    <x v="12"/>
    <x v="10"/>
    <x v="1"/>
    <n v="1"/>
    <x v="2"/>
    <n v="30"/>
    <x v="4"/>
    <n v="3.6"/>
    <n v="1"/>
    <x v="2"/>
    <n v="0.87"/>
    <n v="0.87"/>
  </r>
  <r>
    <s v="FL250309"/>
    <s v="Christian Campbell"/>
    <s v="Christian Campbell"/>
    <s v="male"/>
    <s v="Male"/>
    <n v="55"/>
    <x v="11"/>
    <x v="9"/>
    <x v="9"/>
    <n v="14"/>
    <x v="0"/>
    <s v="USD 30"/>
    <x v="13"/>
    <n v="1.2"/>
    <s v="yes"/>
    <x v="1"/>
    <n v="0.91"/>
    <n v="0.91"/>
  </r>
  <r>
    <s v="FL250310"/>
    <s v="Mrs. Angela Ward"/>
    <s v=" Angela Ward"/>
    <s v="f"/>
    <m/>
    <n v="44"/>
    <x v="17"/>
    <x v="14"/>
    <x v="9"/>
    <n v="14"/>
    <x v="0"/>
    <s v="USD 75"/>
    <x v="6"/>
    <n v="3"/>
    <n v="0"/>
    <x v="1"/>
    <n v="0.78"/>
    <n v="0.78"/>
  </r>
  <r>
    <s v="FL250311"/>
    <s v="Lucas Chen"/>
    <s v="Lucas Chen"/>
    <s v="male"/>
    <s v="Male"/>
    <n v="31"/>
    <x v="3"/>
    <x v="3"/>
    <x v="6"/>
    <n v="2"/>
    <x v="2"/>
    <n v="50"/>
    <x v="2"/>
    <n v="3.9"/>
    <n v="0"/>
    <x v="0"/>
    <m/>
    <m/>
  </r>
  <r>
    <s v="FL250312"/>
    <s v="Ruben Nelson"/>
    <s v="Ruben Nelson"/>
    <s v="m"/>
    <s v="Male"/>
    <n v="34"/>
    <x v="1"/>
    <x v="1"/>
    <x v="8"/>
    <n v="1"/>
    <x v="2"/>
    <n v="40"/>
    <x v="10"/>
    <n v="1.7"/>
    <m/>
    <x v="1"/>
    <n v="74"/>
    <n v="0.74"/>
  </r>
  <r>
    <s v="FL250313"/>
    <s v="Brenda Briggs"/>
    <s v="Brenda Briggs"/>
    <s v="f"/>
    <s v="Female"/>
    <n v="47"/>
    <x v="11"/>
    <x v="9"/>
    <x v="8"/>
    <n v="13"/>
    <x v="0"/>
    <n v="20"/>
    <x v="15"/>
    <n v="4.5"/>
    <m/>
    <x v="1"/>
    <n v="0.91"/>
    <n v="0.91"/>
  </r>
  <r>
    <s v="FL250314"/>
    <s v="Ronald Smith"/>
    <s v="Ronald Smith"/>
    <s v="m"/>
    <s v="Male"/>
    <n v="50"/>
    <x v="5"/>
    <x v="1"/>
    <x v="2"/>
    <n v="23"/>
    <x v="1"/>
    <s v="$40"/>
    <x v="3"/>
    <n v="3.6"/>
    <b v="1"/>
    <x v="1"/>
    <n v="0.71"/>
    <n v="0.71"/>
  </r>
  <r>
    <s v="FL250315"/>
    <s v="Dakota Giles"/>
    <s v="Dakota Giles"/>
    <s v="m"/>
    <s v="Male"/>
    <n v="39"/>
    <x v="2"/>
    <x v="2"/>
    <x v="7"/>
    <m/>
    <x v="2"/>
    <s v="USD 75"/>
    <x v="6"/>
    <n v="3.6"/>
    <s v="Y"/>
    <x v="1"/>
    <n v="0.87"/>
    <n v="0.87"/>
  </r>
  <r>
    <s v="FL250316"/>
    <s v="Angela Castillo"/>
    <s v="Angela Castillo"/>
    <s v="FEMALE"/>
    <s v="Female"/>
    <n v="26"/>
    <x v="8"/>
    <x v="6"/>
    <x v="0"/>
    <n v="3"/>
    <x v="2"/>
    <s v="USD 100"/>
    <x v="1"/>
    <n v="2.8"/>
    <n v="1"/>
    <x v="1"/>
    <n v="0.61"/>
    <n v="0.61"/>
  </r>
  <r>
    <s v="FL250317"/>
    <s v="Allen Lee"/>
    <s v="Allen Lee"/>
    <s v="m"/>
    <s v="Male"/>
    <m/>
    <x v="3"/>
    <x v="3"/>
    <x v="8"/>
    <n v="0"/>
    <x v="2"/>
    <s v="$100"/>
    <x v="17"/>
    <n v="5"/>
    <s v="N"/>
    <x v="1"/>
    <m/>
    <m/>
  </r>
  <r>
    <s v="FL250318"/>
    <s v="Michael Rogers"/>
    <s v="Michael Rogers"/>
    <s v="male"/>
    <s v="Male"/>
    <n v="32"/>
    <x v="2"/>
    <x v="2"/>
    <x v="2"/>
    <n v="0"/>
    <x v="2"/>
    <n v="100"/>
    <x v="0"/>
    <n v="1.4"/>
    <n v="1"/>
    <x v="2"/>
    <n v="0.81"/>
    <n v="0.81"/>
  </r>
  <r>
    <s v="FL250319"/>
    <s v="Danielle Costa"/>
    <s v="Danielle Costa"/>
    <s v="FEMALE"/>
    <s v="Female"/>
    <n v="55"/>
    <x v="13"/>
    <x v="11"/>
    <x v="5"/>
    <n v="17"/>
    <x v="4"/>
    <n v="30"/>
    <x v="4"/>
    <m/>
    <m/>
    <x v="1"/>
    <m/>
    <m/>
  </r>
  <r>
    <s v="FL250320"/>
    <s v="William Nunez"/>
    <s v="William Nunez"/>
    <s v="m"/>
    <s v="Male"/>
    <n v="32"/>
    <x v="8"/>
    <x v="6"/>
    <x v="9"/>
    <n v="9"/>
    <x v="3"/>
    <s v="USD 40"/>
    <x v="7"/>
    <n v="4.5999999999999996"/>
    <n v="1"/>
    <x v="1"/>
    <n v="0.84"/>
    <n v="0.84"/>
  </r>
  <r>
    <s v="FL250321"/>
    <s v="Christopher Riggs"/>
    <s v="Christopher Riggs"/>
    <s v="m"/>
    <s v="Male"/>
    <n v="30"/>
    <x v="12"/>
    <x v="10"/>
    <x v="0"/>
    <n v="4"/>
    <x v="2"/>
    <s v="$20"/>
    <x v="14"/>
    <n v="3.3"/>
    <s v="no"/>
    <x v="1"/>
    <m/>
    <m/>
  </r>
  <r>
    <s v="FL250322"/>
    <s v="Kathryn Myers"/>
    <s v="Kathryn Myers"/>
    <s v="FEMALE"/>
    <s v="Female"/>
    <n v="37"/>
    <x v="14"/>
    <x v="1"/>
    <x v="7"/>
    <n v="0"/>
    <x v="2"/>
    <s v="$40"/>
    <x v="3"/>
    <n v="3.7"/>
    <n v="1"/>
    <x v="1"/>
    <m/>
    <m/>
  </r>
  <r>
    <s v="FL250323"/>
    <s v="Robert Walls"/>
    <s v="Robert Walls"/>
    <s v="m"/>
    <s v="Male"/>
    <n v="52"/>
    <x v="11"/>
    <x v="9"/>
    <x v="2"/>
    <n v="33"/>
    <x v="1"/>
    <m/>
    <x v="8"/>
    <n v="0"/>
    <n v="1"/>
    <x v="1"/>
    <n v="0.6"/>
    <n v="0.6"/>
  </r>
  <r>
    <s v="FL250324"/>
    <s v="Justin Johnson"/>
    <s v="Justin Johnson"/>
    <s v="male"/>
    <s v="Male"/>
    <n v="48"/>
    <x v="10"/>
    <x v="8"/>
    <x v="7"/>
    <n v="18"/>
    <x v="4"/>
    <n v="50"/>
    <x v="2"/>
    <n v="0"/>
    <s v="Y"/>
    <x v="2"/>
    <n v="0.64"/>
    <n v="0.64"/>
  </r>
  <r>
    <s v="FL250325"/>
    <s v="Paula Stevens"/>
    <s v="Paula Stevens"/>
    <s v="FEMALE"/>
    <s v="Female"/>
    <n v="28"/>
    <x v="9"/>
    <x v="7"/>
    <x v="1"/>
    <n v="9"/>
    <x v="3"/>
    <n v="40"/>
    <x v="10"/>
    <m/>
    <n v="1"/>
    <x v="2"/>
    <n v="0.64"/>
    <n v="0.64"/>
  </r>
  <r>
    <s v="FL250326"/>
    <s v="Jennifer Allen"/>
    <s v="Jennifer Allen"/>
    <s v="FEMALE"/>
    <s v="Female"/>
    <n v="58"/>
    <x v="20"/>
    <x v="6"/>
    <x v="5"/>
    <n v="40"/>
    <x v="1"/>
    <n v="75"/>
    <x v="11"/>
    <n v="3.4"/>
    <n v="1"/>
    <x v="2"/>
    <n v="1"/>
    <n v="1"/>
  </r>
  <r>
    <s v="FL250327"/>
    <s v="Mark Hudson"/>
    <s v="Mark Hudson"/>
    <s v="male"/>
    <s v="Male"/>
    <n v="30"/>
    <x v="8"/>
    <x v="6"/>
    <x v="3"/>
    <n v="1"/>
    <x v="2"/>
    <n v="40"/>
    <x v="10"/>
    <n v="1.6"/>
    <b v="1"/>
    <x v="2"/>
    <n v="100"/>
    <n v="1"/>
  </r>
  <r>
    <s v="FL250328"/>
    <s v="Jessica Smith"/>
    <s v="Jessica Smith"/>
    <s v="FEMALE"/>
    <s v="Female"/>
    <n v="47"/>
    <x v="18"/>
    <x v="15"/>
    <x v="1"/>
    <n v="5"/>
    <x v="2"/>
    <n v="20"/>
    <x v="15"/>
    <n v="1.9"/>
    <n v="0"/>
    <x v="0"/>
    <m/>
    <m/>
  </r>
  <r>
    <s v="FL250329"/>
    <s v="Mike Dean"/>
    <s v="Mike Dean"/>
    <s v="male"/>
    <s v="Male"/>
    <n v="44"/>
    <x v="8"/>
    <x v="6"/>
    <x v="4"/>
    <n v="4"/>
    <x v="2"/>
    <s v="$50"/>
    <x v="9"/>
    <n v="0"/>
    <b v="1"/>
    <x v="1"/>
    <n v="0.83"/>
    <n v="0.83"/>
  </r>
  <r>
    <s v="FL250330"/>
    <s v="Jose Wilson"/>
    <s v="Jose Wilson"/>
    <s v="m"/>
    <s v="Male"/>
    <n v="56"/>
    <x v="0"/>
    <x v="0"/>
    <x v="9"/>
    <n v="13"/>
    <x v="0"/>
    <s v="USD 40"/>
    <x v="7"/>
    <m/>
    <n v="1"/>
    <x v="1"/>
    <n v="0.87"/>
    <n v="0.87"/>
  </r>
  <r>
    <s v="FL250331"/>
    <s v="Tammy Hill"/>
    <s v="Tammy Hill"/>
    <s v="FEMALE"/>
    <s v="Female"/>
    <n v="53"/>
    <x v="5"/>
    <x v="1"/>
    <x v="1"/>
    <n v="33"/>
    <x v="1"/>
    <s v="$100"/>
    <x v="17"/>
    <m/>
    <s v="no"/>
    <x v="1"/>
    <n v="0.75"/>
    <n v="0.75"/>
  </r>
  <r>
    <s v="FL250332"/>
    <s v="Nathaniel Flores"/>
    <s v="Nathaniel Flores"/>
    <s v="male"/>
    <s v="Male"/>
    <n v="59"/>
    <x v="7"/>
    <x v="1"/>
    <x v="1"/>
    <n v="22"/>
    <x v="1"/>
    <n v="40"/>
    <x v="10"/>
    <n v="1.1000000000000001"/>
    <s v="yes"/>
    <x v="2"/>
    <n v="0.61"/>
    <n v="0.61"/>
  </r>
  <r>
    <s v="FL250333"/>
    <s v="Edwin Carter"/>
    <s v="Edwin Carter"/>
    <s v="m"/>
    <s v="Male"/>
    <n v="60"/>
    <x v="5"/>
    <x v="1"/>
    <x v="8"/>
    <n v="34"/>
    <x v="1"/>
    <m/>
    <x v="8"/>
    <n v="2.5"/>
    <b v="0"/>
    <x v="1"/>
    <n v="0.93"/>
    <n v="0.93"/>
  </r>
  <r>
    <s v="FL250334"/>
    <s v="Patricia Miller"/>
    <s v="Patricia Miller"/>
    <s v="FEMALE"/>
    <s v="Female"/>
    <n v="33"/>
    <x v="2"/>
    <x v="2"/>
    <x v="1"/>
    <n v="8"/>
    <x v="3"/>
    <s v="USD 30"/>
    <x v="13"/>
    <n v="3.6"/>
    <n v="1"/>
    <x v="1"/>
    <m/>
    <m/>
  </r>
  <r>
    <s v="FL250335"/>
    <s v="Rebecca Schneider"/>
    <s v="Rebecca Schneider"/>
    <s v="FEMALE"/>
    <s v="Female"/>
    <n v="21"/>
    <x v="8"/>
    <x v="6"/>
    <x v="3"/>
    <n v="1"/>
    <x v="2"/>
    <s v="USD 20"/>
    <x v="18"/>
    <m/>
    <b v="0"/>
    <x v="1"/>
    <n v="0.99"/>
    <n v="0.99"/>
  </r>
  <r>
    <s v="FL250336"/>
    <s v="John Greene"/>
    <s v="John Greene"/>
    <s v="male"/>
    <s v="Male"/>
    <n v="54"/>
    <x v="7"/>
    <x v="1"/>
    <x v="6"/>
    <n v="20"/>
    <x v="4"/>
    <n v="50"/>
    <x v="2"/>
    <n v="4.4000000000000004"/>
    <n v="0"/>
    <x v="0"/>
    <n v="73"/>
    <n v="0.73"/>
  </r>
  <r>
    <s v="FL250337"/>
    <s v="Brittany Mcdowell"/>
    <s v="Brittany Mcdowell"/>
    <s v="FEMALE"/>
    <s v="Female"/>
    <n v="33"/>
    <x v="5"/>
    <x v="1"/>
    <x v="2"/>
    <n v="11"/>
    <x v="0"/>
    <n v="75"/>
    <x v="11"/>
    <n v="2.1"/>
    <n v="0"/>
    <x v="0"/>
    <n v="0.96"/>
    <n v="0.96"/>
  </r>
  <r>
    <s v="FL250338"/>
    <s v="Lori Miller"/>
    <s v="Lori Miller"/>
    <s v="FEMALE"/>
    <s v="Female"/>
    <n v="57"/>
    <x v="6"/>
    <x v="5"/>
    <x v="5"/>
    <n v="2"/>
    <x v="2"/>
    <n v="40"/>
    <x v="10"/>
    <n v="0"/>
    <b v="0"/>
    <x v="0"/>
    <n v="0.6"/>
    <n v="0.6"/>
  </r>
  <r>
    <s v="FL250339"/>
    <s v="Joseph Robinson"/>
    <s v="Joseph Robinson"/>
    <s v="m"/>
    <s v="Male"/>
    <n v="36"/>
    <x v="12"/>
    <x v="10"/>
    <x v="2"/>
    <n v="6"/>
    <x v="3"/>
    <n v="20"/>
    <x v="15"/>
    <n v="1"/>
    <s v="Y"/>
    <x v="2"/>
    <n v="0.64"/>
    <n v="0.64"/>
  </r>
  <r>
    <s v="FL250340"/>
    <s v="Aaron Pruitt"/>
    <s v="Aaron Pruitt"/>
    <s v="male"/>
    <s v="Male"/>
    <n v="50"/>
    <x v="2"/>
    <x v="2"/>
    <x v="0"/>
    <n v="20"/>
    <x v="4"/>
    <s v="USD 30"/>
    <x v="13"/>
    <n v="0"/>
    <n v="0"/>
    <x v="1"/>
    <m/>
    <m/>
  </r>
  <r>
    <s v="FL250341"/>
    <s v="Victoria Miller"/>
    <s v="Victoria Miller"/>
    <s v="f"/>
    <s v="Female"/>
    <n v="37"/>
    <x v="14"/>
    <x v="1"/>
    <x v="8"/>
    <m/>
    <x v="2"/>
    <s v="USD 20"/>
    <x v="18"/>
    <n v="4.9000000000000004"/>
    <s v="N"/>
    <x v="1"/>
    <m/>
    <m/>
  </r>
  <r>
    <s v="FL250342"/>
    <s v="Clarence Vega"/>
    <s v="Clarence Vega"/>
    <s v="m"/>
    <s v="Male"/>
    <n v="53"/>
    <x v="0"/>
    <x v="0"/>
    <x v="4"/>
    <n v="4"/>
    <x v="2"/>
    <n v="30"/>
    <x v="4"/>
    <n v="4.7"/>
    <s v="no"/>
    <x v="0"/>
    <n v="0.99"/>
    <n v="0.99"/>
  </r>
  <r>
    <s v="FL250343"/>
    <s v="Deborah Day"/>
    <s v="Deborah Day"/>
    <s v="FEMALE"/>
    <s v="Female"/>
    <n v="22"/>
    <x v="0"/>
    <x v="0"/>
    <x v="0"/>
    <n v="3"/>
    <x v="2"/>
    <s v="USD 40"/>
    <x v="7"/>
    <n v="2.1"/>
    <n v="0"/>
    <x v="1"/>
    <m/>
    <m/>
  </r>
  <r>
    <s v="FL250344"/>
    <s v="Nicole Rocha"/>
    <s v="Nicole Rocha"/>
    <s v="FEMALE"/>
    <s v="Female"/>
    <n v="55"/>
    <x v="3"/>
    <x v="3"/>
    <x v="1"/>
    <n v="33"/>
    <x v="1"/>
    <n v="40"/>
    <x v="10"/>
    <n v="1.5"/>
    <s v="Y"/>
    <x v="2"/>
    <n v="0.71"/>
    <n v="0.71"/>
  </r>
  <r>
    <s v="FL250345"/>
    <s v="Elijah Green"/>
    <s v="Elijah Green"/>
    <s v="male"/>
    <s v="Male"/>
    <n v="22"/>
    <x v="1"/>
    <x v="1"/>
    <x v="7"/>
    <n v="1"/>
    <x v="2"/>
    <m/>
    <x v="8"/>
    <n v="2.6"/>
    <n v="0"/>
    <x v="1"/>
    <n v="0.72"/>
    <n v="0.72"/>
  </r>
  <r>
    <s v="FL250346"/>
    <s v="Emily Johnson"/>
    <s v="Emily Johnson"/>
    <s v="f"/>
    <s v="Female"/>
    <n v="45"/>
    <x v="6"/>
    <x v="5"/>
    <x v="3"/>
    <n v="23"/>
    <x v="1"/>
    <s v="USD 50"/>
    <x v="12"/>
    <n v="0"/>
    <n v="0"/>
    <x v="1"/>
    <n v="0.66"/>
    <n v="0.66"/>
  </r>
  <r>
    <s v="FL250347"/>
    <s v="Richard Velasquez Jr."/>
    <s v="Richard Velasquez Jr."/>
    <s v="m"/>
    <s v="Male"/>
    <n v="36"/>
    <x v="15"/>
    <x v="12"/>
    <x v="5"/>
    <n v="13"/>
    <x v="0"/>
    <n v="40"/>
    <x v="10"/>
    <m/>
    <s v="N"/>
    <x v="0"/>
    <n v="0.78"/>
    <n v="0.78"/>
  </r>
  <r>
    <s v="FL250348"/>
    <s v="Kurt Wilson"/>
    <s v="Kurt Wilson"/>
    <s v="m"/>
    <s v="Male"/>
    <n v="23"/>
    <x v="1"/>
    <x v="1"/>
    <x v="8"/>
    <n v="1"/>
    <x v="2"/>
    <s v="USD 20"/>
    <x v="18"/>
    <n v="4"/>
    <s v="Y"/>
    <x v="1"/>
    <n v="100"/>
    <n v="1"/>
  </r>
  <r>
    <s v="FL250349"/>
    <s v="Jeremiah Rodriguez"/>
    <s v="Jeremiah Rodriguez"/>
    <s v="m"/>
    <s v="Male"/>
    <n v="55"/>
    <x v="0"/>
    <x v="0"/>
    <x v="8"/>
    <n v="15"/>
    <x v="0"/>
    <n v="40"/>
    <x v="10"/>
    <n v="4.5"/>
    <m/>
    <x v="1"/>
    <m/>
    <m/>
  </r>
  <r>
    <s v="FL250350"/>
    <s v="Lauren Lang"/>
    <s v="Lauren Lang"/>
    <s v="f"/>
    <s v="Female"/>
    <n v="50"/>
    <x v="11"/>
    <x v="9"/>
    <x v="1"/>
    <n v="18"/>
    <x v="4"/>
    <n v="75"/>
    <x v="11"/>
    <n v="3.8"/>
    <n v="0"/>
    <x v="0"/>
    <n v="67"/>
    <n v="0.67"/>
  </r>
  <r>
    <s v="FL250351"/>
    <s v="Matthew Phillips"/>
    <s v="Matthew Phillips"/>
    <s v="male"/>
    <s v="Male"/>
    <n v="48"/>
    <x v="5"/>
    <x v="1"/>
    <x v="9"/>
    <n v="21"/>
    <x v="1"/>
    <n v="50"/>
    <x v="2"/>
    <n v="4"/>
    <n v="0"/>
    <x v="0"/>
    <n v="0.78"/>
    <n v="0.78"/>
  </r>
  <r>
    <s v="FL250352"/>
    <s v="Michael Andersen"/>
    <s v="Michael Andersen"/>
    <s v="male"/>
    <s v="Male"/>
    <n v="23"/>
    <x v="3"/>
    <x v="3"/>
    <x v="8"/>
    <n v="1"/>
    <x v="2"/>
    <s v="$40"/>
    <x v="3"/>
    <n v="4.9000000000000004"/>
    <s v="yes"/>
    <x v="1"/>
    <n v="0.78"/>
    <n v="0.78"/>
  </r>
  <r>
    <s v="FL250353"/>
    <s v="Amanda Mayo"/>
    <s v="Amanda Mayo"/>
    <s v="f"/>
    <s v="Female"/>
    <n v="49"/>
    <x v="14"/>
    <x v="1"/>
    <x v="3"/>
    <n v="25"/>
    <x v="1"/>
    <s v="$30"/>
    <x v="5"/>
    <n v="3.4"/>
    <n v="0"/>
    <x v="1"/>
    <n v="0.75"/>
    <n v="0.75"/>
  </r>
  <r>
    <s v="FL250354"/>
    <s v="Jessica Vance"/>
    <s v="Jessica Vance"/>
    <s v="f"/>
    <s v="Female"/>
    <n v="47"/>
    <x v="0"/>
    <x v="0"/>
    <x v="7"/>
    <n v="12"/>
    <x v="0"/>
    <n v="50"/>
    <x v="2"/>
    <n v="2.1"/>
    <b v="1"/>
    <x v="2"/>
    <n v="0.67"/>
    <n v="0.67"/>
  </r>
  <r>
    <s v="FL250355"/>
    <s v="Alexa Gallegos"/>
    <s v="Alexa Gallegos"/>
    <s v="FEMALE"/>
    <s v="Female"/>
    <n v="56"/>
    <x v="9"/>
    <x v="7"/>
    <x v="2"/>
    <n v="32"/>
    <x v="1"/>
    <s v="USD 40"/>
    <x v="7"/>
    <n v="0"/>
    <n v="1"/>
    <x v="1"/>
    <n v="0.86"/>
    <n v="0.86"/>
  </r>
  <r>
    <s v="FL250356"/>
    <s v="Charles Pratt"/>
    <s v="Charles Pratt"/>
    <s v="male"/>
    <s v="Male"/>
    <n v="58"/>
    <x v="8"/>
    <x v="6"/>
    <x v="6"/>
    <m/>
    <x v="2"/>
    <n v="100"/>
    <x v="0"/>
    <n v="4.5"/>
    <s v="no"/>
    <x v="0"/>
    <n v="77"/>
    <n v="0.77"/>
  </r>
  <r>
    <s v="FL250357"/>
    <s v="Brian Baker"/>
    <s v="Brian Baker"/>
    <s v="m"/>
    <s v="Male"/>
    <n v="32"/>
    <x v="12"/>
    <x v="10"/>
    <x v="6"/>
    <n v="10"/>
    <x v="3"/>
    <s v="$30"/>
    <x v="5"/>
    <n v="3.8"/>
    <n v="0"/>
    <x v="1"/>
    <n v="0.61"/>
    <n v="0.61"/>
  </r>
  <r>
    <s v="FL250358"/>
    <s v="Christina Norman"/>
    <s v="Christina Norman"/>
    <s v="FEMALE"/>
    <s v="Female"/>
    <n v="52"/>
    <x v="10"/>
    <x v="8"/>
    <x v="6"/>
    <n v="0"/>
    <x v="2"/>
    <m/>
    <x v="8"/>
    <n v="4.3"/>
    <n v="0"/>
    <x v="1"/>
    <n v="0.9"/>
    <n v="0.9"/>
  </r>
  <r>
    <s v="FL250359"/>
    <s v="Laura Kelly"/>
    <s v="Laura Kelly"/>
    <s v="FEMALE"/>
    <s v="Female"/>
    <n v="22"/>
    <x v="18"/>
    <x v="15"/>
    <x v="5"/>
    <n v="1"/>
    <x v="2"/>
    <n v="50"/>
    <x v="2"/>
    <n v="0"/>
    <m/>
    <x v="1"/>
    <n v="0.98"/>
    <n v="0.98"/>
  </r>
  <r>
    <s v="FL250360"/>
    <s v="John Webb"/>
    <s v="John Webb"/>
    <s v="male"/>
    <s v="Male"/>
    <n v="20"/>
    <x v="10"/>
    <x v="8"/>
    <x v="7"/>
    <n v="2"/>
    <x v="2"/>
    <n v="30"/>
    <x v="4"/>
    <m/>
    <n v="1"/>
    <x v="2"/>
    <n v="0.99"/>
    <n v="0.99"/>
  </r>
  <r>
    <s v="FL250361"/>
    <s v="Christopher Burton"/>
    <s v="Christopher Burton"/>
    <s v="m"/>
    <s v="Male"/>
    <n v="56"/>
    <x v="3"/>
    <x v="3"/>
    <x v="5"/>
    <n v="9"/>
    <x v="3"/>
    <s v="USD 40"/>
    <x v="7"/>
    <n v="2.6"/>
    <n v="0"/>
    <x v="1"/>
    <n v="0.61"/>
    <n v="0.61"/>
  </r>
  <r>
    <s v="FL250362"/>
    <s v="Bradley Aguilar"/>
    <s v="Bradley Aguilar"/>
    <s v="male"/>
    <s v="Male"/>
    <n v="41"/>
    <x v="9"/>
    <x v="7"/>
    <x v="5"/>
    <n v="22"/>
    <x v="1"/>
    <s v="USD 50"/>
    <x v="12"/>
    <n v="1.6"/>
    <n v="1"/>
    <x v="1"/>
    <n v="0.61"/>
    <n v="0.61"/>
  </r>
  <r>
    <s v="FL250363"/>
    <s v="Arthur Vasquez"/>
    <s v="Arthur Vasquez"/>
    <s v="male"/>
    <s v="Male"/>
    <n v="25"/>
    <x v="8"/>
    <x v="6"/>
    <x v="0"/>
    <n v="5"/>
    <x v="2"/>
    <s v="$30"/>
    <x v="5"/>
    <n v="2.2999999999999998"/>
    <n v="0"/>
    <x v="1"/>
    <n v="0.91"/>
    <n v="0.91"/>
  </r>
  <r>
    <s v="FL250364"/>
    <s v="Angela Castro"/>
    <s v="Angela Castro"/>
    <s v="FEMALE"/>
    <s v="Female"/>
    <n v="44"/>
    <x v="14"/>
    <x v="1"/>
    <x v="7"/>
    <n v="6"/>
    <x v="3"/>
    <n v="75"/>
    <x v="11"/>
    <n v="4.5999999999999996"/>
    <s v="Y"/>
    <x v="2"/>
    <n v="72"/>
    <n v="0.72"/>
  </r>
  <r>
    <s v="FL250365"/>
    <s v="Summer Yoder"/>
    <s v="Summer Yoder"/>
    <s v="FEMALE"/>
    <s v="Female"/>
    <n v="46"/>
    <x v="1"/>
    <x v="1"/>
    <x v="3"/>
    <n v="26"/>
    <x v="1"/>
    <s v="$100"/>
    <x v="17"/>
    <n v="2.1"/>
    <m/>
    <x v="1"/>
    <m/>
    <m/>
  </r>
  <r>
    <s v="FL250366"/>
    <s v="Jackie Allen"/>
    <s v="Jackie Allen"/>
    <s v="FEMALE"/>
    <s v="Female"/>
    <n v="40"/>
    <x v="12"/>
    <x v="10"/>
    <x v="0"/>
    <m/>
    <x v="2"/>
    <n v="40"/>
    <x v="10"/>
    <n v="1.5"/>
    <b v="0"/>
    <x v="0"/>
    <n v="0.96"/>
    <n v="0.96"/>
  </r>
  <r>
    <s v="FL250367"/>
    <s v="Brandon Williams"/>
    <s v="Brandon Williams"/>
    <s v="male"/>
    <s v="Male"/>
    <m/>
    <x v="18"/>
    <x v="15"/>
    <x v="4"/>
    <n v="9"/>
    <x v="3"/>
    <s v="USD 40"/>
    <x v="7"/>
    <n v="1.7"/>
    <n v="1"/>
    <x v="1"/>
    <n v="72"/>
    <n v="0.72"/>
  </r>
  <r>
    <s v="FL250368"/>
    <s v="Manuel Torres"/>
    <s v="Manuel Torres"/>
    <s v="m"/>
    <s v="Male"/>
    <n v="31"/>
    <x v="9"/>
    <x v="7"/>
    <x v="5"/>
    <n v="11"/>
    <x v="0"/>
    <m/>
    <x v="8"/>
    <n v="3.3"/>
    <n v="0"/>
    <x v="1"/>
    <m/>
    <m/>
  </r>
  <r>
    <s v="FL250369"/>
    <s v="Scott Keller"/>
    <s v="Scott Keller"/>
    <s v="m"/>
    <s v="Male"/>
    <n v="33"/>
    <x v="12"/>
    <x v="10"/>
    <x v="9"/>
    <m/>
    <x v="2"/>
    <s v="$40"/>
    <x v="3"/>
    <n v="4.3"/>
    <n v="1"/>
    <x v="1"/>
    <n v="0.63"/>
    <n v="0.63"/>
  </r>
  <r>
    <s v="FL250370"/>
    <s v="Deborah Brown"/>
    <s v="Deborah Brown"/>
    <s v="FEMALE"/>
    <s v="Female"/>
    <n v="31"/>
    <x v="11"/>
    <x v="9"/>
    <x v="9"/>
    <n v="3"/>
    <x v="2"/>
    <s v="$20"/>
    <x v="14"/>
    <m/>
    <s v="N"/>
    <x v="1"/>
    <m/>
    <m/>
  </r>
  <r>
    <s v="FL250371"/>
    <s v="Jennifer Lara"/>
    <s v="Jennifer Lara"/>
    <s v="f"/>
    <s v="Female"/>
    <n v="49"/>
    <x v="0"/>
    <x v="0"/>
    <x v="5"/>
    <n v="15"/>
    <x v="0"/>
    <s v="USD 75"/>
    <x v="6"/>
    <n v="2.6"/>
    <s v="N"/>
    <x v="1"/>
    <n v="0.83"/>
    <n v="0.83"/>
  </r>
  <r>
    <s v="FL250372"/>
    <s v="Jason Scott"/>
    <s v="Jason Scott"/>
    <s v="male"/>
    <s v="Male"/>
    <n v="35"/>
    <x v="19"/>
    <x v="6"/>
    <x v="2"/>
    <n v="12"/>
    <x v="0"/>
    <s v="USD 20"/>
    <x v="18"/>
    <n v="4.0999999999999996"/>
    <m/>
    <x v="1"/>
    <n v="0.94"/>
    <n v="0.94"/>
  </r>
  <r>
    <s v="FL250373"/>
    <s v="Gregory Garrison"/>
    <s v="Gregory Garrison"/>
    <s v="m"/>
    <s v="Male"/>
    <n v="45"/>
    <x v="10"/>
    <x v="8"/>
    <x v="5"/>
    <n v="19"/>
    <x v="4"/>
    <s v="$40"/>
    <x v="3"/>
    <n v="2.2000000000000002"/>
    <n v="1"/>
    <x v="1"/>
    <n v="0.78"/>
    <n v="0.78"/>
  </r>
  <r>
    <s v="FL250374"/>
    <s v="Chelsea Anderson"/>
    <s v="Chelsea Anderson"/>
    <s v="FEMALE"/>
    <s v="Female"/>
    <n v="39"/>
    <x v="3"/>
    <x v="3"/>
    <x v="5"/>
    <n v="13"/>
    <x v="0"/>
    <n v="30"/>
    <x v="4"/>
    <n v="1.1000000000000001"/>
    <n v="1"/>
    <x v="2"/>
    <m/>
    <m/>
  </r>
  <r>
    <s v="FL250375"/>
    <s v="Gerald Johnson"/>
    <s v="Gerald Johnson"/>
    <s v="male"/>
    <s v="Male"/>
    <m/>
    <x v="8"/>
    <x v="6"/>
    <x v="0"/>
    <m/>
    <x v="2"/>
    <s v="$50"/>
    <x v="9"/>
    <n v="2.1"/>
    <n v="1"/>
    <x v="1"/>
    <n v="0.82"/>
    <n v="0.82"/>
  </r>
  <r>
    <s v="FL250376"/>
    <s v="Kevin Ellis"/>
    <s v="Kevin Ellis"/>
    <s v="male"/>
    <s v="Male"/>
    <n v="24"/>
    <x v="2"/>
    <x v="2"/>
    <x v="7"/>
    <n v="3"/>
    <x v="2"/>
    <s v="$30"/>
    <x v="5"/>
    <n v="2.2999999999999998"/>
    <b v="0"/>
    <x v="1"/>
    <n v="0.66"/>
    <n v="0.66"/>
  </r>
  <r>
    <s v="FL250377"/>
    <s v="Mitchell Keller"/>
    <s v="Mitchell Keller"/>
    <s v="male"/>
    <s v="Male"/>
    <n v="50"/>
    <x v="1"/>
    <x v="1"/>
    <x v="2"/>
    <n v="26"/>
    <x v="1"/>
    <m/>
    <x v="8"/>
    <n v="3.6"/>
    <n v="1"/>
    <x v="1"/>
    <n v="82"/>
    <n v="0.82"/>
  </r>
  <r>
    <s v="FL250378"/>
    <s v="Mary Brown"/>
    <s v="Mary Brown"/>
    <s v="FEMALE"/>
    <s v="Female"/>
    <n v="23"/>
    <x v="2"/>
    <x v="2"/>
    <x v="9"/>
    <n v="4"/>
    <x v="2"/>
    <s v="USD 20"/>
    <x v="18"/>
    <n v="4.7"/>
    <b v="1"/>
    <x v="1"/>
    <n v="0.84"/>
    <n v="0.84"/>
  </r>
  <r>
    <s v="FL250379"/>
    <s v="Ronald Walls"/>
    <s v="Ronald Walls"/>
    <s v="male"/>
    <s v="Male"/>
    <n v="27"/>
    <x v="14"/>
    <x v="1"/>
    <x v="7"/>
    <n v="8"/>
    <x v="3"/>
    <n v="20"/>
    <x v="15"/>
    <n v="4.8"/>
    <s v="N"/>
    <x v="0"/>
    <n v="0.81"/>
    <n v="0.81"/>
  </r>
  <r>
    <s v="FL250380"/>
    <s v="Anthony Avila"/>
    <s v="Anthony Avila"/>
    <s v="male"/>
    <s v="Male"/>
    <n v="58"/>
    <x v="17"/>
    <x v="14"/>
    <x v="4"/>
    <n v="10"/>
    <x v="3"/>
    <n v="75"/>
    <x v="11"/>
    <n v="4.2"/>
    <s v="N"/>
    <x v="0"/>
    <n v="71"/>
    <n v="0.71"/>
  </r>
  <r>
    <s v="FL250381"/>
    <s v="Douglas Goodwin"/>
    <s v="Douglas Goodwin"/>
    <s v="m"/>
    <s v="Male"/>
    <n v="37"/>
    <x v="0"/>
    <x v="0"/>
    <x v="9"/>
    <n v="5"/>
    <x v="2"/>
    <m/>
    <x v="8"/>
    <n v="4.8"/>
    <n v="1"/>
    <x v="1"/>
    <n v="0.61"/>
    <n v="0.61"/>
  </r>
  <r>
    <s v="FL250382"/>
    <s v="James Mills"/>
    <s v="James Mills"/>
    <s v="male"/>
    <s v="Male"/>
    <n v="39"/>
    <x v="20"/>
    <x v="6"/>
    <x v="0"/>
    <n v="18"/>
    <x v="4"/>
    <n v="75"/>
    <x v="11"/>
    <n v="4"/>
    <n v="1"/>
    <x v="2"/>
    <n v="0.66"/>
    <n v="0.66"/>
  </r>
  <r>
    <s v="FL250383"/>
    <s v="Nicole Marks"/>
    <s v="Nicole Marks"/>
    <s v="FEMALE"/>
    <s v="Female"/>
    <n v="46"/>
    <x v="16"/>
    <x v="13"/>
    <x v="5"/>
    <n v="10"/>
    <x v="3"/>
    <s v="$20"/>
    <x v="14"/>
    <n v="2.5"/>
    <b v="1"/>
    <x v="1"/>
    <n v="0.97"/>
    <n v="0.97"/>
  </r>
  <r>
    <s v="FL250384"/>
    <s v="Phyllis Dawson"/>
    <s v="Phyllis Dawson"/>
    <s v="FEMALE"/>
    <s v="Female"/>
    <m/>
    <x v="7"/>
    <x v="1"/>
    <x v="6"/>
    <n v="0"/>
    <x v="2"/>
    <s v="USD 20"/>
    <x v="18"/>
    <n v="4.8"/>
    <n v="0"/>
    <x v="1"/>
    <n v="0.74"/>
    <n v="0.74"/>
  </r>
  <r>
    <s v="FL250385"/>
    <s v="Renee Arnold"/>
    <s v="Renee Arnold"/>
    <s v="f"/>
    <s v="Female"/>
    <n v="39"/>
    <x v="19"/>
    <x v="6"/>
    <x v="0"/>
    <n v="21"/>
    <x v="1"/>
    <n v="30"/>
    <x v="4"/>
    <n v="4.7"/>
    <b v="0"/>
    <x v="0"/>
    <n v="0.61"/>
    <n v="0.61"/>
  </r>
  <r>
    <s v="FL250386"/>
    <s v="Eric Robinson"/>
    <s v="Eric Robinson"/>
    <s v="m"/>
    <s v="Male"/>
    <n v="59"/>
    <x v="16"/>
    <x v="13"/>
    <x v="0"/>
    <n v="25"/>
    <x v="1"/>
    <n v="20"/>
    <x v="15"/>
    <n v="4"/>
    <n v="0"/>
    <x v="0"/>
    <n v="0.9"/>
    <n v="0.9"/>
  </r>
  <r>
    <s v="FL250387"/>
    <s v="Paul Brown"/>
    <s v="Paul Brown"/>
    <s v="m"/>
    <s v="Male"/>
    <n v="21"/>
    <x v="3"/>
    <x v="3"/>
    <x v="8"/>
    <n v="0"/>
    <x v="2"/>
    <s v="$40"/>
    <x v="3"/>
    <n v="4.0999999999999996"/>
    <s v="Y"/>
    <x v="1"/>
    <n v="0.97"/>
    <n v="0.97"/>
  </r>
  <r>
    <s v="FL250388"/>
    <s v="Sarah Proctor"/>
    <s v="Sarah Proctor"/>
    <s v="FEMALE"/>
    <s v="Female"/>
    <n v="23"/>
    <x v="14"/>
    <x v="1"/>
    <x v="8"/>
    <n v="5"/>
    <x v="2"/>
    <n v="100"/>
    <x v="0"/>
    <n v="3.2"/>
    <n v="1"/>
    <x v="2"/>
    <m/>
    <m/>
  </r>
  <r>
    <s v="FL250389"/>
    <s v="Matthew Hicks"/>
    <s v="Matthew Hicks"/>
    <s v="m"/>
    <s v="Male"/>
    <n v="27"/>
    <x v="16"/>
    <x v="13"/>
    <x v="3"/>
    <n v="1"/>
    <x v="2"/>
    <n v="20"/>
    <x v="15"/>
    <n v="4.3"/>
    <s v="N"/>
    <x v="0"/>
    <n v="0.76"/>
    <n v="0.76"/>
  </r>
  <r>
    <s v="FL250390"/>
    <s v="Christopher Black"/>
    <s v="Christopher Black"/>
    <s v="m"/>
    <s v="Male"/>
    <n v="27"/>
    <x v="18"/>
    <x v="15"/>
    <x v="7"/>
    <n v="4"/>
    <x v="2"/>
    <n v="40"/>
    <x v="10"/>
    <n v="4.4000000000000004"/>
    <n v="0"/>
    <x v="0"/>
    <n v="0.92"/>
    <n v="0.92"/>
  </r>
  <r>
    <s v="FL250391"/>
    <s v="Joanne Reyes"/>
    <s v="Joanne Reyes"/>
    <s v="f"/>
    <s v="Female"/>
    <n v="48"/>
    <x v="17"/>
    <x v="14"/>
    <x v="5"/>
    <n v="21"/>
    <x v="1"/>
    <n v="40"/>
    <x v="10"/>
    <n v="2.2999999999999998"/>
    <n v="0"/>
    <x v="0"/>
    <m/>
    <m/>
  </r>
  <r>
    <s v="FL250392"/>
    <s v="Isaac Gray"/>
    <s v="Isaac Gray"/>
    <s v="male"/>
    <s v="Male"/>
    <n v="21"/>
    <x v="17"/>
    <x v="14"/>
    <x v="4"/>
    <n v="1"/>
    <x v="2"/>
    <s v="$20"/>
    <x v="14"/>
    <n v="2.4"/>
    <n v="1"/>
    <x v="1"/>
    <n v="0.66"/>
    <n v="0.66"/>
  </r>
  <r>
    <s v="FL250393"/>
    <s v="Joshua Roberts"/>
    <s v="Joshua Roberts"/>
    <s v="m"/>
    <s v="Male"/>
    <n v="37"/>
    <x v="0"/>
    <x v="0"/>
    <x v="8"/>
    <m/>
    <x v="2"/>
    <n v="50"/>
    <x v="2"/>
    <n v="4.5999999999999996"/>
    <n v="0"/>
    <x v="0"/>
    <n v="0.83"/>
    <n v="0.83"/>
  </r>
  <r>
    <s v="FL250394"/>
    <s v="Elizabeth Estrada"/>
    <s v="Elizabeth Estrada"/>
    <s v="f"/>
    <s v="Female"/>
    <n v="31"/>
    <x v="2"/>
    <x v="2"/>
    <x v="6"/>
    <n v="10"/>
    <x v="3"/>
    <n v="50"/>
    <x v="2"/>
    <n v="0"/>
    <s v="no"/>
    <x v="0"/>
    <m/>
    <m/>
  </r>
  <r>
    <s v="FL250395"/>
    <s v="Lori Malone"/>
    <s v="Lori Malone"/>
    <s v="f"/>
    <s v="Female"/>
    <n v="41"/>
    <x v="16"/>
    <x v="13"/>
    <x v="0"/>
    <n v="21"/>
    <x v="1"/>
    <m/>
    <x v="8"/>
    <n v="0"/>
    <s v="Y"/>
    <x v="1"/>
    <m/>
    <m/>
  </r>
  <r>
    <s v="FL250396"/>
    <s v="Anthony Huynh MD"/>
    <s v="Anthony Huynh MD"/>
    <s v="male"/>
    <s v="Male"/>
    <n v="31"/>
    <x v="13"/>
    <x v="11"/>
    <x v="7"/>
    <n v="0"/>
    <x v="2"/>
    <s v="$20"/>
    <x v="14"/>
    <n v="4.2"/>
    <s v="Y"/>
    <x v="1"/>
    <n v="82"/>
    <n v="0.82"/>
  </r>
  <r>
    <s v="FL250397"/>
    <s v="Mindy York"/>
    <s v="Mindy York"/>
    <s v="FEMALE"/>
    <s v="Female"/>
    <n v="58"/>
    <x v="8"/>
    <x v="6"/>
    <x v="5"/>
    <n v="0"/>
    <x v="2"/>
    <n v="50"/>
    <x v="2"/>
    <n v="2.2999999999999998"/>
    <n v="0"/>
    <x v="0"/>
    <n v="0.77"/>
    <n v="0.77"/>
  </r>
  <r>
    <s v="FL250398"/>
    <s v="Ms. Christine Cherry"/>
    <s v=" Christine Cherry"/>
    <s v="f"/>
    <m/>
    <n v="45"/>
    <x v="3"/>
    <x v="3"/>
    <x v="5"/>
    <n v="17"/>
    <x v="4"/>
    <s v="$50"/>
    <x v="9"/>
    <n v="4.7"/>
    <n v="1"/>
    <x v="1"/>
    <n v="0.73"/>
    <n v="0.73"/>
  </r>
  <r>
    <s v="FL250399"/>
    <s v="Daniel Foster"/>
    <s v="Daniel Foster"/>
    <s v="m"/>
    <s v="Male"/>
    <n v="51"/>
    <x v="12"/>
    <x v="10"/>
    <x v="7"/>
    <n v="5"/>
    <x v="2"/>
    <m/>
    <x v="8"/>
    <n v="3"/>
    <n v="1"/>
    <x v="1"/>
    <n v="0.88"/>
    <n v="0.88"/>
  </r>
  <r>
    <s v="FL250400"/>
    <s v="Mr. David Valencia"/>
    <s v=" David Valencia"/>
    <s v="male"/>
    <m/>
    <n v="54"/>
    <x v="5"/>
    <x v="1"/>
    <x v="6"/>
    <n v="3"/>
    <x v="2"/>
    <s v="USD 30"/>
    <x v="13"/>
    <n v="2.4"/>
    <n v="0"/>
    <x v="1"/>
    <n v="0.81"/>
    <n v="0.81"/>
  </r>
  <r>
    <s v="FL250401"/>
    <s v="Ethan Adams"/>
    <s v="Ethan Adams"/>
    <s v="m"/>
    <s v="Male"/>
    <n v="22"/>
    <x v="13"/>
    <x v="11"/>
    <x v="5"/>
    <n v="1"/>
    <x v="2"/>
    <n v="20"/>
    <x v="15"/>
    <n v="1.7"/>
    <s v="N"/>
    <x v="0"/>
    <n v="0.78"/>
    <n v="0.78"/>
  </r>
  <r>
    <s v="FL250402"/>
    <s v="Brett Moore"/>
    <s v="Brett Moore"/>
    <s v="m"/>
    <s v="Male"/>
    <n v="36"/>
    <x v="6"/>
    <x v="5"/>
    <x v="7"/>
    <n v="2"/>
    <x v="2"/>
    <n v="75"/>
    <x v="11"/>
    <n v="0"/>
    <b v="0"/>
    <x v="0"/>
    <n v="0.92"/>
    <n v="0.92"/>
  </r>
  <r>
    <s v="FL250403"/>
    <s v="Phillip Griffin"/>
    <s v="Phillip Griffin"/>
    <s v="male"/>
    <s v="Male"/>
    <n v="50"/>
    <x v="2"/>
    <x v="2"/>
    <x v="8"/>
    <n v="32"/>
    <x v="1"/>
    <s v="$30"/>
    <x v="5"/>
    <m/>
    <n v="0"/>
    <x v="1"/>
    <n v="0.64"/>
    <n v="0.64"/>
  </r>
  <r>
    <s v="FL250404"/>
    <s v="Stacie Wall"/>
    <s v="Stacie Wall"/>
    <s v="FEMALE"/>
    <s v="Female"/>
    <n v="41"/>
    <x v="1"/>
    <x v="1"/>
    <x v="0"/>
    <n v="14"/>
    <x v="0"/>
    <n v="30"/>
    <x v="4"/>
    <n v="0"/>
    <s v="Y"/>
    <x v="2"/>
    <n v="0.78"/>
    <n v="0.78"/>
  </r>
  <r>
    <s v="FL250405"/>
    <s v="Jacob Austin"/>
    <s v="Jacob Austin"/>
    <s v="m"/>
    <s v="Male"/>
    <m/>
    <x v="17"/>
    <x v="14"/>
    <x v="3"/>
    <n v="10"/>
    <x v="3"/>
    <n v="20"/>
    <x v="15"/>
    <n v="1.8"/>
    <s v="yes"/>
    <x v="2"/>
    <n v="85"/>
    <n v="0.85"/>
  </r>
  <r>
    <s v="FL250406"/>
    <s v="Sabrina Davidson"/>
    <s v="Sabrina Davidson"/>
    <s v="FEMALE"/>
    <s v="Female"/>
    <n v="51"/>
    <x v="3"/>
    <x v="3"/>
    <x v="7"/>
    <n v="27"/>
    <x v="1"/>
    <s v="$50"/>
    <x v="9"/>
    <n v="0"/>
    <s v="no"/>
    <x v="1"/>
    <n v="0.78"/>
    <n v="0.78"/>
  </r>
  <r>
    <s v="FL250407"/>
    <s v="Dustin Douglas"/>
    <s v="Dustin Douglas"/>
    <s v="male"/>
    <s v="Male"/>
    <n v="21"/>
    <x v="15"/>
    <x v="12"/>
    <x v="4"/>
    <n v="2"/>
    <x v="2"/>
    <s v="$30"/>
    <x v="5"/>
    <n v="3.8"/>
    <n v="1"/>
    <x v="1"/>
    <n v="0.98"/>
    <n v="0.98"/>
  </r>
  <r>
    <s v="FL250408"/>
    <s v="Steven Norris"/>
    <s v="Steven Norris"/>
    <s v="male"/>
    <s v="Male"/>
    <n v="51"/>
    <x v="9"/>
    <x v="7"/>
    <x v="4"/>
    <n v="33"/>
    <x v="1"/>
    <s v="USD 40"/>
    <x v="7"/>
    <n v="0"/>
    <s v="Y"/>
    <x v="1"/>
    <n v="0.63"/>
    <n v="0.63"/>
  </r>
  <r>
    <s v="FL250409"/>
    <s v="Mindy Sullivan"/>
    <s v="Mindy Sullivan"/>
    <s v="FEMALE"/>
    <s v="Female"/>
    <n v="37"/>
    <x v="4"/>
    <x v="4"/>
    <x v="2"/>
    <n v="11"/>
    <x v="0"/>
    <s v="USD 40"/>
    <x v="7"/>
    <n v="3.6"/>
    <s v="N"/>
    <x v="1"/>
    <n v="0.73"/>
    <n v="0.73"/>
  </r>
  <r>
    <s v="FL250410"/>
    <s v="Elizabeth Stone"/>
    <s v="Elizabeth Stone"/>
    <s v="f"/>
    <s v="Female"/>
    <n v="20"/>
    <x v="20"/>
    <x v="6"/>
    <x v="2"/>
    <n v="2"/>
    <x v="2"/>
    <n v="30"/>
    <x v="4"/>
    <n v="0"/>
    <n v="0"/>
    <x v="0"/>
    <n v="0.94"/>
    <n v="0.94"/>
  </r>
  <r>
    <s v="FL250411"/>
    <s v="Diane Flores"/>
    <s v="Diane Flores"/>
    <s v="FEMALE"/>
    <s v="Female"/>
    <n v="50"/>
    <x v="1"/>
    <x v="1"/>
    <x v="3"/>
    <n v="31"/>
    <x v="1"/>
    <s v="$50"/>
    <x v="9"/>
    <n v="4.0999999999999996"/>
    <m/>
    <x v="1"/>
    <n v="0.81"/>
    <n v="0.81"/>
  </r>
  <r>
    <s v="FL250412"/>
    <s v="Jessica Erickson"/>
    <s v="Jessica Erickson"/>
    <s v="FEMALE"/>
    <s v="Female"/>
    <n v="58"/>
    <x v="6"/>
    <x v="5"/>
    <x v="2"/>
    <n v="17"/>
    <x v="4"/>
    <s v="$50"/>
    <x v="9"/>
    <n v="2.6"/>
    <n v="1"/>
    <x v="1"/>
    <n v="0.61"/>
    <n v="0.61"/>
  </r>
  <r>
    <s v="FL250413"/>
    <s v="Sara Moses"/>
    <s v="Sara Moses"/>
    <s v="FEMALE"/>
    <s v="Female"/>
    <n v="40"/>
    <x v="11"/>
    <x v="9"/>
    <x v="6"/>
    <n v="2"/>
    <x v="2"/>
    <s v="$100"/>
    <x v="17"/>
    <n v="0"/>
    <n v="0"/>
    <x v="1"/>
    <m/>
    <m/>
  </r>
  <r>
    <s v="FL250414"/>
    <s v="Allison Henderson"/>
    <s v="Allison Henderson"/>
    <s v="f"/>
    <s v="Female"/>
    <n v="26"/>
    <x v="16"/>
    <x v="13"/>
    <x v="3"/>
    <n v="2"/>
    <x v="2"/>
    <n v="20"/>
    <x v="15"/>
    <n v="1.3"/>
    <s v="no"/>
    <x v="0"/>
    <n v="0.83"/>
    <n v="0.83"/>
  </r>
  <r>
    <s v="FL250415"/>
    <s v="Susan Dixon"/>
    <s v="Susan Dixon"/>
    <s v="FEMALE"/>
    <s v="Female"/>
    <n v="44"/>
    <x v="12"/>
    <x v="10"/>
    <x v="7"/>
    <n v="22"/>
    <x v="1"/>
    <n v="30"/>
    <x v="4"/>
    <n v="4.0999999999999996"/>
    <s v="Y"/>
    <x v="2"/>
    <m/>
    <m/>
  </r>
  <r>
    <s v="FL250416"/>
    <s v="David Morrison"/>
    <s v="David Morrison"/>
    <s v="male"/>
    <s v="Male"/>
    <n v="42"/>
    <x v="19"/>
    <x v="6"/>
    <x v="9"/>
    <n v="8"/>
    <x v="3"/>
    <s v="$50"/>
    <x v="9"/>
    <n v="2.4"/>
    <s v="no"/>
    <x v="1"/>
    <n v="0.68"/>
    <n v="0.68"/>
  </r>
  <r>
    <s v="FL250417"/>
    <s v="Jason Carter"/>
    <s v="Jason Carter"/>
    <s v="m"/>
    <s v="Male"/>
    <n v="38"/>
    <x v="19"/>
    <x v="6"/>
    <x v="5"/>
    <n v="9"/>
    <x v="3"/>
    <s v="$50"/>
    <x v="9"/>
    <n v="0"/>
    <n v="0"/>
    <x v="1"/>
    <n v="0.74"/>
    <n v="0.74"/>
  </r>
  <r>
    <s v="FL250418"/>
    <s v="James Jacobs"/>
    <s v="James Jacobs"/>
    <s v="male"/>
    <s v="Male"/>
    <n v="51"/>
    <x v="16"/>
    <x v="13"/>
    <x v="3"/>
    <n v="32"/>
    <x v="1"/>
    <n v="100"/>
    <x v="0"/>
    <n v="4.4000000000000004"/>
    <b v="0"/>
    <x v="0"/>
    <n v="91"/>
    <n v="0.91"/>
  </r>
  <r>
    <s v="FL250419"/>
    <s v="Kathleen Quinn"/>
    <s v="Kathleen Quinn"/>
    <s v="FEMALE"/>
    <s v="Female"/>
    <n v="36"/>
    <x v="15"/>
    <x v="12"/>
    <x v="4"/>
    <n v="8"/>
    <x v="3"/>
    <s v="USD 100"/>
    <x v="1"/>
    <n v="2.2000000000000002"/>
    <n v="1"/>
    <x v="1"/>
    <n v="0.97"/>
    <n v="0.97"/>
  </r>
  <r>
    <s v="FL250420"/>
    <s v="Natalie Frank MD"/>
    <s v="Natalie Frank MD"/>
    <s v="FEMALE"/>
    <s v="Female"/>
    <n v="37"/>
    <x v="1"/>
    <x v="1"/>
    <x v="1"/>
    <n v="10"/>
    <x v="3"/>
    <n v="30"/>
    <x v="4"/>
    <n v="0"/>
    <n v="0"/>
    <x v="0"/>
    <n v="0.96"/>
    <n v="0.96"/>
  </r>
  <r>
    <s v="FL250421"/>
    <s v="Michael Reed"/>
    <s v="Michael Reed"/>
    <s v="male"/>
    <s v="Male"/>
    <n v="31"/>
    <x v="17"/>
    <x v="14"/>
    <x v="8"/>
    <n v="0"/>
    <x v="2"/>
    <n v="50"/>
    <x v="2"/>
    <n v="1.1000000000000001"/>
    <s v="Y"/>
    <x v="2"/>
    <n v="0.73"/>
    <n v="0.73"/>
  </r>
  <r>
    <s v="FL250422"/>
    <s v="Sheila Smith"/>
    <s v="Sheila Smith"/>
    <s v="f"/>
    <s v="Female"/>
    <n v="47"/>
    <x v="10"/>
    <x v="8"/>
    <x v="7"/>
    <n v="22"/>
    <x v="1"/>
    <m/>
    <x v="8"/>
    <n v="1.4"/>
    <s v="yes"/>
    <x v="1"/>
    <n v="0.72"/>
    <n v="0.72"/>
  </r>
  <r>
    <s v="FL250423"/>
    <s v="Morgan Ford"/>
    <s v="Morgan Ford"/>
    <s v="FEMALE"/>
    <s v="Female"/>
    <n v="60"/>
    <x v="19"/>
    <x v="6"/>
    <x v="6"/>
    <n v="34"/>
    <x v="1"/>
    <s v="$100"/>
    <x v="17"/>
    <n v="0"/>
    <b v="1"/>
    <x v="1"/>
    <n v="0.74"/>
    <n v="0.74"/>
  </r>
  <r>
    <s v="FL250424"/>
    <s v="Linda Schultz"/>
    <s v="Linda Schultz"/>
    <s v="FEMALE"/>
    <s v="Female"/>
    <n v="48"/>
    <x v="8"/>
    <x v="6"/>
    <x v="1"/>
    <n v="5"/>
    <x v="2"/>
    <n v="30"/>
    <x v="4"/>
    <n v="1.5"/>
    <s v="N"/>
    <x v="0"/>
    <m/>
    <m/>
  </r>
  <r>
    <s v="FL250425"/>
    <s v="Regina Daniel"/>
    <s v="Regina Daniel"/>
    <s v="f"/>
    <s v="Female"/>
    <n v="24"/>
    <x v="10"/>
    <x v="8"/>
    <x v="4"/>
    <n v="3"/>
    <x v="2"/>
    <n v="20"/>
    <x v="15"/>
    <n v="0"/>
    <n v="1"/>
    <x v="2"/>
    <m/>
    <m/>
  </r>
  <r>
    <s v="FL250426"/>
    <s v="Allison Perkins"/>
    <s v="Allison Perkins"/>
    <s v="FEMALE"/>
    <s v="Female"/>
    <n v="35"/>
    <x v="3"/>
    <x v="3"/>
    <x v="9"/>
    <n v="10"/>
    <x v="3"/>
    <n v="75"/>
    <x v="11"/>
    <n v="0"/>
    <m/>
    <x v="1"/>
    <n v="0.74"/>
    <n v="0.74"/>
  </r>
  <r>
    <s v="FL250427"/>
    <s v="Bradley Weaver"/>
    <s v="Bradley Weaver"/>
    <s v="male"/>
    <s v="Male"/>
    <n v="35"/>
    <x v="5"/>
    <x v="1"/>
    <x v="8"/>
    <m/>
    <x v="2"/>
    <n v="100"/>
    <x v="0"/>
    <n v="3.5"/>
    <s v="Y"/>
    <x v="2"/>
    <n v="0.71"/>
    <n v="0.71"/>
  </r>
  <r>
    <s v="FL250428"/>
    <s v="Sarah Hall"/>
    <s v="Sarah Hall"/>
    <s v="FEMALE"/>
    <s v="Female"/>
    <n v="29"/>
    <x v="3"/>
    <x v="3"/>
    <x v="6"/>
    <n v="6"/>
    <x v="3"/>
    <m/>
    <x v="8"/>
    <n v="4.8"/>
    <s v="N"/>
    <x v="1"/>
    <n v="0.83"/>
    <n v="0.83"/>
  </r>
  <r>
    <s v="FL250429"/>
    <s v="Diana Walton"/>
    <s v="Diana Walton"/>
    <s v="FEMALE"/>
    <s v="Female"/>
    <n v="36"/>
    <x v="0"/>
    <x v="0"/>
    <x v="9"/>
    <n v="1"/>
    <x v="2"/>
    <s v="$75"/>
    <x v="16"/>
    <m/>
    <m/>
    <x v="1"/>
    <n v="0.63"/>
    <n v="0.63"/>
  </r>
  <r>
    <s v="FL250430"/>
    <s v="Donna Davis"/>
    <s v="Donna Davis"/>
    <s v="FEMALE"/>
    <s v="Female"/>
    <n v="44"/>
    <x v="14"/>
    <x v="1"/>
    <x v="4"/>
    <n v="0"/>
    <x v="2"/>
    <m/>
    <x v="8"/>
    <n v="4.8"/>
    <m/>
    <x v="1"/>
    <n v="0.84"/>
    <n v="0.84"/>
  </r>
  <r>
    <s v="FL250431"/>
    <s v="Christopher Mcclain"/>
    <s v="Christopher Mcclain"/>
    <s v="male"/>
    <s v="Male"/>
    <n v="44"/>
    <x v="17"/>
    <x v="14"/>
    <x v="3"/>
    <m/>
    <x v="2"/>
    <m/>
    <x v="8"/>
    <n v="1.4"/>
    <n v="0"/>
    <x v="1"/>
    <n v="0.93"/>
    <n v="0.93"/>
  </r>
  <r>
    <s v="FL250432"/>
    <s v="Dr. Paul Williamson"/>
    <s v=" Paul Williamson"/>
    <s v="m"/>
    <m/>
    <n v="40"/>
    <x v="10"/>
    <x v="8"/>
    <x v="4"/>
    <n v="13"/>
    <x v="0"/>
    <s v="USD 100"/>
    <x v="1"/>
    <n v="1.1000000000000001"/>
    <n v="1"/>
    <x v="1"/>
    <m/>
    <m/>
  </r>
  <r>
    <s v="FL250433"/>
    <s v="Barbara Brown"/>
    <s v="Barbara Brown"/>
    <s v="f"/>
    <s v="Female"/>
    <n v="53"/>
    <x v="3"/>
    <x v="3"/>
    <x v="9"/>
    <n v="13"/>
    <x v="0"/>
    <s v="$50"/>
    <x v="9"/>
    <n v="3.3"/>
    <s v="Y"/>
    <x v="1"/>
    <n v="0.93"/>
    <n v="0.93"/>
  </r>
  <r>
    <s v="FL250434"/>
    <s v="Kimberly Allen"/>
    <s v="Kimberly Allen"/>
    <s v="f"/>
    <s v="Female"/>
    <n v="35"/>
    <x v="2"/>
    <x v="2"/>
    <x v="0"/>
    <n v="0"/>
    <x v="2"/>
    <s v="USD 30"/>
    <x v="13"/>
    <n v="4.5999999999999996"/>
    <m/>
    <x v="1"/>
    <n v="0.97"/>
    <n v="0.97"/>
  </r>
  <r>
    <s v="FL250435"/>
    <s v="Elizabeth Edwards"/>
    <s v="Elizabeth Edwards"/>
    <s v="FEMALE"/>
    <s v="Female"/>
    <n v="27"/>
    <x v="8"/>
    <x v="6"/>
    <x v="9"/>
    <n v="7"/>
    <x v="3"/>
    <s v="USD 75"/>
    <x v="6"/>
    <n v="2.8"/>
    <n v="1"/>
    <x v="1"/>
    <n v="0.92"/>
    <n v="0.92"/>
  </r>
  <r>
    <s v="FL250436"/>
    <s v="Anthony Downs"/>
    <s v="Anthony Downs"/>
    <s v="male"/>
    <s v="Male"/>
    <n v="34"/>
    <x v="1"/>
    <x v="1"/>
    <x v="8"/>
    <n v="6"/>
    <x v="3"/>
    <n v="50"/>
    <x v="2"/>
    <n v="5"/>
    <s v="Y"/>
    <x v="2"/>
    <n v="0.92"/>
    <n v="0.92"/>
  </r>
  <r>
    <s v="FL250437"/>
    <s v="Jack Ortega"/>
    <s v="Jack Ortega"/>
    <s v="male"/>
    <s v="Male"/>
    <n v="24"/>
    <x v="10"/>
    <x v="8"/>
    <x v="7"/>
    <n v="2"/>
    <x v="2"/>
    <n v="75"/>
    <x v="11"/>
    <n v="4.7"/>
    <s v="no"/>
    <x v="0"/>
    <n v="0.68"/>
    <n v="0.68"/>
  </r>
  <r>
    <s v="FL250438"/>
    <s v="Marvin Moore"/>
    <s v="Marvin Moore"/>
    <s v="male"/>
    <s v="Male"/>
    <n v="57"/>
    <x v="5"/>
    <x v="1"/>
    <x v="6"/>
    <n v="13"/>
    <x v="0"/>
    <n v="100"/>
    <x v="0"/>
    <n v="3.5"/>
    <s v="no"/>
    <x v="0"/>
    <n v="0.95"/>
    <n v="0.95"/>
  </r>
  <r>
    <s v="FL250439"/>
    <s v="Tony French"/>
    <s v="Tony French"/>
    <s v="m"/>
    <s v="Male"/>
    <n v="28"/>
    <x v="12"/>
    <x v="10"/>
    <x v="6"/>
    <n v="7"/>
    <x v="3"/>
    <s v="$100"/>
    <x v="17"/>
    <n v="4.3"/>
    <b v="0"/>
    <x v="1"/>
    <n v="0.76"/>
    <n v="0.76"/>
  </r>
  <r>
    <s v="FL250440"/>
    <s v="Stacy Hudson"/>
    <s v="Stacy Hudson"/>
    <s v="f"/>
    <s v="Female"/>
    <n v="26"/>
    <x v="0"/>
    <x v="0"/>
    <x v="8"/>
    <n v="7"/>
    <x v="3"/>
    <s v="USD 100"/>
    <x v="1"/>
    <n v="3.3"/>
    <s v="yes"/>
    <x v="1"/>
    <n v="0.66"/>
    <n v="0.66"/>
  </r>
  <r>
    <s v="FL250441"/>
    <s v="Scott Washington"/>
    <s v="Scott Washington"/>
    <s v="male"/>
    <s v="Male"/>
    <n v="34"/>
    <x v="8"/>
    <x v="6"/>
    <x v="1"/>
    <n v="15"/>
    <x v="0"/>
    <n v="75"/>
    <x v="11"/>
    <m/>
    <n v="0"/>
    <x v="0"/>
    <n v="0.73"/>
    <n v="0.73"/>
  </r>
  <r>
    <s v="FL250442"/>
    <s v="Timothy Wright"/>
    <s v="Timothy Wright"/>
    <s v="male"/>
    <s v="Male"/>
    <n v="43"/>
    <x v="9"/>
    <x v="7"/>
    <x v="4"/>
    <m/>
    <x v="2"/>
    <s v="USD 20"/>
    <x v="18"/>
    <n v="2.8"/>
    <m/>
    <x v="1"/>
    <n v="0.99"/>
    <n v="0.99"/>
  </r>
  <r>
    <s v="FL250443"/>
    <s v="Joseph Gonzalez"/>
    <s v="Joseph Gonzalez"/>
    <s v="m"/>
    <s v="Male"/>
    <n v="31"/>
    <x v="18"/>
    <x v="15"/>
    <x v="2"/>
    <n v="5"/>
    <x v="2"/>
    <m/>
    <x v="8"/>
    <n v="2.7"/>
    <n v="1"/>
    <x v="1"/>
    <n v="94"/>
    <n v="0.94"/>
  </r>
  <r>
    <s v="FL250444"/>
    <s v="Andrea Perez"/>
    <s v="Andrea Perez"/>
    <s v="FEMALE"/>
    <s v="Female"/>
    <n v="34"/>
    <x v="18"/>
    <x v="15"/>
    <x v="0"/>
    <m/>
    <x v="2"/>
    <s v="$50"/>
    <x v="9"/>
    <n v="0"/>
    <b v="0"/>
    <x v="1"/>
    <n v="84"/>
    <n v="0.84"/>
  </r>
  <r>
    <s v="FL250445"/>
    <s v="Angel Collins"/>
    <s v="Angel Collins"/>
    <s v="f"/>
    <s v="Female"/>
    <n v="32"/>
    <x v="13"/>
    <x v="11"/>
    <x v="7"/>
    <n v="10"/>
    <x v="3"/>
    <s v="$20"/>
    <x v="14"/>
    <m/>
    <s v="Y"/>
    <x v="1"/>
    <n v="0.92"/>
    <n v="0.92"/>
  </r>
  <r>
    <s v="FL250446"/>
    <s v="Daniel Terry"/>
    <s v="Daniel Terry"/>
    <s v="m"/>
    <s v="Male"/>
    <n v="24"/>
    <x v="16"/>
    <x v="13"/>
    <x v="8"/>
    <n v="6"/>
    <x v="3"/>
    <s v="$75"/>
    <x v="16"/>
    <n v="4.3"/>
    <s v="yes"/>
    <x v="1"/>
    <m/>
    <m/>
  </r>
  <r>
    <s v="FL250447"/>
    <s v="Steven Whitaker"/>
    <s v="Steven Whitaker"/>
    <s v="male"/>
    <s v="Male"/>
    <n v="35"/>
    <x v="7"/>
    <x v="1"/>
    <x v="4"/>
    <n v="8"/>
    <x v="3"/>
    <s v="USD 50"/>
    <x v="12"/>
    <m/>
    <s v="no"/>
    <x v="1"/>
    <n v="90"/>
    <n v="0.9"/>
  </r>
  <r>
    <s v="FL250448"/>
    <s v="Denise Neal"/>
    <s v="Denise Neal"/>
    <s v="FEMALE"/>
    <s v="Female"/>
    <n v="22"/>
    <x v="1"/>
    <x v="1"/>
    <x v="1"/>
    <n v="4"/>
    <x v="2"/>
    <n v="20"/>
    <x v="15"/>
    <m/>
    <n v="0"/>
    <x v="0"/>
    <n v="0.73"/>
    <n v="0.73"/>
  </r>
  <r>
    <s v="FL250449"/>
    <s v="Amanda Jacobs"/>
    <s v="Amanda Jacobs"/>
    <s v="f"/>
    <s v="Female"/>
    <n v="55"/>
    <x v="16"/>
    <x v="13"/>
    <x v="4"/>
    <n v="3"/>
    <x v="2"/>
    <n v="100"/>
    <x v="0"/>
    <m/>
    <n v="1"/>
    <x v="2"/>
    <n v="0.73"/>
    <n v="0.73"/>
  </r>
  <r>
    <s v="FL250450"/>
    <s v="Karen Mercer"/>
    <s v="Karen Mercer"/>
    <s v="FEMALE"/>
    <s v="Female"/>
    <n v="54"/>
    <x v="8"/>
    <x v="6"/>
    <x v="9"/>
    <m/>
    <x v="2"/>
    <n v="30"/>
    <x v="4"/>
    <n v="2.9"/>
    <b v="1"/>
    <x v="2"/>
    <n v="0.78"/>
    <n v="0.78"/>
  </r>
  <r>
    <s v="FL250451"/>
    <s v="Lindsay Hudson"/>
    <s v="Lindsay Hudson"/>
    <s v="f"/>
    <s v="Female"/>
    <n v="36"/>
    <x v="3"/>
    <x v="3"/>
    <x v="7"/>
    <n v="11"/>
    <x v="0"/>
    <s v="$30"/>
    <x v="5"/>
    <n v="0"/>
    <b v="1"/>
    <x v="1"/>
    <n v="0.63"/>
    <n v="0.63"/>
  </r>
  <r>
    <s v="FL250452"/>
    <s v="Stephanie Armstrong"/>
    <s v="Stephanie Armstrong"/>
    <s v="FEMALE"/>
    <s v="Female"/>
    <n v="36"/>
    <x v="3"/>
    <x v="3"/>
    <x v="4"/>
    <n v="17"/>
    <x v="4"/>
    <n v="50"/>
    <x v="2"/>
    <n v="1.3"/>
    <m/>
    <x v="1"/>
    <n v="0.64"/>
    <n v="0.64"/>
  </r>
  <r>
    <s v="FL250453"/>
    <s v="Dr. Jessica Campbell"/>
    <s v=" Jessica Campbell"/>
    <s v="f"/>
    <m/>
    <n v="25"/>
    <x v="8"/>
    <x v="6"/>
    <x v="3"/>
    <n v="1"/>
    <x v="2"/>
    <n v="75"/>
    <x v="11"/>
    <n v="0"/>
    <n v="1"/>
    <x v="2"/>
    <m/>
    <m/>
  </r>
  <r>
    <s v="FL250454"/>
    <s v="Curtis Maxwell"/>
    <s v="Curtis Maxwell"/>
    <s v="male"/>
    <s v="Male"/>
    <n v="46"/>
    <x v="4"/>
    <x v="4"/>
    <x v="4"/>
    <n v="16"/>
    <x v="4"/>
    <n v="20"/>
    <x v="15"/>
    <n v="4.8"/>
    <n v="1"/>
    <x v="2"/>
    <n v="0.86"/>
    <n v="0.86"/>
  </r>
  <r>
    <s v="FL250455"/>
    <s v="Adam Kelly PhD"/>
    <s v="Adam Kelly PhD"/>
    <s v="m"/>
    <s v="Male"/>
    <n v="41"/>
    <x v="8"/>
    <x v="6"/>
    <x v="9"/>
    <n v="11"/>
    <x v="0"/>
    <s v="$40"/>
    <x v="3"/>
    <n v="2.4"/>
    <b v="0"/>
    <x v="1"/>
    <m/>
    <m/>
  </r>
  <r>
    <s v="FL250456"/>
    <s v="Julie Becker"/>
    <s v="Julie Becker"/>
    <s v="FEMALE"/>
    <s v="Female"/>
    <n v="21"/>
    <x v="13"/>
    <x v="11"/>
    <x v="1"/>
    <n v="3"/>
    <x v="2"/>
    <s v="$100"/>
    <x v="17"/>
    <n v="4.7"/>
    <s v="N"/>
    <x v="1"/>
    <n v="0.96"/>
    <n v="0.96"/>
  </r>
  <r>
    <s v="FL250457"/>
    <s v="James Moore"/>
    <s v="James Moore"/>
    <s v="male"/>
    <s v="Male"/>
    <n v="29"/>
    <x v="5"/>
    <x v="1"/>
    <x v="2"/>
    <m/>
    <x v="2"/>
    <s v="$75"/>
    <x v="16"/>
    <n v="2"/>
    <n v="0"/>
    <x v="1"/>
    <m/>
    <m/>
  </r>
  <r>
    <s v="FL250458"/>
    <s v="Danielle Barrera"/>
    <s v="Danielle Barrera"/>
    <s v="f"/>
    <s v="Female"/>
    <n v="44"/>
    <x v="5"/>
    <x v="1"/>
    <x v="1"/>
    <n v="3"/>
    <x v="2"/>
    <s v="$50"/>
    <x v="9"/>
    <n v="2.2000000000000002"/>
    <n v="0"/>
    <x v="1"/>
    <n v="0.77"/>
    <n v="0.77"/>
  </r>
  <r>
    <s v="FL250459"/>
    <s v="David Sanchez"/>
    <s v="David Sanchez"/>
    <s v="male"/>
    <s v="Male"/>
    <n v="40"/>
    <x v="14"/>
    <x v="1"/>
    <x v="9"/>
    <n v="1"/>
    <x v="2"/>
    <n v="100"/>
    <x v="0"/>
    <n v="2.1"/>
    <n v="1"/>
    <x v="2"/>
    <m/>
    <m/>
  </r>
  <r>
    <s v="FL250460"/>
    <s v="Tiffany Bowman"/>
    <s v="Tiffany Bowman"/>
    <s v="FEMALE"/>
    <s v="Female"/>
    <n v="27"/>
    <x v="16"/>
    <x v="13"/>
    <x v="5"/>
    <n v="1"/>
    <x v="2"/>
    <n v="30"/>
    <x v="4"/>
    <n v="1.7"/>
    <b v="0"/>
    <x v="0"/>
    <n v="0.65"/>
    <n v="0.65"/>
  </r>
  <r>
    <s v="FL250461"/>
    <s v="Jesus Quinn"/>
    <s v="Jesus Quinn"/>
    <s v="male"/>
    <s v="Male"/>
    <n v="53"/>
    <x v="15"/>
    <x v="12"/>
    <x v="1"/>
    <n v="35"/>
    <x v="1"/>
    <m/>
    <x v="8"/>
    <n v="5"/>
    <n v="1"/>
    <x v="1"/>
    <n v="0.62"/>
    <n v="0.62"/>
  </r>
  <r>
    <s v="FL250462"/>
    <s v="Mr. Danny Morris DDS"/>
    <s v=" Danny Morris DDS"/>
    <s v="male"/>
    <m/>
    <n v="20"/>
    <x v="6"/>
    <x v="5"/>
    <x v="5"/>
    <n v="1"/>
    <x v="2"/>
    <n v="50"/>
    <x v="2"/>
    <n v="2.9"/>
    <s v="no"/>
    <x v="0"/>
    <n v="0.81"/>
    <n v="0.81"/>
  </r>
  <r>
    <s v="FL250463"/>
    <s v="Nicole York"/>
    <s v="Nicole York"/>
    <s v="FEMALE"/>
    <s v="Female"/>
    <m/>
    <x v="9"/>
    <x v="7"/>
    <x v="8"/>
    <n v="12"/>
    <x v="0"/>
    <s v="$50"/>
    <x v="9"/>
    <n v="4.0999999999999996"/>
    <s v="Y"/>
    <x v="1"/>
    <n v="0.62"/>
    <n v="0.62"/>
  </r>
  <r>
    <s v="FL250464"/>
    <s v="John Mathis"/>
    <s v="John Mathis"/>
    <s v="male"/>
    <s v="Male"/>
    <n v="26"/>
    <x v="19"/>
    <x v="6"/>
    <x v="3"/>
    <n v="8"/>
    <x v="3"/>
    <n v="40"/>
    <x v="10"/>
    <n v="4.9000000000000004"/>
    <s v="N"/>
    <x v="0"/>
    <n v="0.87"/>
    <n v="0.87"/>
  </r>
  <r>
    <s v="FL250465"/>
    <s v="Julie Barnett"/>
    <s v="Julie Barnett"/>
    <s v="FEMALE"/>
    <s v="Female"/>
    <n v="49"/>
    <x v="11"/>
    <x v="9"/>
    <x v="9"/>
    <n v="13"/>
    <x v="0"/>
    <s v="$100"/>
    <x v="17"/>
    <n v="2.5"/>
    <b v="0"/>
    <x v="1"/>
    <m/>
    <m/>
  </r>
  <r>
    <s v="FL250466"/>
    <s v="Jasmine Harris"/>
    <s v="Jasmine Harris"/>
    <s v="f"/>
    <s v="Female"/>
    <n v="20"/>
    <x v="16"/>
    <x v="13"/>
    <x v="5"/>
    <n v="0"/>
    <x v="2"/>
    <s v="USD 30"/>
    <x v="13"/>
    <n v="0"/>
    <n v="1"/>
    <x v="1"/>
    <n v="76"/>
    <n v="0.76"/>
  </r>
  <r>
    <s v="FL250467"/>
    <s v="Mary Henry"/>
    <s v="Mary Henry"/>
    <s v="FEMALE"/>
    <s v="Female"/>
    <n v="39"/>
    <x v="18"/>
    <x v="15"/>
    <x v="0"/>
    <n v="11"/>
    <x v="0"/>
    <n v="100"/>
    <x v="0"/>
    <n v="2.8"/>
    <m/>
    <x v="1"/>
    <n v="70"/>
    <n v="0.7"/>
  </r>
  <r>
    <s v="FL250468"/>
    <s v="Judith Riggs"/>
    <s v="Judith Riggs"/>
    <s v="f"/>
    <s v="Female"/>
    <n v="41"/>
    <x v="18"/>
    <x v="15"/>
    <x v="9"/>
    <n v="19"/>
    <x v="4"/>
    <n v="100"/>
    <x v="0"/>
    <n v="3.8"/>
    <s v="yes"/>
    <x v="2"/>
    <n v="0.71"/>
    <n v="0.71"/>
  </r>
  <r>
    <s v="FL250469"/>
    <s v="Justin Ruiz"/>
    <s v="Justin Ruiz"/>
    <s v="male"/>
    <s v="Male"/>
    <n v="59"/>
    <x v="14"/>
    <x v="1"/>
    <x v="1"/>
    <n v="30"/>
    <x v="1"/>
    <s v="USD 30"/>
    <x v="13"/>
    <n v="4.3"/>
    <n v="1"/>
    <x v="1"/>
    <n v="0.83"/>
    <n v="0.83"/>
  </r>
  <r>
    <s v="FL250470"/>
    <s v="Jennifer Sullivan"/>
    <s v="Jennifer Sullivan"/>
    <s v="FEMALE"/>
    <s v="Female"/>
    <n v="45"/>
    <x v="1"/>
    <x v="1"/>
    <x v="0"/>
    <n v="8"/>
    <x v="3"/>
    <n v="40"/>
    <x v="10"/>
    <n v="0"/>
    <n v="0"/>
    <x v="0"/>
    <n v="78"/>
    <n v="0.78"/>
  </r>
  <r>
    <s v="FL250471"/>
    <s v="Jesse Moran"/>
    <s v="Jesse Moran"/>
    <s v="male"/>
    <s v="Male"/>
    <n v="22"/>
    <x v="4"/>
    <x v="4"/>
    <x v="7"/>
    <n v="0"/>
    <x v="2"/>
    <n v="40"/>
    <x v="10"/>
    <n v="1.3"/>
    <n v="1"/>
    <x v="2"/>
    <n v="0.78"/>
    <n v="0.78"/>
  </r>
  <r>
    <s v="FL250472"/>
    <s v="Monica Smith"/>
    <s v="Monica Smith"/>
    <s v="f"/>
    <s v="Female"/>
    <n v="48"/>
    <x v="10"/>
    <x v="8"/>
    <x v="1"/>
    <n v="7"/>
    <x v="3"/>
    <n v="50"/>
    <x v="2"/>
    <n v="4.7"/>
    <s v="Y"/>
    <x v="2"/>
    <n v="0.6"/>
    <n v="0.6"/>
  </r>
  <r>
    <s v="FL250473"/>
    <s v="Ian May"/>
    <s v="Ian May"/>
    <s v="male"/>
    <s v="Male"/>
    <n v="36"/>
    <x v="15"/>
    <x v="12"/>
    <x v="0"/>
    <n v="11"/>
    <x v="0"/>
    <s v="$40"/>
    <x v="3"/>
    <n v="1.3"/>
    <b v="1"/>
    <x v="1"/>
    <m/>
    <m/>
  </r>
  <r>
    <s v="FL250474"/>
    <s v="Kayla Meyers"/>
    <s v="Kayla Meyers"/>
    <s v="FEMALE"/>
    <s v="Female"/>
    <n v="57"/>
    <x v="18"/>
    <x v="15"/>
    <x v="0"/>
    <m/>
    <x v="2"/>
    <n v="75"/>
    <x v="11"/>
    <n v="4.8"/>
    <n v="1"/>
    <x v="2"/>
    <m/>
    <m/>
  </r>
  <r>
    <s v="FL250475"/>
    <s v="John Bray"/>
    <s v="John Bray"/>
    <s v="male"/>
    <s v="Male"/>
    <n v="42"/>
    <x v="5"/>
    <x v="1"/>
    <x v="6"/>
    <n v="14"/>
    <x v="0"/>
    <s v="$30"/>
    <x v="5"/>
    <n v="1.3"/>
    <n v="0"/>
    <x v="1"/>
    <n v="0.94"/>
    <n v="0.94"/>
  </r>
  <r>
    <s v="FL250476"/>
    <s v="James Smith"/>
    <s v="James Smith"/>
    <s v="m"/>
    <s v="Male"/>
    <n v="31"/>
    <x v="4"/>
    <x v="4"/>
    <x v="7"/>
    <n v="11"/>
    <x v="0"/>
    <s v="$50"/>
    <x v="9"/>
    <n v="4.3"/>
    <n v="0"/>
    <x v="1"/>
    <n v="62"/>
    <n v="0.62"/>
  </r>
  <r>
    <s v="FL250477"/>
    <s v="Mark Duncan"/>
    <s v="Mark Duncan"/>
    <s v="m"/>
    <s v="Male"/>
    <n v="52"/>
    <x v="20"/>
    <x v="6"/>
    <x v="7"/>
    <n v="31"/>
    <x v="1"/>
    <n v="30"/>
    <x v="4"/>
    <m/>
    <n v="1"/>
    <x v="2"/>
    <m/>
    <m/>
  </r>
  <r>
    <s v="FL250478"/>
    <s v="Matthew Gay"/>
    <s v="Matthew Gay"/>
    <s v="m"/>
    <s v="Male"/>
    <n v="56"/>
    <x v="3"/>
    <x v="3"/>
    <x v="8"/>
    <n v="16"/>
    <x v="4"/>
    <s v="USD 30"/>
    <x v="13"/>
    <n v="0"/>
    <s v="yes"/>
    <x v="1"/>
    <m/>
    <m/>
  </r>
  <r>
    <s v="FL250479"/>
    <s v="Cheryl Freeman"/>
    <s v="Cheryl Freeman"/>
    <s v="FEMALE"/>
    <s v="Female"/>
    <n v="24"/>
    <x v="3"/>
    <x v="3"/>
    <x v="8"/>
    <n v="6"/>
    <x v="3"/>
    <n v="30"/>
    <x v="4"/>
    <n v="0"/>
    <s v="yes"/>
    <x v="2"/>
    <n v="0.84"/>
    <n v="0.84"/>
  </r>
  <r>
    <s v="FL250480"/>
    <s v="Patrick Welch"/>
    <s v="Patrick Welch"/>
    <s v="male"/>
    <s v="Male"/>
    <n v="48"/>
    <x v="14"/>
    <x v="1"/>
    <x v="8"/>
    <n v="21"/>
    <x v="1"/>
    <n v="75"/>
    <x v="11"/>
    <n v="2.7"/>
    <n v="1"/>
    <x v="2"/>
    <m/>
    <m/>
  </r>
  <r>
    <s v="FL250481"/>
    <s v="Craig Levine"/>
    <s v="Craig Levine"/>
    <s v="male"/>
    <s v="Male"/>
    <n v="59"/>
    <x v="15"/>
    <x v="12"/>
    <x v="7"/>
    <n v="13"/>
    <x v="0"/>
    <n v="40"/>
    <x v="10"/>
    <n v="2.4"/>
    <s v="no"/>
    <x v="0"/>
    <n v="65"/>
    <n v="0.65"/>
  </r>
  <r>
    <s v="FL250482"/>
    <s v="Richard Harvey"/>
    <s v="Richard Harvey"/>
    <s v="male"/>
    <s v="Male"/>
    <m/>
    <x v="7"/>
    <x v="1"/>
    <x v="3"/>
    <m/>
    <x v="2"/>
    <n v="40"/>
    <x v="10"/>
    <n v="1.9"/>
    <n v="1"/>
    <x v="2"/>
    <n v="0.94"/>
    <n v="0.94"/>
  </r>
  <r>
    <s v="FL250483"/>
    <s v="Bonnie Sherman"/>
    <s v="Bonnie Sherman"/>
    <s v="FEMALE"/>
    <s v="Female"/>
    <m/>
    <x v="3"/>
    <x v="3"/>
    <x v="1"/>
    <n v="11"/>
    <x v="0"/>
    <s v="$20"/>
    <x v="14"/>
    <n v="3.6"/>
    <s v="no"/>
    <x v="1"/>
    <n v="0.69"/>
    <n v="0.69"/>
  </r>
  <r>
    <s v="FL250484"/>
    <s v="Keith Trujillo"/>
    <s v="Keith Trujillo"/>
    <s v="m"/>
    <s v="Male"/>
    <n v="25"/>
    <x v="3"/>
    <x v="3"/>
    <x v="1"/>
    <n v="0"/>
    <x v="2"/>
    <n v="50"/>
    <x v="2"/>
    <n v="2.9"/>
    <s v="yes"/>
    <x v="2"/>
    <n v="0.65"/>
    <n v="0.65"/>
  </r>
  <r>
    <s v="FL250485"/>
    <s v="Corey Combs"/>
    <s v="Corey Combs"/>
    <s v="male"/>
    <s v="Male"/>
    <n v="31"/>
    <x v="16"/>
    <x v="13"/>
    <x v="1"/>
    <n v="2"/>
    <x v="2"/>
    <s v="$75"/>
    <x v="16"/>
    <n v="2.8"/>
    <b v="0"/>
    <x v="1"/>
    <n v="0.6"/>
    <n v="0.6"/>
  </r>
  <r>
    <s v="FL250486"/>
    <s v="Antonio King"/>
    <s v="Antonio King"/>
    <s v="male"/>
    <s v="Male"/>
    <n v="40"/>
    <x v="6"/>
    <x v="5"/>
    <x v="8"/>
    <n v="12"/>
    <x v="0"/>
    <n v="75"/>
    <x v="11"/>
    <n v="2.6"/>
    <b v="0"/>
    <x v="0"/>
    <m/>
    <m/>
  </r>
  <r>
    <s v="FL250487"/>
    <s v="Amy Lee"/>
    <s v="Amy Lee"/>
    <s v="f"/>
    <s v="Female"/>
    <n v="48"/>
    <x v="13"/>
    <x v="11"/>
    <x v="0"/>
    <n v="13"/>
    <x v="0"/>
    <s v="$100"/>
    <x v="17"/>
    <n v="2.7"/>
    <m/>
    <x v="1"/>
    <n v="0.62"/>
    <n v="0.62"/>
  </r>
  <r>
    <s v="FL250488"/>
    <s v="Jennifer Rogers"/>
    <s v="Jennifer Rogers"/>
    <s v="f"/>
    <s v="Female"/>
    <n v="24"/>
    <x v="17"/>
    <x v="14"/>
    <x v="1"/>
    <n v="6"/>
    <x v="3"/>
    <n v="30"/>
    <x v="4"/>
    <n v="1.1000000000000001"/>
    <s v="yes"/>
    <x v="2"/>
    <m/>
    <m/>
  </r>
  <r>
    <s v="FL250489"/>
    <s v="Jeffrey Cooper"/>
    <s v="Jeffrey Cooper"/>
    <s v="male"/>
    <s v="Male"/>
    <n v="33"/>
    <x v="4"/>
    <x v="4"/>
    <x v="3"/>
    <n v="10"/>
    <x v="3"/>
    <s v="USD 30"/>
    <x v="13"/>
    <n v="0"/>
    <s v="yes"/>
    <x v="1"/>
    <n v="0.89"/>
    <n v="0.89"/>
  </r>
  <r>
    <s v="FL250490"/>
    <s v="Allison Williams"/>
    <s v="Allison Williams"/>
    <s v="FEMALE"/>
    <s v="Female"/>
    <n v="43"/>
    <x v="11"/>
    <x v="9"/>
    <x v="6"/>
    <n v="2"/>
    <x v="2"/>
    <s v="$40"/>
    <x v="3"/>
    <n v="0"/>
    <s v="yes"/>
    <x v="1"/>
    <n v="0.89"/>
    <n v="0.89"/>
  </r>
  <r>
    <s v="FL250491"/>
    <s v="Raymond Sherman"/>
    <s v="Raymond Sherman"/>
    <s v="m"/>
    <s v="Male"/>
    <n v="43"/>
    <x v="20"/>
    <x v="6"/>
    <x v="0"/>
    <n v="4"/>
    <x v="2"/>
    <n v="50"/>
    <x v="2"/>
    <n v="0"/>
    <b v="1"/>
    <x v="2"/>
    <n v="1"/>
    <n v="1"/>
  </r>
  <r>
    <s v="FL250492"/>
    <s v="Jennifer Nelson"/>
    <s v="Jennifer Nelson"/>
    <s v="FEMALE"/>
    <s v="Female"/>
    <n v="33"/>
    <x v="1"/>
    <x v="1"/>
    <x v="3"/>
    <n v="11"/>
    <x v="0"/>
    <m/>
    <x v="8"/>
    <n v="4.5999999999999996"/>
    <s v="yes"/>
    <x v="1"/>
    <m/>
    <m/>
  </r>
  <r>
    <s v="FL250493"/>
    <s v="Jennifer Carter"/>
    <s v="Jennifer Carter"/>
    <s v="FEMALE"/>
    <s v="Female"/>
    <n v="49"/>
    <x v="13"/>
    <x v="11"/>
    <x v="6"/>
    <n v="14"/>
    <x v="0"/>
    <n v="40"/>
    <x v="10"/>
    <n v="1.5"/>
    <m/>
    <x v="1"/>
    <n v="0.6"/>
    <n v="0.6"/>
  </r>
  <r>
    <s v="FL250494"/>
    <s v="Todd Williams"/>
    <s v="Todd Williams"/>
    <s v="m"/>
    <s v="Male"/>
    <n v="55"/>
    <x v="14"/>
    <x v="1"/>
    <x v="6"/>
    <n v="10"/>
    <x v="3"/>
    <n v="40"/>
    <x v="10"/>
    <n v="2"/>
    <s v="no"/>
    <x v="0"/>
    <n v="0.85"/>
    <n v="0.85"/>
  </r>
  <r>
    <s v="FL250495"/>
    <s v="Emily Horton"/>
    <s v="Emily Horton"/>
    <s v="f"/>
    <s v="Female"/>
    <n v="33"/>
    <x v="12"/>
    <x v="10"/>
    <x v="2"/>
    <n v="3"/>
    <x v="2"/>
    <s v="$40"/>
    <x v="3"/>
    <n v="1.6"/>
    <m/>
    <x v="1"/>
    <n v="0.83"/>
    <n v="0.83"/>
  </r>
  <r>
    <s v="FL250496"/>
    <s v="Lance Lester"/>
    <s v="Lance Lester"/>
    <s v="male"/>
    <s v="Male"/>
    <n v="32"/>
    <x v="8"/>
    <x v="6"/>
    <x v="4"/>
    <n v="3"/>
    <x v="2"/>
    <s v="$30"/>
    <x v="5"/>
    <n v="1.5"/>
    <s v="N"/>
    <x v="1"/>
    <n v="0.96"/>
    <n v="0.96"/>
  </r>
  <r>
    <s v="FL250497"/>
    <s v="Kevin Flores"/>
    <s v="Kevin Flores"/>
    <s v="m"/>
    <s v="Male"/>
    <n v="58"/>
    <x v="3"/>
    <x v="3"/>
    <x v="0"/>
    <n v="33"/>
    <x v="1"/>
    <m/>
    <x v="8"/>
    <n v="4.0999999999999996"/>
    <s v="Y"/>
    <x v="1"/>
    <n v="0.83"/>
    <n v="0.83"/>
  </r>
  <r>
    <s v="FL250498"/>
    <s v="Aaron Stewart PhD"/>
    <s v="Aaron Stewart PhD"/>
    <s v="male"/>
    <s v="Male"/>
    <n v="49"/>
    <x v="4"/>
    <x v="4"/>
    <x v="5"/>
    <n v="24"/>
    <x v="1"/>
    <n v="100"/>
    <x v="0"/>
    <n v="4.7"/>
    <n v="0"/>
    <x v="0"/>
    <n v="0.6"/>
    <n v="0.6"/>
  </r>
  <r>
    <s v="FL250499"/>
    <s v="Robin Moore"/>
    <s v="Robin Moore"/>
    <s v="FEMALE"/>
    <s v="Female"/>
    <n v="22"/>
    <x v="13"/>
    <x v="11"/>
    <x v="6"/>
    <n v="3"/>
    <x v="2"/>
    <s v="USD 100"/>
    <x v="1"/>
    <n v="3.6"/>
    <n v="1"/>
    <x v="1"/>
    <n v="0.78"/>
    <n v="0.78"/>
  </r>
  <r>
    <s v="FL250500"/>
    <s v="Suzanne Ingram"/>
    <s v="Suzanne Ingram"/>
    <s v="f"/>
    <s v="Female"/>
    <n v="40"/>
    <x v="16"/>
    <x v="13"/>
    <x v="3"/>
    <n v="11"/>
    <x v="0"/>
    <s v="$20"/>
    <x v="14"/>
    <n v="1.8"/>
    <n v="1"/>
    <x v="1"/>
    <n v="0.9"/>
    <n v="0.9"/>
  </r>
  <r>
    <s v="FL250501"/>
    <s v="Jacob Mclaughlin"/>
    <s v="Jacob Mclaughlin"/>
    <s v="m"/>
    <s v="Male"/>
    <n v="55"/>
    <x v="1"/>
    <x v="1"/>
    <x v="5"/>
    <n v="7"/>
    <x v="3"/>
    <s v="USD 100"/>
    <x v="1"/>
    <n v="2.1"/>
    <n v="0"/>
    <x v="1"/>
    <n v="0.66"/>
    <n v="0.66"/>
  </r>
  <r>
    <s v="FL250502"/>
    <s v="Michael Nunez"/>
    <s v="Michael Nunez"/>
    <s v="m"/>
    <s v="Male"/>
    <n v="32"/>
    <x v="19"/>
    <x v="6"/>
    <x v="8"/>
    <n v="1"/>
    <x v="2"/>
    <s v="$50"/>
    <x v="9"/>
    <m/>
    <s v="yes"/>
    <x v="1"/>
    <n v="0.7"/>
    <n v="0.7"/>
  </r>
  <r>
    <s v="FL250503"/>
    <s v="Isabel Brown"/>
    <s v="Isabel Brown"/>
    <s v="FEMALE"/>
    <s v="Female"/>
    <n v="21"/>
    <x v="9"/>
    <x v="7"/>
    <x v="6"/>
    <n v="0"/>
    <x v="2"/>
    <s v="USD 30"/>
    <x v="13"/>
    <n v="4.2"/>
    <s v="yes"/>
    <x v="1"/>
    <n v="0.79"/>
    <n v="0.79"/>
  </r>
  <r>
    <s v="FL250504"/>
    <s v="Michael Stein"/>
    <s v="Michael Stein"/>
    <s v="m"/>
    <s v="Male"/>
    <n v="23"/>
    <x v="12"/>
    <x v="10"/>
    <x v="0"/>
    <n v="1"/>
    <x v="2"/>
    <n v="40"/>
    <x v="10"/>
    <n v="0"/>
    <n v="0"/>
    <x v="0"/>
    <n v="0.64"/>
    <n v="0.64"/>
  </r>
  <r>
    <s v="FL250505"/>
    <s v="Robert Stone"/>
    <s v="Robert Stone"/>
    <s v="male"/>
    <s v="Male"/>
    <n v="21"/>
    <x v="7"/>
    <x v="1"/>
    <x v="1"/>
    <n v="1"/>
    <x v="2"/>
    <s v="USD 30"/>
    <x v="13"/>
    <n v="1"/>
    <s v="N"/>
    <x v="1"/>
    <n v="0.81"/>
    <n v="0.81"/>
  </r>
  <r>
    <s v="FL250506"/>
    <s v="Dillon Henry"/>
    <s v="Dillon Henry"/>
    <s v="male"/>
    <s v="Male"/>
    <n v="31"/>
    <x v="8"/>
    <x v="6"/>
    <x v="4"/>
    <n v="7"/>
    <x v="3"/>
    <n v="75"/>
    <x v="11"/>
    <n v="4.4000000000000004"/>
    <n v="0"/>
    <x v="0"/>
    <n v="0.83"/>
    <n v="0.83"/>
  </r>
  <r>
    <s v="FL250507"/>
    <s v="James Todd"/>
    <s v="James Todd"/>
    <s v="m"/>
    <s v="Male"/>
    <n v="21"/>
    <x v="19"/>
    <x v="6"/>
    <x v="0"/>
    <m/>
    <x v="2"/>
    <n v="40"/>
    <x v="10"/>
    <n v="4"/>
    <n v="0"/>
    <x v="0"/>
    <n v="0.91"/>
    <n v="0.91"/>
  </r>
  <r>
    <s v="FL250508"/>
    <s v="Clifford Moore MD"/>
    <s v="Clifford Moore MD"/>
    <s v="male"/>
    <s v="Male"/>
    <n v="33"/>
    <x v="7"/>
    <x v="1"/>
    <x v="7"/>
    <n v="6"/>
    <x v="3"/>
    <s v="USD 50"/>
    <x v="12"/>
    <n v="3.1"/>
    <s v="N"/>
    <x v="1"/>
    <m/>
    <m/>
  </r>
  <r>
    <s v="FL250509"/>
    <s v="John Rios"/>
    <s v="John Rios"/>
    <s v="m"/>
    <s v="Male"/>
    <n v="57"/>
    <x v="11"/>
    <x v="9"/>
    <x v="3"/>
    <n v="5"/>
    <x v="2"/>
    <n v="75"/>
    <x v="11"/>
    <n v="1.1000000000000001"/>
    <b v="1"/>
    <x v="2"/>
    <n v="0.77"/>
    <n v="0.77"/>
  </r>
  <r>
    <s v="FL250510"/>
    <s v="Anthony Gaines"/>
    <s v="Anthony Gaines"/>
    <s v="m"/>
    <s v="Male"/>
    <n v="52"/>
    <x v="5"/>
    <x v="1"/>
    <x v="8"/>
    <n v="17"/>
    <x v="4"/>
    <s v="USD 75"/>
    <x v="6"/>
    <n v="0"/>
    <n v="0"/>
    <x v="1"/>
    <n v="0.94"/>
    <n v="0.94"/>
  </r>
  <r>
    <s v="FL250511"/>
    <s v="Kristi Brown DVM"/>
    <s v="Kristi Brown DVM"/>
    <s v="FEMALE"/>
    <s v="Female"/>
    <n v="21"/>
    <x v="2"/>
    <x v="2"/>
    <x v="3"/>
    <n v="0"/>
    <x v="2"/>
    <s v="$20"/>
    <x v="14"/>
    <n v="3.8"/>
    <n v="1"/>
    <x v="1"/>
    <n v="0.61"/>
    <n v="0.61"/>
  </r>
  <r>
    <s v="FL250512"/>
    <s v="Ashley Odonnell"/>
    <s v="Ashley Odonnell"/>
    <s v="FEMALE"/>
    <s v="Female"/>
    <n v="36"/>
    <x v="8"/>
    <x v="6"/>
    <x v="6"/>
    <n v="8"/>
    <x v="3"/>
    <n v="100"/>
    <x v="0"/>
    <n v="1.7"/>
    <s v="N"/>
    <x v="0"/>
    <n v="0.68"/>
    <n v="0.68"/>
  </r>
  <r>
    <s v="FL250513"/>
    <s v="Ronald Elliott"/>
    <s v="Ronald Elliott"/>
    <s v="male"/>
    <s v="Male"/>
    <n v="33"/>
    <x v="20"/>
    <x v="6"/>
    <x v="9"/>
    <n v="13"/>
    <x v="0"/>
    <n v="50"/>
    <x v="2"/>
    <n v="2.2000000000000002"/>
    <s v="N"/>
    <x v="0"/>
    <n v="0.7"/>
    <n v="0.7"/>
  </r>
  <r>
    <s v="FL250514"/>
    <s v="Lorraine Lowery"/>
    <s v="Lorraine Lowery"/>
    <s v="f"/>
    <s v="Female"/>
    <n v="54"/>
    <x v="7"/>
    <x v="1"/>
    <x v="5"/>
    <n v="15"/>
    <x v="0"/>
    <n v="40"/>
    <x v="10"/>
    <n v="4.0999999999999996"/>
    <b v="1"/>
    <x v="2"/>
    <n v="71"/>
    <n v="0.71"/>
  </r>
  <r>
    <s v="FL250515"/>
    <s v="Victoria Chapman"/>
    <s v="Victoria Chapman"/>
    <s v="FEMALE"/>
    <s v="Female"/>
    <n v="33"/>
    <x v="5"/>
    <x v="1"/>
    <x v="0"/>
    <n v="2"/>
    <x v="2"/>
    <s v="USD 100"/>
    <x v="1"/>
    <n v="3.8"/>
    <b v="0"/>
    <x v="1"/>
    <m/>
    <m/>
  </r>
  <r>
    <s v="FL250516"/>
    <s v="Heather Davis"/>
    <s v="Heather Davis"/>
    <s v="FEMALE"/>
    <s v="Female"/>
    <n v="36"/>
    <x v="9"/>
    <x v="7"/>
    <x v="9"/>
    <n v="9"/>
    <x v="3"/>
    <s v="$30"/>
    <x v="5"/>
    <n v="0"/>
    <s v="yes"/>
    <x v="1"/>
    <n v="0.78"/>
    <n v="0.78"/>
  </r>
  <r>
    <s v="FL250517"/>
    <s v="Diana Chase"/>
    <s v="Diana Chase"/>
    <s v="FEMALE"/>
    <s v="Female"/>
    <n v="36"/>
    <x v="6"/>
    <x v="5"/>
    <x v="4"/>
    <n v="3"/>
    <x v="2"/>
    <s v="USD 50"/>
    <x v="12"/>
    <n v="0"/>
    <s v="no"/>
    <x v="1"/>
    <n v="75"/>
    <n v="0.75"/>
  </r>
  <r>
    <s v="FL250518"/>
    <s v="Danielle Adkins"/>
    <s v="Danielle Adkins"/>
    <s v="f"/>
    <s v="Female"/>
    <n v="43"/>
    <x v="18"/>
    <x v="15"/>
    <x v="4"/>
    <n v="15"/>
    <x v="0"/>
    <s v="$20"/>
    <x v="14"/>
    <n v="4.2"/>
    <b v="1"/>
    <x v="1"/>
    <n v="0.91"/>
    <n v="0.91"/>
  </r>
  <r>
    <s v="FL250519"/>
    <s v="Kenneth Arias"/>
    <s v="Kenneth Arias"/>
    <s v="male"/>
    <s v="Male"/>
    <n v="52"/>
    <x v="7"/>
    <x v="1"/>
    <x v="5"/>
    <n v="21"/>
    <x v="1"/>
    <s v="USD 75"/>
    <x v="6"/>
    <n v="2.2000000000000002"/>
    <n v="1"/>
    <x v="1"/>
    <n v="0.66"/>
    <n v="0.66"/>
  </r>
  <r>
    <s v="FL250520"/>
    <s v="Victoria Owen"/>
    <s v="Victoria Owen"/>
    <s v="f"/>
    <s v="Female"/>
    <n v="28"/>
    <x v="4"/>
    <x v="4"/>
    <x v="7"/>
    <n v="2"/>
    <x v="2"/>
    <s v="USD 75"/>
    <x v="6"/>
    <n v="1.5"/>
    <n v="1"/>
    <x v="1"/>
    <n v="0.68"/>
    <n v="0.68"/>
  </r>
  <r>
    <s v="FL250521"/>
    <s v="Christina King"/>
    <s v="Christina King"/>
    <s v="FEMALE"/>
    <s v="Female"/>
    <n v="47"/>
    <x v="18"/>
    <x v="15"/>
    <x v="7"/>
    <n v="21"/>
    <x v="1"/>
    <s v="$100"/>
    <x v="17"/>
    <n v="0"/>
    <s v="N"/>
    <x v="1"/>
    <m/>
    <m/>
  </r>
  <r>
    <s v="FL250522"/>
    <s v="Samantha King"/>
    <s v="Samantha King"/>
    <s v="FEMALE"/>
    <s v="Female"/>
    <n v="30"/>
    <x v="15"/>
    <x v="12"/>
    <x v="8"/>
    <n v="0"/>
    <x v="2"/>
    <s v="USD 100"/>
    <x v="1"/>
    <n v="4.0999999999999996"/>
    <n v="0"/>
    <x v="1"/>
    <n v="0.62"/>
    <n v="0.62"/>
  </r>
  <r>
    <s v="FL250523"/>
    <s v="Scott Compton"/>
    <s v="Scott Compton"/>
    <s v="m"/>
    <s v="Male"/>
    <n v="36"/>
    <x v="16"/>
    <x v="13"/>
    <x v="0"/>
    <n v="4"/>
    <x v="2"/>
    <n v="40"/>
    <x v="10"/>
    <n v="2.6"/>
    <s v="no"/>
    <x v="0"/>
    <n v="0.9"/>
    <n v="0.9"/>
  </r>
  <r>
    <s v="FL250524"/>
    <s v="Monica West"/>
    <s v="Monica West"/>
    <s v="FEMALE"/>
    <s v="Female"/>
    <n v="45"/>
    <x v="5"/>
    <x v="1"/>
    <x v="6"/>
    <n v="23"/>
    <x v="1"/>
    <n v="100"/>
    <x v="0"/>
    <n v="2.4"/>
    <b v="0"/>
    <x v="0"/>
    <n v="0.96"/>
    <n v="0.96"/>
  </r>
  <r>
    <s v="FL250525"/>
    <s v="Theresa Stewart"/>
    <s v="Theresa Stewart"/>
    <s v="f"/>
    <s v="Female"/>
    <n v="51"/>
    <x v="5"/>
    <x v="1"/>
    <x v="0"/>
    <n v="25"/>
    <x v="1"/>
    <n v="50"/>
    <x v="2"/>
    <n v="1.4"/>
    <s v="Y"/>
    <x v="2"/>
    <n v="0.6"/>
    <n v="0.6"/>
  </r>
  <r>
    <s v="FL250526"/>
    <s v="Steven Kim"/>
    <s v="Steven Kim"/>
    <s v="m"/>
    <s v="Male"/>
    <n v="46"/>
    <x v="6"/>
    <x v="5"/>
    <x v="1"/>
    <n v="10"/>
    <x v="3"/>
    <m/>
    <x v="8"/>
    <n v="4.5999999999999996"/>
    <s v="Y"/>
    <x v="1"/>
    <n v="0.62"/>
    <n v="0.62"/>
  </r>
  <r>
    <s v="FL250527"/>
    <s v="Kristi Knight"/>
    <s v="Kristi Knight"/>
    <s v="FEMALE"/>
    <s v="Female"/>
    <n v="38"/>
    <x v="0"/>
    <x v="0"/>
    <x v="5"/>
    <n v="18"/>
    <x v="4"/>
    <s v="USD 40"/>
    <x v="7"/>
    <n v="4.9000000000000004"/>
    <b v="0"/>
    <x v="1"/>
    <n v="0.74"/>
    <n v="0.74"/>
  </r>
  <r>
    <s v="FL250528"/>
    <s v="Jason Bryant"/>
    <s v="Jason Bryant"/>
    <s v="male"/>
    <s v="Male"/>
    <n v="26"/>
    <x v="20"/>
    <x v="6"/>
    <x v="0"/>
    <n v="1"/>
    <x v="2"/>
    <s v="$20"/>
    <x v="14"/>
    <n v="0"/>
    <n v="1"/>
    <x v="1"/>
    <m/>
    <m/>
  </r>
  <r>
    <s v="FL250529"/>
    <s v="Maureen Keith"/>
    <s v="Maureen Keith"/>
    <s v="FEMALE"/>
    <s v="Female"/>
    <n v="40"/>
    <x v="7"/>
    <x v="1"/>
    <x v="8"/>
    <n v="12"/>
    <x v="0"/>
    <n v="30"/>
    <x v="4"/>
    <n v="3.5"/>
    <m/>
    <x v="1"/>
    <n v="0.98"/>
    <n v="0.98"/>
  </r>
  <r>
    <s v="FL250530"/>
    <s v="Shawn Hogan"/>
    <s v="Shawn Hogan"/>
    <s v="male"/>
    <s v="Male"/>
    <n v="37"/>
    <x v="2"/>
    <x v="2"/>
    <x v="9"/>
    <m/>
    <x v="2"/>
    <m/>
    <x v="8"/>
    <n v="1.7"/>
    <s v="yes"/>
    <x v="1"/>
    <n v="0.63"/>
    <n v="0.63"/>
  </r>
  <r>
    <s v="FL250531"/>
    <s v="William Davis"/>
    <s v="William Davis"/>
    <s v="m"/>
    <s v="Male"/>
    <n v="28"/>
    <x v="14"/>
    <x v="1"/>
    <x v="0"/>
    <n v="5"/>
    <x v="2"/>
    <s v="$50"/>
    <x v="9"/>
    <n v="0"/>
    <s v="yes"/>
    <x v="1"/>
    <n v="96"/>
    <n v="0.96"/>
  </r>
  <r>
    <s v="FL250532"/>
    <s v="Stacy Bailey"/>
    <s v="Stacy Bailey"/>
    <s v="FEMALE"/>
    <s v="Female"/>
    <n v="48"/>
    <x v="10"/>
    <x v="8"/>
    <x v="1"/>
    <n v="28"/>
    <x v="1"/>
    <s v="USD 20"/>
    <x v="18"/>
    <n v="0"/>
    <n v="0"/>
    <x v="1"/>
    <n v="0.88"/>
    <n v="0.88"/>
  </r>
  <r>
    <s v="FL250533"/>
    <s v="Thomas Dixon"/>
    <s v="Thomas Dixon"/>
    <s v="male"/>
    <s v="Male"/>
    <n v="22"/>
    <x v="10"/>
    <x v="8"/>
    <x v="4"/>
    <n v="0"/>
    <x v="2"/>
    <m/>
    <x v="8"/>
    <n v="4.5999999999999996"/>
    <b v="0"/>
    <x v="1"/>
    <m/>
    <m/>
  </r>
  <r>
    <s v="FL250534"/>
    <s v="Maria Hall"/>
    <s v="Maria Hall"/>
    <s v="FEMALE"/>
    <s v="Female"/>
    <n v="41"/>
    <x v="2"/>
    <x v="2"/>
    <x v="3"/>
    <n v="14"/>
    <x v="0"/>
    <n v="40"/>
    <x v="10"/>
    <n v="1.1000000000000001"/>
    <b v="1"/>
    <x v="2"/>
    <n v="0.73"/>
    <n v="0.73"/>
  </r>
  <r>
    <s v="FL250535"/>
    <s v="Tony Lee"/>
    <s v="Tony Lee"/>
    <s v="male"/>
    <s v="Male"/>
    <n v="38"/>
    <x v="5"/>
    <x v="1"/>
    <x v="2"/>
    <n v="15"/>
    <x v="0"/>
    <m/>
    <x v="8"/>
    <n v="4.2"/>
    <n v="0"/>
    <x v="1"/>
    <n v="0.88"/>
    <n v="0.88"/>
  </r>
  <r>
    <s v="FL250536"/>
    <s v="Catherine Mccoy MD"/>
    <s v="Catherine Mccoy MD"/>
    <s v="FEMALE"/>
    <s v="Female"/>
    <n v="31"/>
    <x v="17"/>
    <x v="14"/>
    <x v="6"/>
    <n v="9"/>
    <x v="3"/>
    <m/>
    <x v="8"/>
    <n v="0"/>
    <b v="0"/>
    <x v="1"/>
    <n v="0.91"/>
    <n v="0.91"/>
  </r>
  <r>
    <s v="FL250537"/>
    <s v="Maria Benitez"/>
    <s v="Maria Benitez"/>
    <s v="f"/>
    <s v="Female"/>
    <n v="30"/>
    <x v="18"/>
    <x v="15"/>
    <x v="1"/>
    <n v="9"/>
    <x v="3"/>
    <s v="$30"/>
    <x v="5"/>
    <n v="3.9"/>
    <s v="no"/>
    <x v="1"/>
    <n v="0.65"/>
    <n v="0.65"/>
  </r>
  <r>
    <s v="FL250538"/>
    <s v="Joshua Chambers"/>
    <s v="Joshua Chambers"/>
    <s v="male"/>
    <s v="Male"/>
    <n v="51"/>
    <x v="19"/>
    <x v="6"/>
    <x v="6"/>
    <n v="22"/>
    <x v="1"/>
    <n v="20"/>
    <x v="15"/>
    <n v="3.4"/>
    <b v="1"/>
    <x v="2"/>
    <n v="90"/>
    <n v="0.9"/>
  </r>
  <r>
    <s v="FL250539"/>
    <s v="Janice Daniels"/>
    <s v="Janice Daniels"/>
    <s v="f"/>
    <s v="Female"/>
    <n v="21"/>
    <x v="2"/>
    <x v="2"/>
    <x v="8"/>
    <n v="0"/>
    <x v="2"/>
    <s v="$20"/>
    <x v="14"/>
    <n v="2.6"/>
    <s v="N"/>
    <x v="1"/>
    <n v="0.72"/>
    <n v="0.72"/>
  </r>
  <r>
    <s v="FL250540"/>
    <s v="Carla Wood"/>
    <s v="Carla Wood"/>
    <s v="FEMALE"/>
    <s v="Female"/>
    <n v="20"/>
    <x v="0"/>
    <x v="0"/>
    <x v="8"/>
    <n v="1"/>
    <x v="2"/>
    <s v="USD 40"/>
    <x v="7"/>
    <n v="2.2999999999999998"/>
    <n v="1"/>
    <x v="1"/>
    <n v="0.72"/>
    <n v="0.72"/>
  </r>
  <r>
    <s v="FL250541"/>
    <s v="Kenneth Vasquez"/>
    <s v="Kenneth Vasquez"/>
    <s v="male"/>
    <s v="Male"/>
    <n v="30"/>
    <x v="9"/>
    <x v="7"/>
    <x v="0"/>
    <n v="5"/>
    <x v="2"/>
    <s v="$30"/>
    <x v="5"/>
    <n v="4.8"/>
    <s v="N"/>
    <x v="1"/>
    <m/>
    <m/>
  </r>
  <r>
    <s v="FL250542"/>
    <s v="Kevin Smith"/>
    <s v="Kevin Smith"/>
    <s v="male"/>
    <s v="Male"/>
    <n v="41"/>
    <x v="18"/>
    <x v="15"/>
    <x v="5"/>
    <n v="0"/>
    <x v="2"/>
    <s v="USD 40"/>
    <x v="7"/>
    <n v="4.5"/>
    <s v="N"/>
    <x v="1"/>
    <n v="0.68"/>
    <n v="0.68"/>
  </r>
  <r>
    <s v="FL250543"/>
    <s v="Thomas Kim"/>
    <s v="Thomas Kim"/>
    <s v="male"/>
    <s v="Male"/>
    <n v="22"/>
    <x v="20"/>
    <x v="6"/>
    <x v="0"/>
    <n v="0"/>
    <x v="2"/>
    <s v="$30"/>
    <x v="5"/>
    <n v="0"/>
    <n v="0"/>
    <x v="1"/>
    <n v="0.87"/>
    <n v="0.87"/>
  </r>
  <r>
    <s v="FL250544"/>
    <s v="Sean Park"/>
    <s v="Sean Park"/>
    <s v="male"/>
    <s v="Male"/>
    <n v="45"/>
    <x v="19"/>
    <x v="6"/>
    <x v="7"/>
    <n v="19"/>
    <x v="4"/>
    <n v="75"/>
    <x v="11"/>
    <n v="0"/>
    <s v="no"/>
    <x v="0"/>
    <n v="0.72"/>
    <n v="0.72"/>
  </r>
  <r>
    <s v="FL250545"/>
    <s v="Judith Poole"/>
    <s v="Judith Poole"/>
    <s v="FEMALE"/>
    <s v="Female"/>
    <n v="22"/>
    <x v="1"/>
    <x v="1"/>
    <x v="5"/>
    <n v="2"/>
    <x v="2"/>
    <n v="40"/>
    <x v="10"/>
    <n v="1.1000000000000001"/>
    <s v="no"/>
    <x v="0"/>
    <n v="0.76"/>
    <n v="0.76"/>
  </r>
  <r>
    <s v="FL250546"/>
    <s v="Melanie Baird"/>
    <s v="Melanie Baird"/>
    <s v="f"/>
    <s v="Female"/>
    <n v="20"/>
    <x v="6"/>
    <x v="5"/>
    <x v="1"/>
    <n v="0"/>
    <x v="2"/>
    <n v="100"/>
    <x v="0"/>
    <n v="0"/>
    <n v="0"/>
    <x v="0"/>
    <n v="63"/>
    <n v="0.63"/>
  </r>
  <r>
    <s v="FL250547"/>
    <s v="Erika Mitchell"/>
    <s v="Erika Mitchell"/>
    <s v="FEMALE"/>
    <s v="Female"/>
    <n v="20"/>
    <x v="14"/>
    <x v="1"/>
    <x v="5"/>
    <n v="2"/>
    <x v="2"/>
    <n v="40"/>
    <x v="10"/>
    <m/>
    <n v="1"/>
    <x v="2"/>
    <n v="0.91"/>
    <n v="0.91"/>
  </r>
  <r>
    <s v="FL250548"/>
    <s v="Ricky Martinez"/>
    <s v="Ricky Martinez"/>
    <s v="m"/>
    <s v="Male"/>
    <n v="21"/>
    <x v="7"/>
    <x v="1"/>
    <x v="4"/>
    <n v="0"/>
    <x v="2"/>
    <n v="100"/>
    <x v="0"/>
    <m/>
    <n v="0"/>
    <x v="0"/>
    <n v="0.73"/>
    <n v="0.73"/>
  </r>
  <r>
    <s v="FL250549"/>
    <s v="John Christian"/>
    <s v="John Christian"/>
    <s v="male"/>
    <s v="Male"/>
    <n v="22"/>
    <x v="3"/>
    <x v="3"/>
    <x v="7"/>
    <n v="1"/>
    <x v="2"/>
    <n v="40"/>
    <x v="10"/>
    <n v="0"/>
    <n v="0"/>
    <x v="0"/>
    <n v="0.63"/>
    <n v="0.63"/>
  </r>
  <r>
    <s v="FL250550"/>
    <s v="Nancy Smith"/>
    <s v="Nancy Smith"/>
    <s v="f"/>
    <s v="Female"/>
    <n v="28"/>
    <x v="7"/>
    <x v="1"/>
    <x v="8"/>
    <n v="3"/>
    <x v="2"/>
    <s v="USD 20"/>
    <x v="18"/>
    <m/>
    <n v="1"/>
    <x v="1"/>
    <n v="0.79"/>
    <n v="0.79"/>
  </r>
  <r>
    <s v="FL250551"/>
    <s v="Cassandra Stephens"/>
    <s v="Cassandra Stephens"/>
    <s v="f"/>
    <s v="Female"/>
    <n v="59"/>
    <x v="8"/>
    <x v="6"/>
    <x v="4"/>
    <m/>
    <x v="2"/>
    <n v="20"/>
    <x v="15"/>
    <n v="4.0999999999999996"/>
    <n v="0"/>
    <x v="0"/>
    <n v="75"/>
    <n v="0.75"/>
  </r>
  <r>
    <s v="FL250552"/>
    <s v="Miss Janet Donovan MD"/>
    <s v="Miss Janet Donovan MD"/>
    <s v="FEMALE"/>
    <s v="Female"/>
    <n v="28"/>
    <x v="15"/>
    <x v="12"/>
    <x v="3"/>
    <n v="1"/>
    <x v="2"/>
    <m/>
    <x v="8"/>
    <n v="0"/>
    <n v="0"/>
    <x v="1"/>
    <n v="0.7"/>
    <n v="0.7"/>
  </r>
  <r>
    <s v="FL250553"/>
    <s v="Kristina Williams"/>
    <s v="Kristina Williams"/>
    <s v="f"/>
    <s v="Female"/>
    <n v="40"/>
    <x v="1"/>
    <x v="1"/>
    <x v="8"/>
    <n v="0"/>
    <x v="2"/>
    <s v="$100"/>
    <x v="17"/>
    <n v="1.2"/>
    <m/>
    <x v="1"/>
    <n v="0.87"/>
    <n v="0.87"/>
  </r>
  <r>
    <s v="FL250554"/>
    <s v="Wayne Barnes"/>
    <s v="Wayne Barnes"/>
    <s v="m"/>
    <s v="Male"/>
    <n v="57"/>
    <x v="0"/>
    <x v="0"/>
    <x v="0"/>
    <n v="7"/>
    <x v="3"/>
    <n v="30"/>
    <x v="4"/>
    <n v="1.6"/>
    <s v="no"/>
    <x v="0"/>
    <m/>
    <m/>
  </r>
  <r>
    <s v="FL250555"/>
    <s v="James Hinton"/>
    <s v="James Hinton"/>
    <s v="male"/>
    <s v="Male"/>
    <n v="47"/>
    <x v="6"/>
    <x v="5"/>
    <x v="8"/>
    <n v="1"/>
    <x v="2"/>
    <n v="50"/>
    <x v="2"/>
    <n v="3.9"/>
    <s v="Y"/>
    <x v="2"/>
    <n v="0.88"/>
    <n v="0.88"/>
  </r>
  <r>
    <s v="FL250556"/>
    <s v="David Spence"/>
    <s v="David Spence"/>
    <s v="male"/>
    <s v="Male"/>
    <n v="48"/>
    <x v="12"/>
    <x v="10"/>
    <x v="7"/>
    <n v="21"/>
    <x v="1"/>
    <n v="40"/>
    <x v="10"/>
    <n v="0"/>
    <n v="1"/>
    <x v="2"/>
    <m/>
    <m/>
  </r>
  <r>
    <s v="FL250557"/>
    <s v="Tyler Cooper"/>
    <s v="Tyler Cooper"/>
    <s v="male"/>
    <s v="Male"/>
    <n v="28"/>
    <x v="5"/>
    <x v="1"/>
    <x v="6"/>
    <n v="1"/>
    <x v="2"/>
    <s v="USD 20"/>
    <x v="18"/>
    <n v="4.7"/>
    <b v="0"/>
    <x v="1"/>
    <n v="0.93"/>
    <n v="0.93"/>
  </r>
  <r>
    <s v="FL250558"/>
    <s v="Sean Martinez"/>
    <s v="Sean Martinez"/>
    <s v="m"/>
    <s v="Male"/>
    <n v="41"/>
    <x v="6"/>
    <x v="5"/>
    <x v="2"/>
    <n v="15"/>
    <x v="0"/>
    <m/>
    <x v="8"/>
    <n v="3.8"/>
    <n v="1"/>
    <x v="1"/>
    <m/>
    <m/>
  </r>
  <r>
    <s v="FL250559"/>
    <s v="Janet Barron"/>
    <s v="Janet Barron"/>
    <s v="f"/>
    <s v="Female"/>
    <n v="57"/>
    <x v="17"/>
    <x v="14"/>
    <x v="7"/>
    <n v="33"/>
    <x v="1"/>
    <n v="100"/>
    <x v="0"/>
    <n v="3.5"/>
    <s v="no"/>
    <x v="0"/>
    <n v="0.74"/>
    <n v="0.74"/>
  </r>
  <r>
    <s v="FL250560"/>
    <s v="Rodney Wilson"/>
    <s v="Rodney Wilson"/>
    <s v="male"/>
    <s v="Male"/>
    <n v="60"/>
    <x v="8"/>
    <x v="6"/>
    <x v="2"/>
    <n v="39"/>
    <x v="1"/>
    <s v="USD 75"/>
    <x v="6"/>
    <n v="4"/>
    <m/>
    <x v="1"/>
    <n v="0.7"/>
    <n v="0.7"/>
  </r>
  <r>
    <s v="FL250561"/>
    <s v="Kimberly Fitzgerald"/>
    <s v="Kimberly Fitzgerald"/>
    <s v="FEMALE"/>
    <s v="Female"/>
    <n v="48"/>
    <x v="16"/>
    <x v="13"/>
    <x v="2"/>
    <n v="21"/>
    <x v="1"/>
    <n v="30"/>
    <x v="4"/>
    <n v="1.6"/>
    <s v="Y"/>
    <x v="2"/>
    <n v="0.67"/>
    <n v="0.67"/>
  </r>
  <r>
    <s v="FL250562"/>
    <s v="Nicole Davis"/>
    <s v="Nicole Davis"/>
    <s v="FEMALE"/>
    <s v="Female"/>
    <n v="24"/>
    <x v="15"/>
    <x v="12"/>
    <x v="7"/>
    <n v="5"/>
    <x v="2"/>
    <n v="40"/>
    <x v="10"/>
    <n v="3"/>
    <s v="no"/>
    <x v="0"/>
    <n v="0.86"/>
    <n v="0.86"/>
  </r>
  <r>
    <s v="FL250563"/>
    <s v="Elizabeth Hayes"/>
    <s v="Elizabeth Hayes"/>
    <s v="FEMALE"/>
    <s v="Female"/>
    <n v="33"/>
    <x v="19"/>
    <x v="6"/>
    <x v="8"/>
    <n v="11"/>
    <x v="0"/>
    <n v="50"/>
    <x v="2"/>
    <n v="5"/>
    <s v="yes"/>
    <x v="2"/>
    <n v="0.69"/>
    <n v="0.69"/>
  </r>
  <r>
    <s v="FL250564"/>
    <s v="Kathy Faulkner"/>
    <s v="Kathy Faulkner"/>
    <s v="FEMALE"/>
    <s v="Female"/>
    <n v="20"/>
    <x v="6"/>
    <x v="5"/>
    <x v="2"/>
    <n v="0"/>
    <x v="2"/>
    <n v="30"/>
    <x v="4"/>
    <n v="4.8"/>
    <s v="yes"/>
    <x v="2"/>
    <n v="0.68"/>
    <n v="0.68"/>
  </r>
  <r>
    <s v="FL250565"/>
    <s v="John Gonzales"/>
    <s v="John Gonzales"/>
    <s v="male"/>
    <s v="Male"/>
    <n v="59"/>
    <x v="7"/>
    <x v="1"/>
    <x v="8"/>
    <n v="15"/>
    <x v="0"/>
    <s v="$50"/>
    <x v="9"/>
    <m/>
    <s v="no"/>
    <x v="1"/>
    <m/>
    <m/>
  </r>
  <r>
    <s v="FL250566"/>
    <s v="Shannon Luna"/>
    <s v="Shannon Luna"/>
    <s v="FEMALE"/>
    <s v="Female"/>
    <n v="42"/>
    <x v="18"/>
    <x v="15"/>
    <x v="8"/>
    <n v="22"/>
    <x v="1"/>
    <m/>
    <x v="8"/>
    <n v="2.9"/>
    <n v="0"/>
    <x v="1"/>
    <n v="0.61"/>
    <n v="0.61"/>
  </r>
  <r>
    <s v="FL250567"/>
    <s v="Stephanie Burton"/>
    <s v="Stephanie Burton"/>
    <s v="FEMALE"/>
    <s v="Female"/>
    <n v="22"/>
    <x v="6"/>
    <x v="5"/>
    <x v="6"/>
    <n v="3"/>
    <x v="2"/>
    <m/>
    <x v="8"/>
    <n v="3"/>
    <b v="1"/>
    <x v="1"/>
    <n v="0.96"/>
    <n v="0.96"/>
  </r>
  <r>
    <s v="FL250568"/>
    <s v="Kevin Gonzales"/>
    <s v="Kevin Gonzales"/>
    <s v="m"/>
    <s v="Male"/>
    <n v="41"/>
    <x v="14"/>
    <x v="1"/>
    <x v="7"/>
    <n v="11"/>
    <x v="0"/>
    <n v="50"/>
    <x v="2"/>
    <n v="3.5"/>
    <n v="1"/>
    <x v="2"/>
    <n v="0.68"/>
    <n v="0.68"/>
  </r>
  <r>
    <s v="FL250569"/>
    <s v="Dawn Hardy"/>
    <s v="Dawn Hardy"/>
    <s v="FEMALE"/>
    <s v="Female"/>
    <n v="25"/>
    <x v="8"/>
    <x v="6"/>
    <x v="3"/>
    <n v="5"/>
    <x v="2"/>
    <n v="40"/>
    <x v="10"/>
    <m/>
    <b v="1"/>
    <x v="2"/>
    <n v="0.75"/>
    <n v="0.75"/>
  </r>
  <r>
    <s v="FL250570"/>
    <s v="Margaret Perkins"/>
    <s v="Margaret Perkins"/>
    <s v="f"/>
    <s v="Female"/>
    <n v="38"/>
    <x v="14"/>
    <x v="1"/>
    <x v="6"/>
    <n v="3"/>
    <x v="2"/>
    <n v="40"/>
    <x v="10"/>
    <n v="4.7"/>
    <n v="0"/>
    <x v="0"/>
    <n v="0.69"/>
    <n v="0.69"/>
  </r>
  <r>
    <s v="FL250571"/>
    <s v="Amanda Vargas"/>
    <s v="Amanda Vargas"/>
    <s v="FEMALE"/>
    <s v="Female"/>
    <n v="43"/>
    <x v="5"/>
    <x v="1"/>
    <x v="8"/>
    <n v="1"/>
    <x v="2"/>
    <m/>
    <x v="8"/>
    <n v="2.9"/>
    <s v="no"/>
    <x v="1"/>
    <n v="0.78"/>
    <n v="0.78"/>
  </r>
  <r>
    <s v="FL250572"/>
    <s v="Tonya Gonzalez"/>
    <s v="Tonya Gonzalez"/>
    <s v="f"/>
    <s v="Female"/>
    <n v="54"/>
    <x v="19"/>
    <x v="6"/>
    <x v="4"/>
    <n v="1"/>
    <x v="2"/>
    <n v="75"/>
    <x v="11"/>
    <n v="4.4000000000000004"/>
    <s v="Y"/>
    <x v="2"/>
    <m/>
    <m/>
  </r>
  <r>
    <s v="FL250573"/>
    <s v="Elizabeth Bowman"/>
    <s v="Elizabeth Bowman"/>
    <s v="f"/>
    <s v="Female"/>
    <n v="31"/>
    <x v="4"/>
    <x v="4"/>
    <x v="1"/>
    <n v="2"/>
    <x v="2"/>
    <n v="40"/>
    <x v="10"/>
    <n v="2.2999999999999998"/>
    <s v="N"/>
    <x v="0"/>
    <n v="0.98"/>
    <n v="0.98"/>
  </r>
  <r>
    <s v="FL250574"/>
    <s v="Ariana Pittman"/>
    <s v="Ariana Pittman"/>
    <s v="f"/>
    <s v="Female"/>
    <n v="56"/>
    <x v="19"/>
    <x v="6"/>
    <x v="4"/>
    <n v="3"/>
    <x v="2"/>
    <s v="$30"/>
    <x v="5"/>
    <n v="3.7"/>
    <m/>
    <x v="1"/>
    <n v="0.83"/>
    <n v="0.83"/>
  </r>
  <r>
    <s v="FL250575"/>
    <s v="Antonio Johnson"/>
    <s v="Antonio Johnson"/>
    <s v="male"/>
    <s v="Male"/>
    <n v="46"/>
    <x v="19"/>
    <x v="6"/>
    <x v="2"/>
    <n v="11"/>
    <x v="0"/>
    <m/>
    <x v="8"/>
    <n v="1.8"/>
    <n v="1"/>
    <x v="1"/>
    <n v="0.91"/>
    <n v="0.91"/>
  </r>
  <r>
    <s v="FL250576"/>
    <s v="Justin Lang"/>
    <s v="Justin Lang"/>
    <s v="male"/>
    <s v="Male"/>
    <n v="60"/>
    <x v="16"/>
    <x v="13"/>
    <x v="4"/>
    <m/>
    <x v="2"/>
    <n v="100"/>
    <x v="0"/>
    <n v="0"/>
    <n v="1"/>
    <x v="2"/>
    <n v="0.96"/>
    <n v="0.96"/>
  </r>
  <r>
    <s v="FL250577"/>
    <s v="Kelli Ramirez"/>
    <s v="Kelli Ramirez"/>
    <s v="f"/>
    <s v="Female"/>
    <n v="28"/>
    <x v="12"/>
    <x v="10"/>
    <x v="2"/>
    <n v="2"/>
    <x v="2"/>
    <s v="USD 50"/>
    <x v="12"/>
    <m/>
    <n v="1"/>
    <x v="1"/>
    <n v="0.85"/>
    <n v="0.85"/>
  </r>
  <r>
    <s v="FL250578"/>
    <s v="Deborah Torres"/>
    <s v="Deborah Torres"/>
    <s v="f"/>
    <s v="Female"/>
    <n v="43"/>
    <x v="4"/>
    <x v="4"/>
    <x v="3"/>
    <n v="20"/>
    <x v="4"/>
    <s v="USD 30"/>
    <x v="13"/>
    <n v="2.7"/>
    <b v="0"/>
    <x v="1"/>
    <n v="0.72"/>
    <n v="0.72"/>
  </r>
  <r>
    <s v="FL250579"/>
    <s v="Joseph Horn"/>
    <s v="Joseph Horn"/>
    <s v="male"/>
    <s v="Male"/>
    <n v="41"/>
    <x v="15"/>
    <x v="12"/>
    <x v="3"/>
    <n v="11"/>
    <x v="0"/>
    <s v="$20"/>
    <x v="14"/>
    <n v="4.7"/>
    <m/>
    <x v="1"/>
    <n v="0.69"/>
    <n v="0.69"/>
  </r>
  <r>
    <s v="FL250580"/>
    <s v="Christopher Robinson"/>
    <s v="Christopher Robinson"/>
    <s v="male"/>
    <s v="Male"/>
    <n v="41"/>
    <x v="7"/>
    <x v="1"/>
    <x v="8"/>
    <n v="0"/>
    <x v="2"/>
    <s v="$20"/>
    <x v="14"/>
    <n v="3.1"/>
    <n v="0"/>
    <x v="1"/>
    <n v="90"/>
    <n v="0.9"/>
  </r>
  <r>
    <s v="FL250581"/>
    <s v="Sandra Mccormick"/>
    <s v="Sandra Mccormick"/>
    <s v="f"/>
    <s v="Female"/>
    <n v="40"/>
    <x v="7"/>
    <x v="1"/>
    <x v="1"/>
    <n v="20"/>
    <x v="4"/>
    <n v="20"/>
    <x v="15"/>
    <n v="2.2999999999999998"/>
    <n v="0"/>
    <x v="0"/>
    <n v="0.92"/>
    <n v="0.92"/>
  </r>
  <r>
    <s v="FL250582"/>
    <s v="Michael Holland"/>
    <s v="Michael Holland"/>
    <s v="male"/>
    <s v="Male"/>
    <n v="45"/>
    <x v="2"/>
    <x v="2"/>
    <x v="8"/>
    <n v="3"/>
    <x v="2"/>
    <s v="USD 20"/>
    <x v="18"/>
    <n v="1.3"/>
    <s v="Y"/>
    <x v="1"/>
    <n v="0.91"/>
    <n v="0.91"/>
  </r>
  <r>
    <s v="FL250583"/>
    <s v="Kenneth Stevenson"/>
    <s v="Kenneth Stevenson"/>
    <s v="male"/>
    <s v="Male"/>
    <n v="47"/>
    <x v="16"/>
    <x v="13"/>
    <x v="8"/>
    <n v="28"/>
    <x v="1"/>
    <s v="USD 50"/>
    <x v="12"/>
    <n v="2.9"/>
    <b v="1"/>
    <x v="1"/>
    <m/>
    <m/>
  </r>
  <r>
    <s v="FL250584"/>
    <s v="Timothy Bennett"/>
    <s v="Timothy Bennett"/>
    <s v="m"/>
    <s v="Male"/>
    <n v="34"/>
    <x v="10"/>
    <x v="8"/>
    <x v="5"/>
    <n v="0"/>
    <x v="2"/>
    <n v="40"/>
    <x v="10"/>
    <n v="3.3"/>
    <n v="0"/>
    <x v="0"/>
    <n v="0.98"/>
    <n v="0.98"/>
  </r>
  <r>
    <s v="FL250585"/>
    <s v="Gregory Randall"/>
    <s v="Gregory Randall"/>
    <s v="m"/>
    <s v="Male"/>
    <n v="47"/>
    <x v="5"/>
    <x v="1"/>
    <x v="6"/>
    <n v="4"/>
    <x v="2"/>
    <s v="USD 20"/>
    <x v="18"/>
    <n v="4.2"/>
    <m/>
    <x v="1"/>
    <n v="0.82"/>
    <n v="0.82"/>
  </r>
  <r>
    <s v="FL250586"/>
    <s v="Charles Martinez"/>
    <s v="Charles Martinez"/>
    <s v="m"/>
    <s v="Male"/>
    <n v="32"/>
    <x v="19"/>
    <x v="6"/>
    <x v="6"/>
    <n v="9"/>
    <x v="3"/>
    <s v="USD 40"/>
    <x v="7"/>
    <n v="1.3"/>
    <b v="1"/>
    <x v="1"/>
    <n v="0.83"/>
    <n v="0.83"/>
  </r>
  <r>
    <s v="FL250587"/>
    <s v="James Hall"/>
    <s v="James Hall"/>
    <s v="m"/>
    <s v="Male"/>
    <n v="28"/>
    <x v="7"/>
    <x v="1"/>
    <x v="1"/>
    <n v="2"/>
    <x v="2"/>
    <s v="$100"/>
    <x v="17"/>
    <n v="4.4000000000000004"/>
    <b v="1"/>
    <x v="1"/>
    <m/>
    <m/>
  </r>
  <r>
    <s v="FL250588"/>
    <s v="Michael Garcia"/>
    <s v="Michael Garcia"/>
    <s v="m"/>
    <s v="Male"/>
    <n v="32"/>
    <x v="1"/>
    <x v="1"/>
    <x v="8"/>
    <n v="1"/>
    <x v="2"/>
    <n v="100"/>
    <x v="0"/>
    <n v="3.4"/>
    <b v="1"/>
    <x v="2"/>
    <m/>
    <m/>
  </r>
  <r>
    <s v="FL250589"/>
    <s v="Michele Duran"/>
    <s v="Michele Duran"/>
    <s v="f"/>
    <s v="Female"/>
    <n v="49"/>
    <x v="3"/>
    <x v="3"/>
    <x v="4"/>
    <n v="2"/>
    <x v="2"/>
    <s v="$100"/>
    <x v="17"/>
    <n v="3.4"/>
    <n v="1"/>
    <x v="1"/>
    <n v="0.85"/>
    <n v="0.85"/>
  </r>
  <r>
    <s v="FL250590"/>
    <s v="Jessica Gray"/>
    <s v="Jessica Gray"/>
    <s v="f"/>
    <s v="Female"/>
    <n v="36"/>
    <x v="8"/>
    <x v="6"/>
    <x v="1"/>
    <n v="16"/>
    <x v="4"/>
    <s v="USD 20"/>
    <x v="18"/>
    <n v="3.2"/>
    <m/>
    <x v="1"/>
    <m/>
    <m/>
  </r>
  <r>
    <s v="FL250591"/>
    <s v="Keith Shaffer"/>
    <s v="Keith Shaffer"/>
    <s v="m"/>
    <s v="Male"/>
    <n v="59"/>
    <x v="19"/>
    <x v="6"/>
    <x v="0"/>
    <n v="22"/>
    <x v="1"/>
    <s v="USD 20"/>
    <x v="18"/>
    <n v="3.6"/>
    <s v="N"/>
    <x v="1"/>
    <n v="0.63"/>
    <n v="0.63"/>
  </r>
  <r>
    <s v="FL250592"/>
    <s v="Jessica Decker"/>
    <s v="Jessica Decker"/>
    <s v="FEMALE"/>
    <s v="Female"/>
    <n v="52"/>
    <x v="14"/>
    <x v="1"/>
    <x v="7"/>
    <n v="22"/>
    <x v="1"/>
    <s v="$20"/>
    <x v="14"/>
    <n v="0"/>
    <n v="0"/>
    <x v="1"/>
    <m/>
    <m/>
  </r>
  <r>
    <s v="FL250593"/>
    <s v="Brianna Pittman"/>
    <s v="Brianna Pittman"/>
    <s v="FEMALE"/>
    <s v="Female"/>
    <n v="24"/>
    <x v="18"/>
    <x v="15"/>
    <x v="0"/>
    <n v="5"/>
    <x v="2"/>
    <n v="40"/>
    <x v="10"/>
    <n v="1.8"/>
    <n v="1"/>
    <x v="2"/>
    <n v="0.86"/>
    <n v="0.86"/>
  </r>
  <r>
    <s v="FL250594"/>
    <s v="Kimberly Hunter"/>
    <s v="Kimberly Hunter"/>
    <s v="FEMALE"/>
    <s v="Female"/>
    <n v="26"/>
    <x v="1"/>
    <x v="1"/>
    <x v="2"/>
    <n v="2"/>
    <x v="2"/>
    <s v="USD 75"/>
    <x v="6"/>
    <n v="2.5"/>
    <s v="yes"/>
    <x v="1"/>
    <n v="60"/>
    <n v="0.6"/>
  </r>
  <r>
    <s v="FL250595"/>
    <s v="Daniel Martin"/>
    <s v="Daniel Martin"/>
    <s v="m"/>
    <s v="Male"/>
    <n v="55"/>
    <x v="14"/>
    <x v="1"/>
    <x v="7"/>
    <n v="24"/>
    <x v="1"/>
    <n v="40"/>
    <x v="10"/>
    <n v="2"/>
    <n v="1"/>
    <x v="2"/>
    <n v="88"/>
    <n v="0.88"/>
  </r>
  <r>
    <s v="FL250596"/>
    <s v="Rachel Smith"/>
    <s v="Rachel Smith"/>
    <s v="FEMALE"/>
    <s v="Female"/>
    <n v="56"/>
    <x v="0"/>
    <x v="0"/>
    <x v="1"/>
    <n v="37"/>
    <x v="1"/>
    <n v="40"/>
    <x v="10"/>
    <n v="0"/>
    <s v="N"/>
    <x v="0"/>
    <n v="0.7"/>
    <n v="0.7"/>
  </r>
  <r>
    <s v="FL250597"/>
    <s v="Michael Miller"/>
    <s v="Michael Miller"/>
    <s v="m"/>
    <s v="Male"/>
    <n v="36"/>
    <x v="15"/>
    <x v="12"/>
    <x v="2"/>
    <n v="3"/>
    <x v="2"/>
    <s v="USD 50"/>
    <x v="12"/>
    <n v="1.3"/>
    <n v="1"/>
    <x v="1"/>
    <n v="0.77"/>
    <n v="0.77"/>
  </r>
  <r>
    <s v="FL250598"/>
    <s v="Willie Clark"/>
    <s v="Willie Clark"/>
    <s v="m"/>
    <s v="Male"/>
    <n v="48"/>
    <x v="8"/>
    <x v="6"/>
    <x v="3"/>
    <n v="18"/>
    <x v="4"/>
    <n v="75"/>
    <x v="11"/>
    <n v="0"/>
    <n v="0"/>
    <x v="0"/>
    <n v="0.8"/>
    <n v="0.8"/>
  </r>
  <r>
    <s v="FL250599"/>
    <s v="Jeremy Hernandez"/>
    <s v="Jeremy Hernandez"/>
    <s v="male"/>
    <s v="Male"/>
    <n v="55"/>
    <x v="16"/>
    <x v="13"/>
    <x v="9"/>
    <n v="6"/>
    <x v="3"/>
    <s v="$40"/>
    <x v="3"/>
    <n v="3.6"/>
    <s v="Y"/>
    <x v="1"/>
    <m/>
    <m/>
  </r>
  <r>
    <s v="FL250600"/>
    <s v="Tina Shelton"/>
    <s v="Tina Shelton"/>
    <s v="FEMALE"/>
    <s v="Female"/>
    <n v="56"/>
    <x v="20"/>
    <x v="6"/>
    <x v="8"/>
    <n v="17"/>
    <x v="4"/>
    <m/>
    <x v="8"/>
    <n v="1.3"/>
    <m/>
    <x v="1"/>
    <n v="0.87"/>
    <n v="0.87"/>
  </r>
  <r>
    <s v="FL250601"/>
    <s v="Dr. Pamela Larson"/>
    <s v=" Pamela Larson"/>
    <s v="FEMALE"/>
    <m/>
    <n v="28"/>
    <x v="14"/>
    <x v="1"/>
    <x v="0"/>
    <n v="1"/>
    <x v="2"/>
    <n v="75"/>
    <x v="11"/>
    <n v="2.7"/>
    <b v="1"/>
    <x v="2"/>
    <n v="0.93"/>
    <n v="0.93"/>
  </r>
  <r>
    <s v="FL250602"/>
    <s v="Ryan Ewing"/>
    <s v="Ryan Ewing"/>
    <s v="male"/>
    <s v="Male"/>
    <n v="60"/>
    <x v="5"/>
    <x v="1"/>
    <x v="4"/>
    <n v="39"/>
    <x v="1"/>
    <s v="USD 100"/>
    <x v="1"/>
    <n v="1.5"/>
    <m/>
    <x v="1"/>
    <n v="88"/>
    <n v="0.88"/>
  </r>
  <r>
    <s v="FL250603"/>
    <s v="Mark Cochran"/>
    <s v="Mark Cochran"/>
    <s v="male"/>
    <s v="Male"/>
    <n v="34"/>
    <x v="12"/>
    <x v="10"/>
    <x v="0"/>
    <n v="15"/>
    <x v="0"/>
    <n v="20"/>
    <x v="15"/>
    <n v="0"/>
    <n v="0"/>
    <x v="0"/>
    <n v="1"/>
    <n v="1"/>
  </r>
  <r>
    <s v="FL250604"/>
    <s v="Martha Carson"/>
    <s v="Martha Carson"/>
    <s v="FEMALE"/>
    <s v="Female"/>
    <n v="38"/>
    <x v="4"/>
    <x v="4"/>
    <x v="4"/>
    <n v="13"/>
    <x v="0"/>
    <s v="$40"/>
    <x v="3"/>
    <n v="0"/>
    <n v="1"/>
    <x v="1"/>
    <n v="61"/>
    <n v="0.61"/>
  </r>
  <r>
    <s v="FL250605"/>
    <s v="Heather Jackson"/>
    <s v="Heather Jackson"/>
    <s v="FEMALE"/>
    <s v="Female"/>
    <n v="51"/>
    <x v="12"/>
    <x v="10"/>
    <x v="3"/>
    <n v="17"/>
    <x v="4"/>
    <n v="100"/>
    <x v="0"/>
    <n v="3"/>
    <b v="0"/>
    <x v="0"/>
    <n v="0.79"/>
    <n v="0.79"/>
  </r>
  <r>
    <s v="FL250606"/>
    <s v="Megan Young"/>
    <s v="Megan Young"/>
    <s v="f"/>
    <s v="Female"/>
    <n v="21"/>
    <x v="9"/>
    <x v="7"/>
    <x v="1"/>
    <n v="1"/>
    <x v="2"/>
    <n v="30"/>
    <x v="4"/>
    <n v="1.2"/>
    <m/>
    <x v="1"/>
    <n v="0.73"/>
    <n v="0.73"/>
  </r>
  <r>
    <s v="FL250607"/>
    <s v="Thomas Davis"/>
    <s v="Thomas Davis"/>
    <s v="m"/>
    <s v="Male"/>
    <n v="35"/>
    <x v="0"/>
    <x v="0"/>
    <x v="6"/>
    <n v="16"/>
    <x v="4"/>
    <m/>
    <x v="8"/>
    <n v="1.3"/>
    <n v="1"/>
    <x v="1"/>
    <n v="0.64"/>
    <n v="0.64"/>
  </r>
  <r>
    <s v="FL250608"/>
    <s v="Thomas Mooney"/>
    <s v="Thomas Mooney"/>
    <s v="m"/>
    <s v="Male"/>
    <n v="27"/>
    <x v="11"/>
    <x v="9"/>
    <x v="3"/>
    <n v="9"/>
    <x v="3"/>
    <s v="$100"/>
    <x v="17"/>
    <m/>
    <b v="1"/>
    <x v="1"/>
    <m/>
    <m/>
  </r>
  <r>
    <s v="FL250609"/>
    <s v="Susan Smith"/>
    <s v="Susan Smith"/>
    <s v="FEMALE"/>
    <s v="Female"/>
    <n v="42"/>
    <x v="6"/>
    <x v="5"/>
    <x v="1"/>
    <n v="20"/>
    <x v="4"/>
    <s v="USD 50"/>
    <x v="12"/>
    <n v="3.8"/>
    <s v="N"/>
    <x v="1"/>
    <n v="0.93"/>
    <n v="0.93"/>
  </r>
  <r>
    <s v="FL250610"/>
    <s v="Brianna Orr"/>
    <s v="Brianna Orr"/>
    <s v="f"/>
    <s v="Female"/>
    <n v="52"/>
    <x v="14"/>
    <x v="1"/>
    <x v="0"/>
    <n v="29"/>
    <x v="1"/>
    <n v="30"/>
    <x v="4"/>
    <n v="3.8"/>
    <n v="0"/>
    <x v="0"/>
    <n v="0.68"/>
    <n v="0.68"/>
  </r>
  <r>
    <s v="FL250611"/>
    <s v="Dustin Smith"/>
    <s v="Dustin Smith"/>
    <s v="male"/>
    <s v="Male"/>
    <n v="53"/>
    <x v="12"/>
    <x v="10"/>
    <x v="3"/>
    <n v="21"/>
    <x v="1"/>
    <n v="40"/>
    <x v="10"/>
    <n v="4.7"/>
    <n v="1"/>
    <x v="2"/>
    <n v="0.62"/>
    <n v="0.62"/>
  </r>
  <r>
    <s v="FL250612"/>
    <s v="Sarah White"/>
    <s v="Sarah White"/>
    <s v="FEMALE"/>
    <s v="Female"/>
    <n v="54"/>
    <x v="0"/>
    <x v="0"/>
    <x v="1"/>
    <n v="28"/>
    <x v="1"/>
    <s v="USD 40"/>
    <x v="7"/>
    <n v="1.1000000000000001"/>
    <s v="no"/>
    <x v="1"/>
    <m/>
    <m/>
  </r>
  <r>
    <s v="FL250613"/>
    <s v="Michael Davis"/>
    <s v="Michael Davis"/>
    <s v="male"/>
    <s v="Male"/>
    <n v="51"/>
    <x v="9"/>
    <x v="7"/>
    <x v="2"/>
    <n v="5"/>
    <x v="2"/>
    <n v="50"/>
    <x v="2"/>
    <n v="4.2"/>
    <n v="1"/>
    <x v="2"/>
    <n v="0.82"/>
    <n v="0.82"/>
  </r>
  <r>
    <s v="FL250614"/>
    <s v="Jennifer Phillips"/>
    <s v="Jennifer Phillips"/>
    <s v="f"/>
    <s v="Female"/>
    <n v="30"/>
    <x v="12"/>
    <x v="10"/>
    <x v="3"/>
    <n v="0"/>
    <x v="2"/>
    <m/>
    <x v="8"/>
    <n v="0"/>
    <n v="0"/>
    <x v="1"/>
    <m/>
    <m/>
  </r>
  <r>
    <s v="FL250615"/>
    <s v="Dana Sanders"/>
    <s v="Dana Sanders"/>
    <s v="FEMALE"/>
    <s v="Female"/>
    <n v="45"/>
    <x v="3"/>
    <x v="3"/>
    <x v="9"/>
    <n v="27"/>
    <x v="1"/>
    <s v="USD 75"/>
    <x v="6"/>
    <n v="0"/>
    <m/>
    <x v="1"/>
    <n v="0.85"/>
    <n v="0.85"/>
  </r>
  <r>
    <s v="FL250616"/>
    <s v="Daniel Quinn"/>
    <s v="Daniel Quinn"/>
    <s v="male"/>
    <s v="Male"/>
    <n v="57"/>
    <x v="4"/>
    <x v="4"/>
    <x v="2"/>
    <n v="26"/>
    <x v="1"/>
    <s v="USD 100"/>
    <x v="1"/>
    <n v="2.4"/>
    <n v="1"/>
    <x v="1"/>
    <n v="0.78"/>
    <n v="0.78"/>
  </r>
  <r>
    <s v="FL250617"/>
    <s v="Matthew Steele"/>
    <s v="Matthew Steele"/>
    <s v="male"/>
    <s v="Male"/>
    <n v="38"/>
    <x v="6"/>
    <x v="5"/>
    <x v="0"/>
    <n v="19"/>
    <x v="4"/>
    <n v="40"/>
    <x v="10"/>
    <n v="0"/>
    <n v="1"/>
    <x v="2"/>
    <n v="0.86"/>
    <n v="0.86"/>
  </r>
  <r>
    <s v="FL250618"/>
    <s v="Michele Taylor"/>
    <s v="Michele Taylor"/>
    <s v="FEMALE"/>
    <s v="Female"/>
    <n v="42"/>
    <x v="13"/>
    <x v="11"/>
    <x v="8"/>
    <n v="24"/>
    <x v="1"/>
    <s v="USD 40"/>
    <x v="7"/>
    <m/>
    <b v="0"/>
    <x v="1"/>
    <n v="0.88"/>
    <n v="0.88"/>
  </r>
  <r>
    <s v="FL250619"/>
    <s v="Ashley Hammond"/>
    <s v="Ashley Hammond"/>
    <s v="FEMALE"/>
    <s v="Female"/>
    <n v="30"/>
    <x v="17"/>
    <x v="14"/>
    <x v="8"/>
    <n v="7"/>
    <x v="3"/>
    <n v="30"/>
    <x v="4"/>
    <n v="3.3"/>
    <m/>
    <x v="1"/>
    <n v="0.68"/>
    <n v="0.68"/>
  </r>
  <r>
    <s v="FL250620"/>
    <s v="Nicole Taylor"/>
    <s v="Nicole Taylor"/>
    <s v="FEMALE"/>
    <s v="Female"/>
    <n v="43"/>
    <x v="1"/>
    <x v="1"/>
    <x v="3"/>
    <n v="13"/>
    <x v="0"/>
    <s v="$100"/>
    <x v="17"/>
    <n v="1.4"/>
    <n v="1"/>
    <x v="1"/>
    <n v="0.97"/>
    <n v="0.97"/>
  </r>
  <r>
    <s v="FL250621"/>
    <s v="Casey Bush"/>
    <s v="Casey Bush"/>
    <s v="male"/>
    <s v="Male"/>
    <n v="22"/>
    <x v="16"/>
    <x v="13"/>
    <x v="6"/>
    <n v="2"/>
    <x v="2"/>
    <s v="$75"/>
    <x v="16"/>
    <n v="1.7"/>
    <s v="no"/>
    <x v="1"/>
    <n v="0.91"/>
    <n v="0.91"/>
  </r>
  <r>
    <s v="FL250622"/>
    <s v="Samuel Patterson"/>
    <s v="Samuel Patterson"/>
    <s v="m"/>
    <s v="Male"/>
    <n v="57"/>
    <x v="19"/>
    <x v="6"/>
    <x v="9"/>
    <n v="37"/>
    <x v="1"/>
    <n v="30"/>
    <x v="4"/>
    <n v="4.8"/>
    <b v="0"/>
    <x v="0"/>
    <m/>
    <m/>
  </r>
  <r>
    <s v="FL250623"/>
    <s v="Craig Dennis"/>
    <s v="Craig Dennis"/>
    <s v="male"/>
    <s v="Male"/>
    <n v="44"/>
    <x v="7"/>
    <x v="1"/>
    <x v="2"/>
    <n v="1"/>
    <x v="2"/>
    <m/>
    <x v="8"/>
    <n v="4.8"/>
    <s v="N"/>
    <x v="1"/>
    <n v="0.97"/>
    <n v="0.97"/>
  </r>
  <r>
    <s v="FL250624"/>
    <s v="Heidi Dixon"/>
    <s v="Heidi Dixon"/>
    <s v="FEMALE"/>
    <s v="Female"/>
    <n v="46"/>
    <x v="18"/>
    <x v="15"/>
    <x v="8"/>
    <n v="5"/>
    <x v="2"/>
    <s v="USD 30"/>
    <x v="13"/>
    <n v="2"/>
    <s v="yes"/>
    <x v="1"/>
    <n v="0.64"/>
    <n v="0.64"/>
  </r>
  <r>
    <s v="FL250625"/>
    <s v="David Bishop"/>
    <s v="David Bishop"/>
    <s v="male"/>
    <s v="Male"/>
    <m/>
    <x v="20"/>
    <x v="6"/>
    <x v="0"/>
    <n v="1"/>
    <x v="2"/>
    <s v="USD 50"/>
    <x v="12"/>
    <n v="2.8"/>
    <s v="no"/>
    <x v="1"/>
    <n v="0.87"/>
    <n v="0.87"/>
  </r>
  <r>
    <s v="FL250626"/>
    <s v="Laura Butler"/>
    <s v="Laura Butler"/>
    <s v="FEMALE"/>
    <s v="Female"/>
    <n v="34"/>
    <x v="1"/>
    <x v="1"/>
    <x v="5"/>
    <n v="2"/>
    <x v="2"/>
    <n v="100"/>
    <x v="0"/>
    <n v="0"/>
    <n v="0"/>
    <x v="0"/>
    <n v="86"/>
    <n v="0.86"/>
  </r>
  <r>
    <s v="FL250627"/>
    <s v="Denise Erickson"/>
    <s v="Denise Erickson"/>
    <s v="f"/>
    <s v="Female"/>
    <n v="46"/>
    <x v="0"/>
    <x v="0"/>
    <x v="1"/>
    <m/>
    <x v="2"/>
    <s v="$100"/>
    <x v="17"/>
    <n v="4.4000000000000004"/>
    <n v="1"/>
    <x v="1"/>
    <n v="97"/>
    <n v="0.97"/>
  </r>
  <r>
    <s v="FL250628"/>
    <s v="Nicole Austin"/>
    <s v="Nicole Austin"/>
    <s v="f"/>
    <s v="Female"/>
    <n v="22"/>
    <x v="15"/>
    <x v="12"/>
    <x v="0"/>
    <n v="0"/>
    <x v="2"/>
    <s v="USD 30"/>
    <x v="13"/>
    <n v="4.9000000000000004"/>
    <b v="0"/>
    <x v="1"/>
    <n v="0.73"/>
    <n v="0.73"/>
  </r>
  <r>
    <s v="FL250629"/>
    <s v="Summer Williams"/>
    <s v="Summer Williams"/>
    <s v="FEMALE"/>
    <s v="Female"/>
    <n v="23"/>
    <x v="17"/>
    <x v="14"/>
    <x v="4"/>
    <n v="0"/>
    <x v="2"/>
    <s v="USD 75"/>
    <x v="6"/>
    <n v="2.2999999999999998"/>
    <m/>
    <x v="1"/>
    <n v="0.6"/>
    <n v="0.6"/>
  </r>
  <r>
    <s v="FL250630"/>
    <s v="Angela Blackwell"/>
    <s v="Angela Blackwell"/>
    <s v="f"/>
    <s v="Female"/>
    <n v="60"/>
    <x v="6"/>
    <x v="5"/>
    <x v="3"/>
    <n v="41"/>
    <x v="1"/>
    <s v="$40"/>
    <x v="3"/>
    <n v="4.9000000000000004"/>
    <n v="1"/>
    <x v="1"/>
    <n v="66"/>
    <n v="0.66"/>
  </r>
  <r>
    <s v="FL250631"/>
    <s v="Thomas Wall"/>
    <s v="Thomas Wall"/>
    <s v="m"/>
    <s v="Male"/>
    <n v="20"/>
    <x v="14"/>
    <x v="1"/>
    <x v="8"/>
    <m/>
    <x v="2"/>
    <s v="$75"/>
    <x v="16"/>
    <n v="4.3"/>
    <n v="0"/>
    <x v="1"/>
    <n v="0.9"/>
    <n v="0.9"/>
  </r>
  <r>
    <s v="FL250632"/>
    <s v="Sarah Anderson"/>
    <s v="Sarah Anderson"/>
    <s v="f"/>
    <s v="Female"/>
    <n v="41"/>
    <x v="12"/>
    <x v="10"/>
    <x v="6"/>
    <n v="23"/>
    <x v="1"/>
    <s v="$75"/>
    <x v="16"/>
    <n v="1.4"/>
    <n v="0"/>
    <x v="1"/>
    <m/>
    <m/>
  </r>
  <r>
    <s v="FL250633"/>
    <s v="Christian Lane"/>
    <s v="Christian Lane"/>
    <s v="m"/>
    <s v="Male"/>
    <n v="24"/>
    <x v="15"/>
    <x v="12"/>
    <x v="1"/>
    <n v="0"/>
    <x v="2"/>
    <n v="100"/>
    <x v="0"/>
    <m/>
    <s v="no"/>
    <x v="0"/>
    <m/>
    <m/>
  </r>
  <r>
    <s v="FL250634"/>
    <s v="Todd Casey"/>
    <s v="Todd Casey"/>
    <s v="m"/>
    <s v="Male"/>
    <n v="44"/>
    <x v="3"/>
    <x v="3"/>
    <x v="9"/>
    <n v="4"/>
    <x v="2"/>
    <m/>
    <x v="8"/>
    <n v="1.3"/>
    <s v="yes"/>
    <x v="1"/>
    <n v="77"/>
    <n v="0.77"/>
  </r>
  <r>
    <s v="FL250635"/>
    <s v="David Martinez"/>
    <s v="David Martinez"/>
    <s v="male"/>
    <s v="Male"/>
    <n v="52"/>
    <x v="18"/>
    <x v="15"/>
    <x v="6"/>
    <n v="4"/>
    <x v="2"/>
    <n v="75"/>
    <x v="11"/>
    <n v="2.2999999999999998"/>
    <n v="1"/>
    <x v="2"/>
    <n v="0.79"/>
    <n v="0.79"/>
  </r>
  <r>
    <s v="FL250636"/>
    <s v="Donald Salas"/>
    <s v="Donald Salas"/>
    <s v="m"/>
    <s v="Male"/>
    <n v="35"/>
    <x v="20"/>
    <x v="6"/>
    <x v="9"/>
    <n v="13"/>
    <x v="0"/>
    <n v="40"/>
    <x v="10"/>
    <n v="3.6"/>
    <n v="0"/>
    <x v="0"/>
    <n v="0.83"/>
    <n v="0.83"/>
  </r>
  <r>
    <s v="FL250637"/>
    <s v="Emma Hicks"/>
    <s v="Emma Hicks"/>
    <s v="FEMALE"/>
    <s v="Female"/>
    <n v="24"/>
    <x v="3"/>
    <x v="3"/>
    <x v="8"/>
    <n v="2"/>
    <x v="2"/>
    <s v="$50"/>
    <x v="9"/>
    <m/>
    <s v="N"/>
    <x v="1"/>
    <n v="0.64"/>
    <n v="0.64"/>
  </r>
  <r>
    <s v="FL250638"/>
    <s v="Alison Clark"/>
    <s v="Alison Clark"/>
    <s v="FEMALE"/>
    <s v="Female"/>
    <n v="46"/>
    <x v="1"/>
    <x v="1"/>
    <x v="7"/>
    <n v="25"/>
    <x v="1"/>
    <s v="$100"/>
    <x v="17"/>
    <n v="1.3"/>
    <s v="no"/>
    <x v="1"/>
    <n v="0.8"/>
    <n v="0.8"/>
  </r>
  <r>
    <s v="FL250639"/>
    <s v="Andrew Barnes"/>
    <s v="Andrew Barnes"/>
    <s v="m"/>
    <s v="Male"/>
    <n v="57"/>
    <x v="19"/>
    <x v="6"/>
    <x v="1"/>
    <n v="18"/>
    <x v="4"/>
    <s v="USD 30"/>
    <x v="13"/>
    <n v="1.1000000000000001"/>
    <b v="0"/>
    <x v="1"/>
    <n v="0.9"/>
    <n v="0.9"/>
  </r>
  <r>
    <s v="FL250640"/>
    <s v="Gina Snyder"/>
    <s v="Gina Snyder"/>
    <s v="f"/>
    <s v="Female"/>
    <n v="49"/>
    <x v="19"/>
    <x v="6"/>
    <x v="3"/>
    <n v="24"/>
    <x v="1"/>
    <s v="$50"/>
    <x v="9"/>
    <n v="0"/>
    <n v="0"/>
    <x v="1"/>
    <n v="0.94"/>
    <n v="0.94"/>
  </r>
  <r>
    <s v="FL250641"/>
    <s v="David Watson"/>
    <s v="David Watson"/>
    <s v="male"/>
    <s v="Male"/>
    <n v="41"/>
    <x v="9"/>
    <x v="7"/>
    <x v="4"/>
    <n v="7"/>
    <x v="3"/>
    <n v="40"/>
    <x v="10"/>
    <n v="1.8"/>
    <b v="0"/>
    <x v="0"/>
    <n v="0.7"/>
    <n v="0.7"/>
  </r>
  <r>
    <s v="FL250642"/>
    <s v="John Davis"/>
    <s v="John Davis"/>
    <s v="male"/>
    <s v="Male"/>
    <n v="22"/>
    <x v="19"/>
    <x v="6"/>
    <x v="9"/>
    <n v="1"/>
    <x v="2"/>
    <s v="USD 20"/>
    <x v="18"/>
    <m/>
    <s v="yes"/>
    <x v="1"/>
    <n v="0.75"/>
    <n v="0.75"/>
  </r>
  <r>
    <s v="FL250643"/>
    <s v="Joseph Thomas"/>
    <s v="Joseph Thomas"/>
    <s v="male"/>
    <s v="Male"/>
    <n v="50"/>
    <x v="1"/>
    <x v="1"/>
    <x v="0"/>
    <n v="17"/>
    <x v="4"/>
    <n v="75"/>
    <x v="11"/>
    <n v="3.3"/>
    <n v="1"/>
    <x v="2"/>
    <n v="0.69"/>
    <n v="0.69"/>
  </r>
  <r>
    <s v="FL250644"/>
    <s v="Dean Finley"/>
    <s v="Dean Finley"/>
    <s v="male"/>
    <s v="Male"/>
    <n v="57"/>
    <x v="2"/>
    <x v="2"/>
    <x v="2"/>
    <n v="4"/>
    <x v="2"/>
    <s v="USD 30"/>
    <x v="13"/>
    <n v="4.2"/>
    <n v="0"/>
    <x v="1"/>
    <m/>
    <m/>
  </r>
  <r>
    <s v="FL250645"/>
    <s v="Ashley Kemp"/>
    <s v="Ashley Kemp"/>
    <s v="FEMALE"/>
    <s v="Female"/>
    <n v="47"/>
    <x v="19"/>
    <x v="6"/>
    <x v="4"/>
    <n v="29"/>
    <x v="1"/>
    <s v="$50"/>
    <x v="9"/>
    <m/>
    <n v="1"/>
    <x v="1"/>
    <n v="0.79"/>
    <n v="0.79"/>
  </r>
  <r>
    <s v="FL250646"/>
    <s v="Kenneth Evans"/>
    <s v="Kenneth Evans"/>
    <s v="m"/>
    <s v="Male"/>
    <n v="24"/>
    <x v="17"/>
    <x v="14"/>
    <x v="5"/>
    <n v="2"/>
    <x v="2"/>
    <s v="$100"/>
    <x v="17"/>
    <n v="3.8"/>
    <n v="1"/>
    <x v="1"/>
    <n v="0.71"/>
    <n v="0.71"/>
  </r>
  <r>
    <s v="FL250647"/>
    <s v="Brandon Newman"/>
    <s v="Brandon Newman"/>
    <s v="male"/>
    <s v="Male"/>
    <m/>
    <x v="10"/>
    <x v="8"/>
    <x v="7"/>
    <n v="9"/>
    <x v="3"/>
    <n v="100"/>
    <x v="0"/>
    <n v="4.8"/>
    <s v="Y"/>
    <x v="2"/>
    <n v="0.72"/>
    <n v="0.72"/>
  </r>
  <r>
    <s v="FL250648"/>
    <s v="Katie Hensley"/>
    <s v="Katie Hensley"/>
    <s v="FEMALE"/>
    <s v="Female"/>
    <n v="50"/>
    <x v="2"/>
    <x v="2"/>
    <x v="8"/>
    <n v="10"/>
    <x v="3"/>
    <s v="$100"/>
    <x v="17"/>
    <n v="4.3"/>
    <s v="N"/>
    <x v="1"/>
    <n v="0.93"/>
    <n v="0.93"/>
  </r>
  <r>
    <s v="FL250649"/>
    <s v="Joel Randolph"/>
    <s v="Joel Randolph"/>
    <s v="m"/>
    <s v="Male"/>
    <n v="46"/>
    <x v="11"/>
    <x v="9"/>
    <x v="9"/>
    <n v="20"/>
    <x v="4"/>
    <m/>
    <x v="8"/>
    <n v="4.8"/>
    <n v="1"/>
    <x v="1"/>
    <n v="0.82"/>
    <n v="0.82"/>
  </r>
  <r>
    <s v="FL250650"/>
    <s v="Andrew Scott"/>
    <s v="Andrew Scott"/>
    <s v="male"/>
    <s v="Male"/>
    <n v="51"/>
    <x v="1"/>
    <x v="1"/>
    <x v="7"/>
    <n v="9"/>
    <x v="3"/>
    <s v="$40"/>
    <x v="3"/>
    <m/>
    <s v="N"/>
    <x v="1"/>
    <n v="60"/>
    <n v="0.6"/>
  </r>
  <r>
    <s v="FL250651"/>
    <s v="Zachary Ochoa"/>
    <s v="Zachary Ochoa"/>
    <s v="male"/>
    <s v="Male"/>
    <n v="51"/>
    <x v="7"/>
    <x v="1"/>
    <x v="4"/>
    <n v="12"/>
    <x v="0"/>
    <n v="20"/>
    <x v="15"/>
    <n v="4"/>
    <n v="0"/>
    <x v="0"/>
    <n v="93"/>
    <n v="0.93"/>
  </r>
  <r>
    <s v="FL250652"/>
    <s v="John Arroyo"/>
    <s v="John Arroyo"/>
    <s v="m"/>
    <s v="Male"/>
    <n v="27"/>
    <x v="7"/>
    <x v="1"/>
    <x v="4"/>
    <n v="3"/>
    <x v="2"/>
    <s v="USD 50"/>
    <x v="12"/>
    <m/>
    <b v="0"/>
    <x v="1"/>
    <m/>
    <m/>
  </r>
  <r>
    <s v="FL250653"/>
    <s v="Matthew Fernandez"/>
    <s v="Matthew Fernandez"/>
    <s v="male"/>
    <s v="Male"/>
    <n v="42"/>
    <x v="20"/>
    <x v="6"/>
    <x v="3"/>
    <n v="13"/>
    <x v="0"/>
    <n v="30"/>
    <x v="4"/>
    <n v="0"/>
    <b v="0"/>
    <x v="0"/>
    <n v="0.74"/>
    <n v="0.74"/>
  </r>
  <r>
    <s v="FL250654"/>
    <s v="Benjamin Stark"/>
    <s v="Benjamin Stark"/>
    <s v="male"/>
    <s v="Male"/>
    <n v="25"/>
    <x v="2"/>
    <x v="2"/>
    <x v="6"/>
    <n v="4"/>
    <x v="2"/>
    <s v="$40"/>
    <x v="3"/>
    <n v="2.2999999999999998"/>
    <s v="yes"/>
    <x v="1"/>
    <n v="73"/>
    <n v="0.73"/>
  </r>
  <r>
    <s v="FL250655"/>
    <s v="Tammy Greer"/>
    <s v="Tammy Greer"/>
    <s v="FEMALE"/>
    <s v="Female"/>
    <n v="32"/>
    <x v="2"/>
    <x v="2"/>
    <x v="5"/>
    <n v="9"/>
    <x v="3"/>
    <n v="75"/>
    <x v="11"/>
    <m/>
    <s v="N"/>
    <x v="0"/>
    <n v="0.96"/>
    <n v="0.96"/>
  </r>
  <r>
    <s v="FL250656"/>
    <s v="Cynthia Mckinney"/>
    <s v="Cynthia Mckinney"/>
    <s v="FEMALE"/>
    <s v="Female"/>
    <n v="59"/>
    <x v="14"/>
    <x v="1"/>
    <x v="2"/>
    <n v="14"/>
    <x v="0"/>
    <n v="30"/>
    <x v="4"/>
    <n v="3.8"/>
    <m/>
    <x v="1"/>
    <n v="0.66"/>
    <n v="0.66"/>
  </r>
  <r>
    <s v="FL250657"/>
    <s v="Wendy Rice"/>
    <s v="Wendy Rice"/>
    <s v="FEMALE"/>
    <s v="Female"/>
    <n v="59"/>
    <x v="15"/>
    <x v="12"/>
    <x v="7"/>
    <n v="37"/>
    <x v="1"/>
    <n v="30"/>
    <x v="4"/>
    <n v="4"/>
    <b v="0"/>
    <x v="0"/>
    <n v="0.62"/>
    <n v="0.62"/>
  </r>
  <r>
    <s v="FL250658"/>
    <s v="Randy Bender"/>
    <s v="Randy Bender"/>
    <s v="male"/>
    <s v="Male"/>
    <n v="29"/>
    <x v="2"/>
    <x v="2"/>
    <x v="2"/>
    <n v="2"/>
    <x v="2"/>
    <s v="USD 75"/>
    <x v="6"/>
    <n v="2.2000000000000002"/>
    <s v="Y"/>
    <x v="1"/>
    <n v="0.85"/>
    <n v="0.85"/>
  </r>
  <r>
    <s v="FL250659"/>
    <s v="Richard Dominguez"/>
    <s v="Richard Dominguez"/>
    <s v="male"/>
    <s v="Male"/>
    <n v="58"/>
    <x v="18"/>
    <x v="15"/>
    <x v="4"/>
    <n v="11"/>
    <x v="0"/>
    <n v="100"/>
    <x v="0"/>
    <n v="4.3"/>
    <n v="0"/>
    <x v="0"/>
    <n v="0.66"/>
    <n v="0.66"/>
  </r>
  <r>
    <s v="FL250660"/>
    <s v="Melissa Maldonado"/>
    <s v="Melissa Maldonado"/>
    <s v="f"/>
    <s v="Female"/>
    <n v="56"/>
    <x v="14"/>
    <x v="1"/>
    <x v="7"/>
    <n v="19"/>
    <x v="4"/>
    <n v="20"/>
    <x v="15"/>
    <n v="0"/>
    <n v="0"/>
    <x v="0"/>
    <n v="0.87"/>
    <n v="0.87"/>
  </r>
  <r>
    <s v="FL250661"/>
    <s v="Leah Harris"/>
    <s v="Leah Harris"/>
    <s v="f"/>
    <s v="Female"/>
    <n v="36"/>
    <x v="5"/>
    <x v="1"/>
    <x v="9"/>
    <n v="9"/>
    <x v="3"/>
    <n v="20"/>
    <x v="15"/>
    <n v="0"/>
    <n v="1"/>
    <x v="2"/>
    <n v="68"/>
    <n v="0.68"/>
  </r>
  <r>
    <s v="FL250662"/>
    <s v="Lynn French"/>
    <s v="Lynn French"/>
    <s v="FEMALE"/>
    <s v="Female"/>
    <n v="52"/>
    <x v="14"/>
    <x v="1"/>
    <x v="6"/>
    <n v="16"/>
    <x v="4"/>
    <n v="100"/>
    <x v="0"/>
    <n v="4"/>
    <n v="1"/>
    <x v="2"/>
    <m/>
    <m/>
  </r>
  <r>
    <s v="FL250663"/>
    <s v="Angela Johnson"/>
    <s v="Angela Johnson"/>
    <s v="FEMALE"/>
    <s v="Female"/>
    <n v="42"/>
    <x v="3"/>
    <x v="3"/>
    <x v="1"/>
    <n v="8"/>
    <x v="3"/>
    <s v="USD 50"/>
    <x v="12"/>
    <m/>
    <m/>
    <x v="1"/>
    <m/>
    <m/>
  </r>
  <r>
    <s v="FL250664"/>
    <s v="Sarah Edwards"/>
    <s v="Sarah Edwards"/>
    <s v="FEMALE"/>
    <s v="Female"/>
    <n v="59"/>
    <x v="10"/>
    <x v="8"/>
    <x v="1"/>
    <n v="34"/>
    <x v="1"/>
    <n v="100"/>
    <x v="0"/>
    <n v="2"/>
    <n v="1"/>
    <x v="2"/>
    <n v="0.79"/>
    <n v="0.79"/>
  </r>
  <r>
    <s v="FL250665"/>
    <s v="Roy Collins"/>
    <s v="Roy Collins"/>
    <s v="male"/>
    <s v="Male"/>
    <n v="33"/>
    <x v="3"/>
    <x v="3"/>
    <x v="1"/>
    <n v="5"/>
    <x v="2"/>
    <s v="$50"/>
    <x v="9"/>
    <n v="4.7"/>
    <n v="1"/>
    <x v="1"/>
    <n v="0.88"/>
    <n v="0.88"/>
  </r>
  <r>
    <s v="FL250666"/>
    <s v="Samantha Porter"/>
    <s v="Samantha Porter"/>
    <s v="f"/>
    <s v="Female"/>
    <n v="55"/>
    <x v="14"/>
    <x v="1"/>
    <x v="3"/>
    <n v="14"/>
    <x v="0"/>
    <s v="USD 50"/>
    <x v="12"/>
    <n v="3.6"/>
    <n v="1"/>
    <x v="1"/>
    <n v="0.81"/>
    <n v="0.81"/>
  </r>
  <r>
    <s v="FL250667"/>
    <s v="Juan Elliott"/>
    <s v="Juan Elliott"/>
    <s v="male"/>
    <s v="Male"/>
    <n v="47"/>
    <x v="12"/>
    <x v="10"/>
    <x v="6"/>
    <n v="17"/>
    <x v="4"/>
    <n v="50"/>
    <x v="2"/>
    <n v="1.2"/>
    <s v="N"/>
    <x v="0"/>
    <m/>
    <m/>
  </r>
  <r>
    <s v="FL250668"/>
    <s v="Elizabeth Phillips"/>
    <s v="Elizabeth Phillips"/>
    <s v="FEMALE"/>
    <s v="Female"/>
    <n v="29"/>
    <x v="19"/>
    <x v="6"/>
    <x v="4"/>
    <n v="10"/>
    <x v="3"/>
    <m/>
    <x v="8"/>
    <n v="4.4000000000000004"/>
    <s v="Y"/>
    <x v="1"/>
    <n v="0.67"/>
    <n v="0.67"/>
  </r>
  <r>
    <s v="FL250669"/>
    <s v="Laura Evans"/>
    <s v="Laura Evans"/>
    <s v="FEMALE"/>
    <s v="Female"/>
    <n v="30"/>
    <x v="7"/>
    <x v="1"/>
    <x v="8"/>
    <n v="8"/>
    <x v="3"/>
    <n v="100"/>
    <x v="0"/>
    <n v="1.4"/>
    <s v="yes"/>
    <x v="2"/>
    <n v="62"/>
    <n v="0.62"/>
  </r>
  <r>
    <s v="FL250670"/>
    <s v="Amanda Mitchell"/>
    <s v="Amanda Mitchell"/>
    <s v="FEMALE"/>
    <s v="Female"/>
    <n v="25"/>
    <x v="14"/>
    <x v="1"/>
    <x v="8"/>
    <n v="1"/>
    <x v="2"/>
    <s v="USD 30"/>
    <x v="13"/>
    <n v="3.2"/>
    <n v="0"/>
    <x v="1"/>
    <n v="0.87"/>
    <n v="0.87"/>
  </r>
  <r>
    <s v="FL250671"/>
    <s v="Sandra Williams"/>
    <s v="Sandra Williams"/>
    <s v="FEMALE"/>
    <s v="Female"/>
    <n v="28"/>
    <x v="16"/>
    <x v="13"/>
    <x v="7"/>
    <n v="10"/>
    <x v="3"/>
    <m/>
    <x v="8"/>
    <n v="3.8"/>
    <s v="yes"/>
    <x v="1"/>
    <n v="0.98"/>
    <n v="0.98"/>
  </r>
  <r>
    <s v="FL250672"/>
    <s v="Eric Johnson"/>
    <s v="Eric Johnson"/>
    <s v="male"/>
    <s v="Male"/>
    <n v="29"/>
    <x v="12"/>
    <x v="10"/>
    <x v="0"/>
    <n v="0"/>
    <x v="2"/>
    <s v="$75"/>
    <x v="16"/>
    <n v="1.5"/>
    <b v="1"/>
    <x v="1"/>
    <n v="0.64"/>
    <n v="0.64"/>
  </r>
  <r>
    <s v="FL250673"/>
    <s v="Javier Hobbs"/>
    <s v="Javier Hobbs"/>
    <s v="male"/>
    <s v="Male"/>
    <n v="30"/>
    <x v="20"/>
    <x v="6"/>
    <x v="2"/>
    <n v="4"/>
    <x v="2"/>
    <m/>
    <x v="8"/>
    <n v="2.8"/>
    <n v="1"/>
    <x v="1"/>
    <n v="0.71"/>
    <n v="0.71"/>
  </r>
  <r>
    <s v="FL250674"/>
    <s v="Jacob Jones"/>
    <s v="Jacob Jones"/>
    <s v="male"/>
    <s v="Male"/>
    <n v="47"/>
    <x v="16"/>
    <x v="13"/>
    <x v="4"/>
    <n v="2"/>
    <x v="2"/>
    <n v="50"/>
    <x v="2"/>
    <n v="2.7"/>
    <s v="no"/>
    <x v="0"/>
    <n v="96"/>
    <n v="0.96"/>
  </r>
  <r>
    <s v="FL250675"/>
    <s v="Zachary Murphy"/>
    <s v="Zachary Murphy"/>
    <s v="male"/>
    <s v="Male"/>
    <n v="34"/>
    <x v="1"/>
    <x v="1"/>
    <x v="0"/>
    <n v="10"/>
    <x v="3"/>
    <s v="$30"/>
    <x v="5"/>
    <n v="3.9"/>
    <m/>
    <x v="1"/>
    <m/>
    <m/>
  </r>
  <r>
    <s v="FL250676"/>
    <s v="Joshua Owens"/>
    <s v="Joshua Owens"/>
    <s v="m"/>
    <s v="Male"/>
    <n v="45"/>
    <x v="5"/>
    <x v="1"/>
    <x v="2"/>
    <n v="16"/>
    <x v="4"/>
    <n v="100"/>
    <x v="0"/>
    <n v="4.5999999999999996"/>
    <s v="N"/>
    <x v="0"/>
    <n v="0.78"/>
    <n v="0.78"/>
  </r>
  <r>
    <s v="FL250677"/>
    <s v="Dawn Mitchell"/>
    <s v="Dawn Mitchell"/>
    <s v="f"/>
    <s v="Female"/>
    <n v="56"/>
    <x v="20"/>
    <x v="6"/>
    <x v="7"/>
    <n v="27"/>
    <x v="1"/>
    <s v="$20"/>
    <x v="14"/>
    <n v="2.2000000000000002"/>
    <b v="0"/>
    <x v="1"/>
    <n v="0.7"/>
    <n v="0.7"/>
  </r>
  <r>
    <s v="FL250678"/>
    <s v="Regina Dunn"/>
    <s v="Regina Dunn"/>
    <s v="FEMALE"/>
    <s v="Female"/>
    <n v="49"/>
    <x v="18"/>
    <x v="15"/>
    <x v="8"/>
    <n v="20"/>
    <x v="4"/>
    <n v="50"/>
    <x v="2"/>
    <n v="2.5"/>
    <n v="0"/>
    <x v="0"/>
    <n v="0.82"/>
    <n v="0.82"/>
  </r>
  <r>
    <s v="FL250679"/>
    <s v="Ernest Cole"/>
    <s v="Ernest Cole"/>
    <s v="male"/>
    <s v="Male"/>
    <n v="48"/>
    <x v="15"/>
    <x v="12"/>
    <x v="4"/>
    <n v="10"/>
    <x v="3"/>
    <m/>
    <x v="8"/>
    <n v="3.1"/>
    <b v="0"/>
    <x v="1"/>
    <m/>
    <m/>
  </r>
  <r>
    <s v="FL250680"/>
    <s v="Hannah Sanders"/>
    <s v="Hannah Sanders"/>
    <s v="FEMALE"/>
    <s v="Female"/>
    <n v="29"/>
    <x v="12"/>
    <x v="10"/>
    <x v="2"/>
    <n v="0"/>
    <x v="2"/>
    <s v="$20"/>
    <x v="14"/>
    <m/>
    <n v="1"/>
    <x v="1"/>
    <n v="0.99"/>
    <n v="0.99"/>
  </r>
  <r>
    <s v="FL250681"/>
    <s v="Ellen Bowman"/>
    <s v="Ellen Bowman"/>
    <s v="FEMALE"/>
    <s v="Female"/>
    <n v="49"/>
    <x v="3"/>
    <x v="3"/>
    <x v="3"/>
    <n v="11"/>
    <x v="0"/>
    <n v="75"/>
    <x v="11"/>
    <n v="3.8"/>
    <s v="Y"/>
    <x v="2"/>
    <n v="0.93"/>
    <n v="0.93"/>
  </r>
  <r>
    <s v="FL250682"/>
    <s v="Nancy Moore"/>
    <s v="Nancy Moore"/>
    <s v="FEMALE"/>
    <s v="Female"/>
    <n v="22"/>
    <x v="18"/>
    <x v="15"/>
    <x v="0"/>
    <n v="1"/>
    <x v="2"/>
    <n v="100"/>
    <x v="0"/>
    <n v="4.8"/>
    <s v="Y"/>
    <x v="2"/>
    <n v="0.75"/>
    <n v="0.75"/>
  </r>
  <r>
    <s v="FL250683"/>
    <s v="Joseph Wood"/>
    <s v="Joseph Wood"/>
    <s v="m"/>
    <s v="Male"/>
    <n v="52"/>
    <x v="19"/>
    <x v="6"/>
    <x v="2"/>
    <n v="30"/>
    <x v="1"/>
    <s v="USD 100"/>
    <x v="1"/>
    <n v="2.5"/>
    <m/>
    <x v="1"/>
    <n v="61"/>
    <n v="0.61"/>
  </r>
  <r>
    <s v="FL250684"/>
    <s v="Michael Harrell"/>
    <s v="Michael Harrell"/>
    <s v="male"/>
    <s v="Male"/>
    <n v="60"/>
    <x v="14"/>
    <x v="1"/>
    <x v="0"/>
    <n v="7"/>
    <x v="3"/>
    <s v="USD 30"/>
    <x v="13"/>
    <n v="0"/>
    <s v="no"/>
    <x v="1"/>
    <n v="0.97"/>
    <n v="0.97"/>
  </r>
  <r>
    <s v="FL250685"/>
    <s v="Connie Mcclain"/>
    <s v="Connie Mcclain"/>
    <s v="f"/>
    <s v="Female"/>
    <n v="33"/>
    <x v="9"/>
    <x v="7"/>
    <x v="6"/>
    <n v="0"/>
    <x v="2"/>
    <s v="$100"/>
    <x v="17"/>
    <n v="1.7"/>
    <n v="1"/>
    <x v="1"/>
    <n v="95"/>
    <n v="0.95"/>
  </r>
  <r>
    <s v="FL250686"/>
    <s v="Matthew Baldwin"/>
    <s v="Matthew Baldwin"/>
    <s v="m"/>
    <s v="Male"/>
    <n v="52"/>
    <x v="12"/>
    <x v="10"/>
    <x v="2"/>
    <n v="21"/>
    <x v="1"/>
    <s v="USD 40"/>
    <x v="7"/>
    <n v="4"/>
    <m/>
    <x v="1"/>
    <n v="0.69"/>
    <n v="0.69"/>
  </r>
  <r>
    <s v="FL250687"/>
    <s v="Danielle Nelson"/>
    <s v="Danielle Nelson"/>
    <s v="f"/>
    <s v="Female"/>
    <n v="25"/>
    <x v="2"/>
    <x v="2"/>
    <x v="8"/>
    <n v="7"/>
    <x v="3"/>
    <s v="USD 100"/>
    <x v="1"/>
    <n v="1.9"/>
    <b v="0"/>
    <x v="1"/>
    <n v="0.63"/>
    <n v="0.63"/>
  </r>
  <r>
    <s v="FL250688"/>
    <s v="Steven Moore"/>
    <s v="Steven Moore"/>
    <s v="m"/>
    <s v="Male"/>
    <n v="33"/>
    <x v="9"/>
    <x v="7"/>
    <x v="7"/>
    <m/>
    <x v="2"/>
    <s v="USD 30"/>
    <x v="13"/>
    <n v="4.4000000000000004"/>
    <b v="1"/>
    <x v="1"/>
    <n v="0.65"/>
    <n v="0.65"/>
  </r>
  <r>
    <s v="FL250689"/>
    <s v="Megan Hudson"/>
    <s v="Megan Hudson"/>
    <s v="f"/>
    <s v="Female"/>
    <n v="33"/>
    <x v="18"/>
    <x v="15"/>
    <x v="1"/>
    <m/>
    <x v="2"/>
    <m/>
    <x v="8"/>
    <n v="4.2"/>
    <s v="Y"/>
    <x v="1"/>
    <n v="0.9"/>
    <n v="0.9"/>
  </r>
  <r>
    <s v="FL250690"/>
    <s v="Lisa Johnson"/>
    <s v="Lisa Johnson"/>
    <s v="FEMALE"/>
    <s v="Female"/>
    <n v="52"/>
    <x v="14"/>
    <x v="1"/>
    <x v="6"/>
    <n v="25"/>
    <x v="1"/>
    <n v="100"/>
    <x v="0"/>
    <n v="4.8"/>
    <s v="N"/>
    <x v="0"/>
    <m/>
    <m/>
  </r>
  <r>
    <s v="FL250691"/>
    <s v="Tracy White"/>
    <s v="Tracy White"/>
    <s v="f"/>
    <s v="Female"/>
    <n v="20"/>
    <x v="4"/>
    <x v="4"/>
    <x v="3"/>
    <n v="1"/>
    <x v="2"/>
    <s v="USD 30"/>
    <x v="13"/>
    <n v="2"/>
    <s v="no"/>
    <x v="1"/>
    <n v="0.89"/>
    <n v="0.89"/>
  </r>
  <r>
    <s v="FL250692"/>
    <s v="Natalie Diaz"/>
    <s v="Natalie Diaz"/>
    <s v="FEMALE"/>
    <s v="Female"/>
    <n v="43"/>
    <x v="13"/>
    <x v="11"/>
    <x v="5"/>
    <n v="7"/>
    <x v="3"/>
    <s v="USD 50"/>
    <x v="12"/>
    <m/>
    <n v="1"/>
    <x v="1"/>
    <n v="0.8"/>
    <n v="0.8"/>
  </r>
  <r>
    <s v="FL250693"/>
    <s v="Amanda Mitchell"/>
    <s v="Amanda Mitchell"/>
    <s v="FEMALE"/>
    <s v="Female"/>
    <n v="31"/>
    <x v="15"/>
    <x v="12"/>
    <x v="1"/>
    <m/>
    <x v="2"/>
    <n v="50"/>
    <x v="2"/>
    <n v="1.4"/>
    <s v="no"/>
    <x v="0"/>
    <n v="0.8"/>
    <n v="0.8"/>
  </r>
  <r>
    <s v="FL250694"/>
    <s v="Karen Scott"/>
    <s v="Karen Scott"/>
    <s v="FEMALE"/>
    <s v="Female"/>
    <n v="29"/>
    <x v="2"/>
    <x v="2"/>
    <x v="5"/>
    <n v="6"/>
    <x v="3"/>
    <n v="100"/>
    <x v="0"/>
    <n v="1.8"/>
    <s v="N"/>
    <x v="0"/>
    <m/>
    <m/>
  </r>
  <r>
    <s v="FL250695"/>
    <s v="Mary Brown"/>
    <s v="Mary Brown"/>
    <s v="FEMALE"/>
    <s v="Female"/>
    <n v="53"/>
    <x v="17"/>
    <x v="14"/>
    <x v="2"/>
    <n v="35"/>
    <x v="1"/>
    <m/>
    <x v="8"/>
    <n v="0"/>
    <n v="1"/>
    <x v="1"/>
    <n v="0.67"/>
    <n v="0.67"/>
  </r>
  <r>
    <s v="FL250696"/>
    <s v="Jon Jones"/>
    <s v="Jon Jones"/>
    <s v="male"/>
    <s v="Male"/>
    <n v="38"/>
    <x v="10"/>
    <x v="8"/>
    <x v="1"/>
    <n v="1"/>
    <x v="2"/>
    <s v="USD 40"/>
    <x v="7"/>
    <n v="0"/>
    <n v="0"/>
    <x v="1"/>
    <n v="0.96"/>
    <n v="0.96"/>
  </r>
  <r>
    <s v="FL250697"/>
    <s v="Jason Phillips"/>
    <s v="Jason Phillips"/>
    <s v="male"/>
    <s v="Male"/>
    <n v="29"/>
    <x v="20"/>
    <x v="6"/>
    <x v="2"/>
    <m/>
    <x v="2"/>
    <n v="20"/>
    <x v="15"/>
    <n v="0"/>
    <n v="0"/>
    <x v="0"/>
    <n v="0.9"/>
    <n v="0.9"/>
  </r>
  <r>
    <s v="FL250698"/>
    <s v="Eric Walsh"/>
    <s v="Eric Walsh"/>
    <s v="m"/>
    <s v="Male"/>
    <n v="42"/>
    <x v="12"/>
    <x v="10"/>
    <x v="6"/>
    <n v="0"/>
    <x v="2"/>
    <m/>
    <x v="8"/>
    <n v="3.9"/>
    <b v="0"/>
    <x v="1"/>
    <n v="0.62"/>
    <n v="0.62"/>
  </r>
  <r>
    <s v="FL250699"/>
    <s v="Carol Schneider"/>
    <s v="Carol Schneider"/>
    <s v="f"/>
    <s v="Female"/>
    <n v="54"/>
    <x v="5"/>
    <x v="1"/>
    <x v="9"/>
    <n v="9"/>
    <x v="3"/>
    <n v="100"/>
    <x v="0"/>
    <m/>
    <s v="N"/>
    <x v="0"/>
    <n v="0.72"/>
    <n v="0.72"/>
  </r>
  <r>
    <s v="FL250700"/>
    <s v="Juan Hines"/>
    <s v="Juan Hines"/>
    <s v="male"/>
    <s v="Male"/>
    <n v="56"/>
    <x v="18"/>
    <x v="15"/>
    <x v="6"/>
    <n v="18"/>
    <x v="4"/>
    <s v="USD 50"/>
    <x v="12"/>
    <n v="4.4000000000000004"/>
    <s v="Y"/>
    <x v="1"/>
    <n v="0.83"/>
    <n v="0.83"/>
  </r>
  <r>
    <s v="FL250701"/>
    <s v="Martha Sweeney"/>
    <s v="Martha Sweeney"/>
    <s v="f"/>
    <s v="Female"/>
    <n v="47"/>
    <x v="6"/>
    <x v="5"/>
    <x v="2"/>
    <n v="22"/>
    <x v="1"/>
    <n v="100"/>
    <x v="0"/>
    <n v="4.4000000000000004"/>
    <s v="no"/>
    <x v="0"/>
    <n v="0.7"/>
    <n v="0.7"/>
  </r>
  <r>
    <s v="FL250702"/>
    <s v="Jason Weaver"/>
    <s v="Jason Weaver"/>
    <s v="m"/>
    <s v="Male"/>
    <n v="45"/>
    <x v="13"/>
    <x v="11"/>
    <x v="0"/>
    <n v="25"/>
    <x v="1"/>
    <n v="50"/>
    <x v="2"/>
    <n v="0"/>
    <s v="no"/>
    <x v="0"/>
    <n v="99"/>
    <n v="0.99"/>
  </r>
  <r>
    <s v="FL250703"/>
    <s v="Benjamin Stevens"/>
    <s v="Benjamin Stevens"/>
    <s v="m"/>
    <s v="Male"/>
    <n v="45"/>
    <x v="18"/>
    <x v="15"/>
    <x v="5"/>
    <n v="6"/>
    <x v="3"/>
    <n v="50"/>
    <x v="2"/>
    <n v="1.4"/>
    <m/>
    <x v="1"/>
    <n v="97"/>
    <n v="0.97"/>
  </r>
  <r>
    <s v="FL250704"/>
    <s v="Daniel Lopez"/>
    <s v="Daniel Lopez"/>
    <s v="m"/>
    <s v="Male"/>
    <n v="35"/>
    <x v="14"/>
    <x v="1"/>
    <x v="9"/>
    <n v="10"/>
    <x v="3"/>
    <n v="20"/>
    <x v="15"/>
    <n v="3.2"/>
    <b v="1"/>
    <x v="2"/>
    <n v="0.77"/>
    <n v="0.77"/>
  </r>
  <r>
    <s v="FL250705"/>
    <s v="John Simpson"/>
    <s v="John Simpson"/>
    <s v="male"/>
    <s v="Male"/>
    <n v="51"/>
    <x v="14"/>
    <x v="1"/>
    <x v="8"/>
    <n v="4"/>
    <x v="2"/>
    <s v="USD 50"/>
    <x v="12"/>
    <n v="2"/>
    <s v="no"/>
    <x v="1"/>
    <n v="0.92"/>
    <n v="0.92"/>
  </r>
  <r>
    <s v="FL250706"/>
    <s v="Katrina Schultz"/>
    <s v="Katrina Schultz"/>
    <s v="f"/>
    <s v="Female"/>
    <n v="34"/>
    <x v="20"/>
    <x v="6"/>
    <x v="1"/>
    <n v="11"/>
    <x v="0"/>
    <n v="50"/>
    <x v="2"/>
    <n v="3.3"/>
    <s v="yes"/>
    <x v="2"/>
    <n v="0.76"/>
    <n v="0.76"/>
  </r>
  <r>
    <s v="FL250707"/>
    <s v="Danielle Bell"/>
    <s v="Danielle Bell"/>
    <s v="FEMALE"/>
    <s v="Female"/>
    <n v="51"/>
    <x v="4"/>
    <x v="4"/>
    <x v="2"/>
    <n v="1"/>
    <x v="2"/>
    <s v="$50"/>
    <x v="9"/>
    <n v="0"/>
    <s v="Y"/>
    <x v="1"/>
    <n v="0.97"/>
    <n v="0.97"/>
  </r>
  <r>
    <s v="FL250708"/>
    <s v="Jason Brady"/>
    <s v="Jason Brady"/>
    <s v="m"/>
    <s v="Male"/>
    <n v="58"/>
    <x v="16"/>
    <x v="13"/>
    <x v="2"/>
    <n v="35"/>
    <x v="1"/>
    <s v="USD 100"/>
    <x v="1"/>
    <n v="2.2999999999999998"/>
    <s v="Y"/>
    <x v="1"/>
    <m/>
    <m/>
  </r>
  <r>
    <s v="FL250709"/>
    <s v="Megan Bright"/>
    <s v="Megan Bright"/>
    <s v="f"/>
    <s v="Female"/>
    <n v="36"/>
    <x v="3"/>
    <x v="3"/>
    <x v="3"/>
    <n v="17"/>
    <x v="4"/>
    <s v="$20"/>
    <x v="14"/>
    <n v="0"/>
    <n v="1"/>
    <x v="1"/>
    <n v="99"/>
    <n v="0.99"/>
  </r>
  <r>
    <s v="FL250710"/>
    <s v="David Griffin"/>
    <s v="David Griffin"/>
    <s v="male"/>
    <s v="Male"/>
    <m/>
    <x v="13"/>
    <x v="11"/>
    <x v="4"/>
    <n v="12"/>
    <x v="0"/>
    <n v="30"/>
    <x v="4"/>
    <n v="2.6"/>
    <s v="Y"/>
    <x v="2"/>
    <m/>
    <m/>
  </r>
  <r>
    <s v="FL250711"/>
    <s v="Michael Clark"/>
    <s v="Michael Clark"/>
    <s v="m"/>
    <s v="Male"/>
    <n v="56"/>
    <x v="17"/>
    <x v="14"/>
    <x v="9"/>
    <n v="30"/>
    <x v="1"/>
    <n v="40"/>
    <x v="10"/>
    <n v="3.3"/>
    <s v="yes"/>
    <x v="2"/>
    <n v="0.82"/>
    <n v="0.82"/>
  </r>
  <r>
    <s v="FL250712"/>
    <s v="Rebecca Barker"/>
    <s v="Rebecca Barker"/>
    <s v="f"/>
    <s v="Female"/>
    <n v="58"/>
    <x v="14"/>
    <x v="1"/>
    <x v="7"/>
    <n v="20"/>
    <x v="4"/>
    <n v="75"/>
    <x v="11"/>
    <n v="3.6"/>
    <s v="yes"/>
    <x v="2"/>
    <n v="0.78"/>
    <n v="0.78"/>
  </r>
  <r>
    <s v="FL250713"/>
    <s v="Angela Smith"/>
    <s v="Angela Smith"/>
    <s v="f"/>
    <s v="Female"/>
    <n v="58"/>
    <x v="5"/>
    <x v="1"/>
    <x v="7"/>
    <n v="22"/>
    <x v="1"/>
    <n v="100"/>
    <x v="0"/>
    <n v="3.7"/>
    <n v="0"/>
    <x v="0"/>
    <m/>
    <m/>
  </r>
  <r>
    <s v="FL250714"/>
    <s v="Christina Wright"/>
    <s v="Christina Wright"/>
    <s v="f"/>
    <s v="Female"/>
    <n v="54"/>
    <x v="7"/>
    <x v="1"/>
    <x v="4"/>
    <n v="32"/>
    <x v="1"/>
    <s v="$20"/>
    <x v="14"/>
    <n v="3.4"/>
    <s v="no"/>
    <x v="1"/>
    <m/>
    <m/>
  </r>
  <r>
    <s v="FL250715"/>
    <s v="Todd Turner"/>
    <s v="Todd Turner"/>
    <s v="male"/>
    <s v="Male"/>
    <n v="53"/>
    <x v="1"/>
    <x v="1"/>
    <x v="6"/>
    <n v="9"/>
    <x v="3"/>
    <n v="50"/>
    <x v="2"/>
    <n v="4"/>
    <s v="Y"/>
    <x v="2"/>
    <n v="0.72"/>
    <n v="0.72"/>
  </r>
  <r>
    <s v="FL250716"/>
    <s v="Elizabeth Green"/>
    <s v="Elizabeth Green"/>
    <s v="FEMALE"/>
    <s v="Female"/>
    <n v="43"/>
    <x v="1"/>
    <x v="1"/>
    <x v="3"/>
    <n v="22"/>
    <x v="1"/>
    <n v="40"/>
    <x v="10"/>
    <n v="4.5"/>
    <m/>
    <x v="1"/>
    <m/>
    <m/>
  </r>
  <r>
    <s v="FL250717"/>
    <s v="Alex Smith"/>
    <s v="Alex Smith"/>
    <s v="m"/>
    <s v="Male"/>
    <n v="44"/>
    <x v="12"/>
    <x v="10"/>
    <x v="9"/>
    <n v="1"/>
    <x v="2"/>
    <n v="75"/>
    <x v="11"/>
    <n v="4.3"/>
    <n v="1"/>
    <x v="2"/>
    <m/>
    <m/>
  </r>
  <r>
    <s v="FL250718"/>
    <s v="Shane Hale"/>
    <s v="Shane Hale"/>
    <s v="m"/>
    <s v="Male"/>
    <n v="34"/>
    <x v="14"/>
    <x v="1"/>
    <x v="7"/>
    <n v="4"/>
    <x v="2"/>
    <n v="75"/>
    <x v="11"/>
    <n v="4"/>
    <n v="1"/>
    <x v="2"/>
    <m/>
    <m/>
  </r>
  <r>
    <s v="FL250719"/>
    <s v="Kathy Grimes"/>
    <s v="Kathy Grimes"/>
    <s v="FEMALE"/>
    <s v="Female"/>
    <n v="27"/>
    <x v="11"/>
    <x v="9"/>
    <x v="1"/>
    <n v="8"/>
    <x v="3"/>
    <s v="$50"/>
    <x v="9"/>
    <n v="1.6"/>
    <s v="yes"/>
    <x v="1"/>
    <m/>
    <m/>
  </r>
  <r>
    <s v="FL250720"/>
    <s v="David Cherry"/>
    <s v="David Cherry"/>
    <s v="m"/>
    <s v="Male"/>
    <n v="50"/>
    <x v="9"/>
    <x v="7"/>
    <x v="5"/>
    <n v="3"/>
    <x v="2"/>
    <n v="100"/>
    <x v="0"/>
    <n v="0"/>
    <s v="Y"/>
    <x v="2"/>
    <m/>
    <m/>
  </r>
  <r>
    <s v="FL250721"/>
    <s v="Rachel Rogers"/>
    <s v="Rachel Rogers"/>
    <s v="FEMALE"/>
    <s v="Female"/>
    <n v="52"/>
    <x v="12"/>
    <x v="10"/>
    <x v="6"/>
    <n v="30"/>
    <x v="1"/>
    <n v="75"/>
    <x v="11"/>
    <m/>
    <s v="no"/>
    <x v="0"/>
    <n v="0.94"/>
    <n v="0.94"/>
  </r>
  <r>
    <s v="FL250722"/>
    <s v="Travis Braun"/>
    <s v="Travis Braun"/>
    <s v="male"/>
    <s v="Male"/>
    <n v="57"/>
    <x v="20"/>
    <x v="6"/>
    <x v="0"/>
    <n v="11"/>
    <x v="0"/>
    <s v="USD 20"/>
    <x v="18"/>
    <n v="4.9000000000000004"/>
    <s v="Y"/>
    <x v="1"/>
    <m/>
    <m/>
  </r>
  <r>
    <s v="FL250723"/>
    <s v="Shawna Palmer"/>
    <s v="Shawna Palmer"/>
    <s v="FEMALE"/>
    <s v="Female"/>
    <n v="53"/>
    <x v="19"/>
    <x v="6"/>
    <x v="8"/>
    <n v="8"/>
    <x v="3"/>
    <n v="20"/>
    <x v="15"/>
    <n v="2.8"/>
    <b v="1"/>
    <x v="2"/>
    <m/>
    <m/>
  </r>
  <r>
    <s v="FL250724"/>
    <s v="Bradley Gaines"/>
    <s v="Bradley Gaines"/>
    <s v="m"/>
    <s v="Male"/>
    <n v="51"/>
    <x v="6"/>
    <x v="5"/>
    <x v="6"/>
    <n v="11"/>
    <x v="0"/>
    <s v="USD 30"/>
    <x v="13"/>
    <n v="3.6"/>
    <s v="Y"/>
    <x v="1"/>
    <n v="0.77"/>
    <n v="0.77"/>
  </r>
  <r>
    <s v="FL250725"/>
    <s v="April Ford"/>
    <s v="April Ford"/>
    <s v="FEMALE"/>
    <s v="Female"/>
    <n v="37"/>
    <x v="14"/>
    <x v="1"/>
    <x v="7"/>
    <n v="9"/>
    <x v="3"/>
    <s v="$50"/>
    <x v="9"/>
    <m/>
    <s v="yes"/>
    <x v="1"/>
    <n v="84"/>
    <n v="0.84"/>
  </r>
  <r>
    <s v="FL250726"/>
    <s v="James Gonzalez"/>
    <s v="James Gonzalez"/>
    <s v="male"/>
    <s v="Male"/>
    <n v="40"/>
    <x v="20"/>
    <x v="6"/>
    <x v="3"/>
    <n v="7"/>
    <x v="3"/>
    <n v="40"/>
    <x v="10"/>
    <n v="4.5"/>
    <m/>
    <x v="1"/>
    <n v="79"/>
    <n v="0.79"/>
  </r>
  <r>
    <s v="FL250727"/>
    <s v="John Castillo"/>
    <s v="John Castillo"/>
    <s v="m"/>
    <s v="Male"/>
    <n v="60"/>
    <x v="9"/>
    <x v="7"/>
    <x v="5"/>
    <n v="24"/>
    <x v="1"/>
    <s v="USD 40"/>
    <x v="7"/>
    <n v="3.1"/>
    <n v="0"/>
    <x v="1"/>
    <n v="0.69"/>
    <n v="0.69"/>
  </r>
  <r>
    <s v="FL250728"/>
    <s v="Ian Hayes"/>
    <s v="Ian Hayes"/>
    <s v="m"/>
    <s v="Male"/>
    <n v="60"/>
    <x v="15"/>
    <x v="12"/>
    <x v="6"/>
    <n v="0"/>
    <x v="2"/>
    <n v="40"/>
    <x v="10"/>
    <n v="4.9000000000000004"/>
    <s v="Y"/>
    <x v="2"/>
    <n v="0.68"/>
    <n v="0.68"/>
  </r>
  <r>
    <s v="FL250729"/>
    <s v="Christine Castro"/>
    <s v="Christine Castro"/>
    <s v="FEMALE"/>
    <s v="Female"/>
    <n v="53"/>
    <x v="12"/>
    <x v="10"/>
    <x v="6"/>
    <n v="21"/>
    <x v="1"/>
    <s v="$30"/>
    <x v="5"/>
    <n v="4.2"/>
    <n v="1"/>
    <x v="1"/>
    <n v="73"/>
    <n v="0.73"/>
  </r>
  <r>
    <s v="FL250730"/>
    <s v="Jessica Chaney"/>
    <s v="Jessica Chaney"/>
    <s v="FEMALE"/>
    <s v="Female"/>
    <n v="20"/>
    <x v="19"/>
    <x v="6"/>
    <x v="0"/>
    <n v="0"/>
    <x v="2"/>
    <n v="75"/>
    <x v="11"/>
    <n v="3.2"/>
    <n v="1"/>
    <x v="2"/>
    <n v="0.74"/>
    <n v="0.74"/>
  </r>
  <r>
    <s v="FL250731"/>
    <s v="John Gray"/>
    <s v="John Gray"/>
    <s v="male"/>
    <s v="Male"/>
    <n v="42"/>
    <x v="13"/>
    <x v="11"/>
    <x v="3"/>
    <n v="7"/>
    <x v="3"/>
    <s v="USD 20"/>
    <x v="18"/>
    <m/>
    <b v="0"/>
    <x v="1"/>
    <n v="1"/>
    <n v="1"/>
  </r>
  <r>
    <s v="FL250732"/>
    <s v="Shane Booker"/>
    <s v="Shane Booker"/>
    <s v="m"/>
    <s v="Male"/>
    <n v="21"/>
    <x v="7"/>
    <x v="1"/>
    <x v="1"/>
    <n v="3"/>
    <x v="2"/>
    <n v="40"/>
    <x v="10"/>
    <n v="0"/>
    <n v="0"/>
    <x v="0"/>
    <n v="0.87"/>
    <n v="0.87"/>
  </r>
  <r>
    <s v="FL250733"/>
    <s v="Kyle Hall"/>
    <s v="Kyle Hall"/>
    <s v="m"/>
    <s v="Male"/>
    <n v="39"/>
    <x v="2"/>
    <x v="2"/>
    <x v="3"/>
    <n v="21"/>
    <x v="1"/>
    <n v="100"/>
    <x v="0"/>
    <n v="2.2000000000000002"/>
    <n v="0"/>
    <x v="0"/>
    <n v="0.79"/>
    <n v="0.79"/>
  </r>
  <r>
    <s v="FL250734"/>
    <s v="Ronald Munoz"/>
    <s v="Ronald Munoz"/>
    <s v="m"/>
    <s v="Male"/>
    <n v="32"/>
    <x v="10"/>
    <x v="8"/>
    <x v="0"/>
    <m/>
    <x v="2"/>
    <n v="30"/>
    <x v="4"/>
    <n v="1.5"/>
    <n v="0"/>
    <x v="0"/>
    <n v="0.68"/>
    <n v="0.68"/>
  </r>
  <r>
    <s v="FL250735"/>
    <s v="Christopher Long"/>
    <s v="Christopher Long"/>
    <s v="m"/>
    <s v="Male"/>
    <n v="35"/>
    <x v="2"/>
    <x v="2"/>
    <x v="5"/>
    <m/>
    <x v="2"/>
    <s v="USD 100"/>
    <x v="1"/>
    <m/>
    <n v="0"/>
    <x v="1"/>
    <n v="0.84"/>
    <n v="0.84"/>
  </r>
  <r>
    <s v="FL250736"/>
    <s v="Sandra Ali"/>
    <s v="Sandra Ali"/>
    <s v="f"/>
    <s v="Female"/>
    <n v="35"/>
    <x v="15"/>
    <x v="12"/>
    <x v="6"/>
    <n v="17"/>
    <x v="4"/>
    <n v="50"/>
    <x v="2"/>
    <n v="3.1"/>
    <n v="0"/>
    <x v="0"/>
    <n v="0.71"/>
    <n v="0.71"/>
  </r>
  <r>
    <s v="FL250737"/>
    <s v="Jessica Garza"/>
    <s v="Jessica Garza"/>
    <s v="FEMALE"/>
    <s v="Female"/>
    <n v="23"/>
    <x v="8"/>
    <x v="6"/>
    <x v="6"/>
    <n v="0"/>
    <x v="2"/>
    <n v="75"/>
    <x v="11"/>
    <n v="0"/>
    <s v="no"/>
    <x v="0"/>
    <n v="0.92"/>
    <n v="0.92"/>
  </r>
  <r>
    <s v="FL250738"/>
    <s v="Gregory Waters"/>
    <s v="Gregory Waters"/>
    <s v="m"/>
    <s v="Male"/>
    <n v="26"/>
    <x v="3"/>
    <x v="3"/>
    <x v="4"/>
    <n v="6"/>
    <x v="3"/>
    <s v="USD 100"/>
    <x v="1"/>
    <m/>
    <s v="no"/>
    <x v="1"/>
    <n v="0.69"/>
    <n v="0.69"/>
  </r>
  <r>
    <s v="FL250739"/>
    <s v="Misty Adams"/>
    <s v="Misty Adams"/>
    <s v="f"/>
    <s v="Female"/>
    <n v="34"/>
    <x v="14"/>
    <x v="1"/>
    <x v="9"/>
    <n v="3"/>
    <x v="2"/>
    <m/>
    <x v="8"/>
    <n v="0"/>
    <n v="1"/>
    <x v="1"/>
    <n v="0.71"/>
    <n v="0.71"/>
  </r>
  <r>
    <s v="FL250740"/>
    <s v="Megan Brown"/>
    <s v="Megan Brown"/>
    <s v="FEMALE"/>
    <s v="Female"/>
    <n v="34"/>
    <x v="2"/>
    <x v="2"/>
    <x v="0"/>
    <n v="3"/>
    <x v="2"/>
    <m/>
    <x v="8"/>
    <m/>
    <b v="0"/>
    <x v="1"/>
    <n v="0.77"/>
    <n v="0.77"/>
  </r>
  <r>
    <s v="FL250741"/>
    <s v="Gregory Brown"/>
    <s v="Gregory Brown"/>
    <s v="m"/>
    <s v="Male"/>
    <n v="57"/>
    <x v="0"/>
    <x v="0"/>
    <x v="3"/>
    <n v="31"/>
    <x v="1"/>
    <n v="50"/>
    <x v="2"/>
    <n v="3"/>
    <b v="1"/>
    <x v="2"/>
    <n v="0.87"/>
    <n v="0.87"/>
  </r>
  <r>
    <s v="FL250742"/>
    <s v="Scott Alexander MD"/>
    <s v="Scott Alexander MD"/>
    <s v="male"/>
    <s v="Male"/>
    <n v="46"/>
    <x v="14"/>
    <x v="1"/>
    <x v="3"/>
    <n v="5"/>
    <x v="2"/>
    <s v="$30"/>
    <x v="5"/>
    <n v="2.6"/>
    <s v="no"/>
    <x v="1"/>
    <n v="0.76"/>
    <n v="0.76"/>
  </r>
  <r>
    <s v="FL250743"/>
    <s v="Eric Nguyen"/>
    <s v="Eric Nguyen"/>
    <s v="male"/>
    <s v="Male"/>
    <n v="55"/>
    <x v="10"/>
    <x v="8"/>
    <x v="4"/>
    <n v="37"/>
    <x v="1"/>
    <s v="USD 75"/>
    <x v="6"/>
    <n v="4.0999999999999996"/>
    <s v="no"/>
    <x v="1"/>
    <m/>
    <m/>
  </r>
  <r>
    <s v="FL250744"/>
    <s v="Wendy Boyer"/>
    <s v="Wendy Boyer"/>
    <s v="FEMALE"/>
    <s v="Female"/>
    <n v="32"/>
    <x v="1"/>
    <x v="1"/>
    <x v="8"/>
    <n v="10"/>
    <x v="3"/>
    <s v="USD 50"/>
    <x v="12"/>
    <n v="1.5"/>
    <b v="0"/>
    <x v="1"/>
    <n v="0.65"/>
    <n v="0.65"/>
  </r>
  <r>
    <s v="FL250745"/>
    <s v="Mark Clark"/>
    <s v="Mark Clark"/>
    <s v="m"/>
    <s v="Male"/>
    <n v="53"/>
    <x v="4"/>
    <x v="4"/>
    <x v="4"/>
    <n v="28"/>
    <x v="1"/>
    <s v="USD 50"/>
    <x v="12"/>
    <n v="2.9"/>
    <s v="yes"/>
    <x v="1"/>
    <n v="0.82"/>
    <n v="0.82"/>
  </r>
  <r>
    <s v="FL250746"/>
    <s v="Carl Kline"/>
    <s v="Carl Kline"/>
    <s v="male"/>
    <s v="Male"/>
    <n v="59"/>
    <x v="19"/>
    <x v="6"/>
    <x v="4"/>
    <n v="0"/>
    <x v="2"/>
    <n v="100"/>
    <x v="0"/>
    <n v="0"/>
    <s v="Y"/>
    <x v="2"/>
    <n v="87"/>
    <n v="0.87"/>
  </r>
  <r>
    <s v="FL250747"/>
    <s v="Linda Williams"/>
    <s v="Linda Williams"/>
    <s v="f"/>
    <s v="Female"/>
    <n v="44"/>
    <x v="3"/>
    <x v="3"/>
    <x v="9"/>
    <n v="19"/>
    <x v="4"/>
    <s v="$40"/>
    <x v="3"/>
    <n v="4.9000000000000004"/>
    <s v="N"/>
    <x v="1"/>
    <n v="1"/>
    <n v="1"/>
  </r>
  <r>
    <s v="FL250748"/>
    <s v="Jason Edwards"/>
    <s v="Jason Edwards"/>
    <s v="male"/>
    <s v="Male"/>
    <n v="35"/>
    <x v="16"/>
    <x v="13"/>
    <x v="0"/>
    <n v="9"/>
    <x v="3"/>
    <s v="USD 50"/>
    <x v="12"/>
    <n v="3"/>
    <s v="N"/>
    <x v="1"/>
    <n v="71"/>
    <n v="0.71"/>
  </r>
  <r>
    <s v="FL250749"/>
    <s v="Madison Mcintosh"/>
    <s v="Madison Mcintosh"/>
    <s v="f"/>
    <s v="Female"/>
    <n v="42"/>
    <x v="18"/>
    <x v="15"/>
    <x v="9"/>
    <n v="5"/>
    <x v="2"/>
    <n v="30"/>
    <x v="4"/>
    <n v="4.9000000000000004"/>
    <n v="1"/>
    <x v="2"/>
    <n v="87"/>
    <n v="0.87"/>
  </r>
  <r>
    <s v="FL250750"/>
    <s v="Desiree Winters"/>
    <s v="Desiree Winters"/>
    <s v="f"/>
    <s v="Female"/>
    <n v="58"/>
    <x v="12"/>
    <x v="10"/>
    <x v="0"/>
    <n v="0"/>
    <x v="2"/>
    <s v="USD 30"/>
    <x v="13"/>
    <n v="4.5999999999999996"/>
    <n v="0"/>
    <x v="1"/>
    <n v="70"/>
    <n v="0.7"/>
  </r>
  <r>
    <s v="FL250751"/>
    <s v="Ryan Taylor"/>
    <s v="Ryan Taylor"/>
    <s v="male"/>
    <s v="Male"/>
    <n v="41"/>
    <x v="3"/>
    <x v="3"/>
    <x v="4"/>
    <n v="21"/>
    <x v="1"/>
    <s v="USD 100"/>
    <x v="1"/>
    <n v="2.2000000000000002"/>
    <n v="1"/>
    <x v="1"/>
    <n v="0.83"/>
    <n v="0.83"/>
  </r>
  <r>
    <s v="FL250752"/>
    <s v="Patricia Scott"/>
    <s v="Patricia Scott"/>
    <s v="FEMALE"/>
    <s v="Female"/>
    <m/>
    <x v="8"/>
    <x v="6"/>
    <x v="3"/>
    <n v="0"/>
    <x v="2"/>
    <n v="40"/>
    <x v="10"/>
    <m/>
    <s v="Y"/>
    <x v="2"/>
    <n v="0.74"/>
    <n v="0.74"/>
  </r>
  <r>
    <s v="FL250753"/>
    <s v="Erin Jimenez"/>
    <s v="Erin Jimenez"/>
    <s v="FEMALE"/>
    <s v="Female"/>
    <n v="23"/>
    <x v="14"/>
    <x v="1"/>
    <x v="0"/>
    <n v="0"/>
    <x v="2"/>
    <n v="30"/>
    <x v="4"/>
    <n v="1.1000000000000001"/>
    <s v="yes"/>
    <x v="2"/>
    <n v="0.86"/>
    <n v="0.86"/>
  </r>
  <r>
    <s v="FL250754"/>
    <s v="Anthony Krause"/>
    <s v="Anthony Krause"/>
    <s v="m"/>
    <s v="Male"/>
    <n v="51"/>
    <x v="18"/>
    <x v="15"/>
    <x v="0"/>
    <n v="17"/>
    <x v="4"/>
    <n v="40"/>
    <x v="10"/>
    <n v="4.5"/>
    <n v="1"/>
    <x v="2"/>
    <n v="0.72"/>
    <n v="0.72"/>
  </r>
  <r>
    <s v="FL250755"/>
    <s v="Diane Dean"/>
    <s v="Diane Dean"/>
    <s v="FEMALE"/>
    <s v="Female"/>
    <n v="42"/>
    <x v="15"/>
    <x v="12"/>
    <x v="4"/>
    <n v="21"/>
    <x v="1"/>
    <m/>
    <x v="8"/>
    <n v="2.5"/>
    <b v="1"/>
    <x v="1"/>
    <n v="0.73"/>
    <n v="0.73"/>
  </r>
  <r>
    <s v="FL250756"/>
    <s v="Stuart Mckinney"/>
    <s v="Stuart Mckinney"/>
    <s v="male"/>
    <s v="Male"/>
    <n v="26"/>
    <x v="9"/>
    <x v="7"/>
    <x v="5"/>
    <n v="7"/>
    <x v="3"/>
    <s v="USD 75"/>
    <x v="6"/>
    <n v="2.9"/>
    <n v="0"/>
    <x v="1"/>
    <n v="0.78"/>
    <n v="0.78"/>
  </r>
  <r>
    <s v="FL250757"/>
    <s v="Kellie Le"/>
    <s v="Kellie Le"/>
    <s v="f"/>
    <s v="Female"/>
    <n v="49"/>
    <x v="4"/>
    <x v="4"/>
    <x v="4"/>
    <n v="22"/>
    <x v="1"/>
    <n v="75"/>
    <x v="11"/>
    <n v="0"/>
    <b v="1"/>
    <x v="2"/>
    <m/>
    <m/>
  </r>
  <r>
    <s v="FL250758"/>
    <s v="Lauren Henry"/>
    <s v="Lauren Henry"/>
    <s v="FEMALE"/>
    <s v="Female"/>
    <n v="37"/>
    <x v="0"/>
    <x v="0"/>
    <x v="8"/>
    <m/>
    <x v="2"/>
    <s v="USD 75"/>
    <x v="6"/>
    <n v="3.5"/>
    <s v="N"/>
    <x v="1"/>
    <n v="0.75"/>
    <n v="0.75"/>
  </r>
  <r>
    <s v="FL250759"/>
    <s v="Brandon Fox"/>
    <s v="Brandon Fox"/>
    <s v="m"/>
    <s v="Male"/>
    <n v="31"/>
    <x v="1"/>
    <x v="1"/>
    <x v="4"/>
    <n v="1"/>
    <x v="2"/>
    <n v="40"/>
    <x v="10"/>
    <n v="4.5"/>
    <n v="0"/>
    <x v="0"/>
    <n v="0.96"/>
    <n v="0.96"/>
  </r>
  <r>
    <s v="FL250760"/>
    <s v="Richard Smith"/>
    <s v="Richard Smith"/>
    <s v="male"/>
    <s v="Male"/>
    <n v="51"/>
    <x v="12"/>
    <x v="10"/>
    <x v="1"/>
    <n v="5"/>
    <x v="2"/>
    <s v="USD 40"/>
    <x v="7"/>
    <n v="1.7"/>
    <s v="yes"/>
    <x v="1"/>
    <n v="0.61"/>
    <n v="0.61"/>
  </r>
  <r>
    <s v="FL250761"/>
    <s v="John White"/>
    <s v="John White"/>
    <s v="m"/>
    <s v="Male"/>
    <n v="60"/>
    <x v="18"/>
    <x v="15"/>
    <x v="8"/>
    <n v="40"/>
    <x v="1"/>
    <n v="50"/>
    <x v="2"/>
    <n v="4.5999999999999996"/>
    <b v="1"/>
    <x v="2"/>
    <n v="1"/>
    <n v="1"/>
  </r>
  <r>
    <s v="FL250762"/>
    <s v="Gilbert Mcintyre"/>
    <s v="Gilbert Mcintyre"/>
    <s v="m"/>
    <s v="Male"/>
    <n v="51"/>
    <x v="14"/>
    <x v="1"/>
    <x v="0"/>
    <n v="19"/>
    <x v="4"/>
    <n v="50"/>
    <x v="2"/>
    <m/>
    <s v="Y"/>
    <x v="2"/>
    <n v="0.82"/>
    <n v="0.82"/>
  </r>
  <r>
    <s v="FL250763"/>
    <s v="Christopher Sparks"/>
    <s v="Christopher Sparks"/>
    <s v="m"/>
    <s v="Male"/>
    <n v="37"/>
    <x v="2"/>
    <x v="2"/>
    <x v="2"/>
    <n v="12"/>
    <x v="0"/>
    <m/>
    <x v="8"/>
    <n v="4.9000000000000004"/>
    <n v="1"/>
    <x v="1"/>
    <n v="0.8"/>
    <n v="0.8"/>
  </r>
  <r>
    <s v="FL250764"/>
    <s v="Aaron Hicks"/>
    <s v="Aaron Hicks"/>
    <s v="male"/>
    <s v="Male"/>
    <n v="52"/>
    <x v="10"/>
    <x v="8"/>
    <x v="0"/>
    <n v="7"/>
    <x v="3"/>
    <n v="40"/>
    <x v="10"/>
    <n v="2.2000000000000002"/>
    <m/>
    <x v="1"/>
    <n v="0.96"/>
    <n v="0.96"/>
  </r>
  <r>
    <s v="FL250765"/>
    <s v="Jose Patterson"/>
    <s v="Jose Patterson"/>
    <s v="m"/>
    <s v="Male"/>
    <n v="27"/>
    <x v="4"/>
    <x v="4"/>
    <x v="0"/>
    <n v="4"/>
    <x v="2"/>
    <n v="20"/>
    <x v="15"/>
    <m/>
    <n v="0"/>
    <x v="0"/>
    <n v="0.63"/>
    <n v="0.63"/>
  </r>
  <r>
    <s v="FL250766"/>
    <s v="Bryan Long"/>
    <s v="Bryan Long"/>
    <s v="m"/>
    <s v="Male"/>
    <n v="48"/>
    <x v="1"/>
    <x v="1"/>
    <x v="2"/>
    <n v="24"/>
    <x v="1"/>
    <s v="$40"/>
    <x v="3"/>
    <n v="2.2000000000000002"/>
    <n v="0"/>
    <x v="1"/>
    <n v="0.67"/>
    <n v="0.67"/>
  </r>
  <r>
    <s v="FL250767"/>
    <s v="Tammy Gomez"/>
    <s v="Tammy Gomez"/>
    <s v="f"/>
    <s v="Female"/>
    <n v="22"/>
    <x v="9"/>
    <x v="7"/>
    <x v="5"/>
    <n v="1"/>
    <x v="2"/>
    <s v="USD 30"/>
    <x v="13"/>
    <n v="3.3"/>
    <n v="1"/>
    <x v="1"/>
    <n v="0.61"/>
    <n v="0.61"/>
  </r>
  <r>
    <s v="FL250768"/>
    <s v="Diana Raymond"/>
    <s v="Diana Raymond"/>
    <s v="FEMALE"/>
    <s v="Female"/>
    <n v="48"/>
    <x v="2"/>
    <x v="2"/>
    <x v="1"/>
    <n v="28"/>
    <x v="1"/>
    <s v="USD 30"/>
    <x v="13"/>
    <n v="4.9000000000000004"/>
    <n v="0"/>
    <x v="1"/>
    <n v="0.77"/>
    <n v="0.77"/>
  </r>
  <r>
    <s v="FL250769"/>
    <s v="Jessica Armstrong"/>
    <s v="Jessica Armstrong"/>
    <s v="f"/>
    <s v="Female"/>
    <n v="54"/>
    <x v="5"/>
    <x v="1"/>
    <x v="1"/>
    <n v="19"/>
    <x v="4"/>
    <n v="75"/>
    <x v="11"/>
    <n v="0"/>
    <m/>
    <x v="1"/>
    <m/>
    <m/>
  </r>
  <r>
    <s v="FL250770"/>
    <s v="Amanda Martin"/>
    <s v="Amanda Martin"/>
    <s v="FEMALE"/>
    <s v="Female"/>
    <n v="52"/>
    <x v="12"/>
    <x v="10"/>
    <x v="5"/>
    <n v="4"/>
    <x v="2"/>
    <n v="50"/>
    <x v="2"/>
    <m/>
    <s v="N"/>
    <x v="0"/>
    <n v="0.84"/>
    <n v="0.84"/>
  </r>
  <r>
    <s v="FL250771"/>
    <s v="Anne Hamilton"/>
    <s v="Anne Hamilton"/>
    <s v="FEMALE"/>
    <s v="Female"/>
    <n v="39"/>
    <x v="6"/>
    <x v="5"/>
    <x v="3"/>
    <n v="20"/>
    <x v="4"/>
    <s v="USD 100"/>
    <x v="1"/>
    <m/>
    <s v="Y"/>
    <x v="1"/>
    <n v="0.89"/>
    <n v="0.89"/>
  </r>
  <r>
    <s v="FL250772"/>
    <s v="Heather Curtis"/>
    <s v="Heather Curtis"/>
    <s v="f"/>
    <s v="Female"/>
    <n v="54"/>
    <x v="13"/>
    <x v="11"/>
    <x v="1"/>
    <n v="19"/>
    <x v="4"/>
    <s v="USD 30"/>
    <x v="13"/>
    <n v="4"/>
    <m/>
    <x v="1"/>
    <n v="0.9"/>
    <n v="0.9"/>
  </r>
  <r>
    <s v="FL250773"/>
    <s v="Tiffany Moses"/>
    <s v="Tiffany Moses"/>
    <s v="FEMALE"/>
    <s v="Female"/>
    <n v="22"/>
    <x v="5"/>
    <x v="1"/>
    <x v="7"/>
    <n v="1"/>
    <x v="2"/>
    <n v="20"/>
    <x v="15"/>
    <n v="4.8"/>
    <b v="0"/>
    <x v="0"/>
    <n v="0.87"/>
    <n v="0.87"/>
  </r>
  <r>
    <s v="FL250774"/>
    <s v="Jacqueline Moon"/>
    <s v="Jacqueline Moon"/>
    <s v="FEMALE"/>
    <s v="Female"/>
    <n v="29"/>
    <x v="17"/>
    <x v="14"/>
    <x v="1"/>
    <n v="8"/>
    <x v="3"/>
    <n v="50"/>
    <x v="2"/>
    <n v="0"/>
    <n v="0"/>
    <x v="0"/>
    <n v="0.77"/>
    <n v="0.77"/>
  </r>
  <r>
    <s v="FL250775"/>
    <s v="James Campbell"/>
    <s v="James Campbell"/>
    <s v="m"/>
    <s v="Male"/>
    <n v="23"/>
    <x v="20"/>
    <x v="6"/>
    <x v="8"/>
    <n v="3"/>
    <x v="2"/>
    <s v="USD 30"/>
    <x v="13"/>
    <n v="1.6"/>
    <s v="Y"/>
    <x v="1"/>
    <n v="0.72"/>
    <n v="0.72"/>
  </r>
  <r>
    <s v="FL250776"/>
    <s v="Melissa Vasquez"/>
    <s v="Melissa Vasquez"/>
    <s v="f"/>
    <s v="Female"/>
    <n v="58"/>
    <x v="19"/>
    <x v="6"/>
    <x v="8"/>
    <n v="30"/>
    <x v="1"/>
    <n v="50"/>
    <x v="2"/>
    <n v="1.3"/>
    <s v="yes"/>
    <x v="2"/>
    <n v="0.87"/>
    <n v="0.87"/>
  </r>
  <r>
    <s v="FL250777"/>
    <s v="Katherine Carlson"/>
    <s v="Katherine Carlson"/>
    <s v="f"/>
    <s v="Female"/>
    <n v="56"/>
    <x v="18"/>
    <x v="15"/>
    <x v="0"/>
    <n v="3"/>
    <x v="2"/>
    <n v="40"/>
    <x v="10"/>
    <n v="4.0999999999999996"/>
    <b v="1"/>
    <x v="2"/>
    <n v="0.89"/>
    <n v="0.89"/>
  </r>
  <r>
    <s v="FL250778"/>
    <s v="Adam Clay"/>
    <s v="Adam Clay"/>
    <s v="m"/>
    <s v="Male"/>
    <n v="48"/>
    <x v="6"/>
    <x v="5"/>
    <x v="3"/>
    <n v="19"/>
    <x v="4"/>
    <n v="40"/>
    <x v="10"/>
    <n v="1.5"/>
    <n v="0"/>
    <x v="0"/>
    <n v="0.87"/>
    <n v="0.87"/>
  </r>
  <r>
    <s v="FL250779"/>
    <s v="Amy Combs"/>
    <s v="Amy Combs"/>
    <s v="FEMALE"/>
    <s v="Female"/>
    <n v="31"/>
    <x v="13"/>
    <x v="11"/>
    <x v="1"/>
    <n v="11"/>
    <x v="0"/>
    <s v="USD 40"/>
    <x v="7"/>
    <n v="4.3"/>
    <s v="Y"/>
    <x v="1"/>
    <n v="0.76"/>
    <n v="0.76"/>
  </r>
  <r>
    <s v="FL250780"/>
    <s v="Anthony Case"/>
    <s v="Anthony Case"/>
    <s v="m"/>
    <s v="Male"/>
    <n v="44"/>
    <x v="1"/>
    <x v="1"/>
    <x v="9"/>
    <n v="26"/>
    <x v="1"/>
    <n v="50"/>
    <x v="2"/>
    <n v="1.6"/>
    <m/>
    <x v="1"/>
    <n v="1"/>
    <n v="1"/>
  </r>
  <r>
    <s v="FL250781"/>
    <s v="Kimberly Brown"/>
    <s v="Kimberly Brown"/>
    <s v="f"/>
    <s v="Female"/>
    <n v="42"/>
    <x v="16"/>
    <x v="13"/>
    <x v="1"/>
    <n v="10"/>
    <x v="3"/>
    <n v="100"/>
    <x v="0"/>
    <n v="3.7"/>
    <s v="Y"/>
    <x v="2"/>
    <n v="0.94"/>
    <n v="0.94"/>
  </r>
  <r>
    <s v="FL250782"/>
    <s v="Joshua Holloway"/>
    <s v="Joshua Holloway"/>
    <s v="male"/>
    <s v="Male"/>
    <n v="59"/>
    <x v="5"/>
    <x v="1"/>
    <x v="7"/>
    <n v="17"/>
    <x v="4"/>
    <n v="50"/>
    <x v="2"/>
    <n v="1.4"/>
    <s v="yes"/>
    <x v="2"/>
    <m/>
    <m/>
  </r>
  <r>
    <s v="FL250783"/>
    <s v="Cynthia Walton"/>
    <s v="Cynthia Walton"/>
    <s v="f"/>
    <s v="Female"/>
    <m/>
    <x v="8"/>
    <x v="6"/>
    <x v="0"/>
    <n v="9"/>
    <x v="3"/>
    <s v="$100"/>
    <x v="17"/>
    <n v="4.5"/>
    <s v="Y"/>
    <x v="1"/>
    <n v="83"/>
    <n v="0.83"/>
  </r>
  <r>
    <s v="FL250784"/>
    <s v="Shawn Delgado"/>
    <s v="Shawn Delgado"/>
    <s v="m"/>
    <s v="Male"/>
    <n v="21"/>
    <x v="18"/>
    <x v="15"/>
    <x v="5"/>
    <n v="0"/>
    <x v="2"/>
    <s v="USD 40"/>
    <x v="7"/>
    <n v="3.7"/>
    <n v="0"/>
    <x v="1"/>
    <n v="0.74"/>
    <n v="0.74"/>
  </r>
  <r>
    <s v="FL250785"/>
    <s v="Jeremy Smith"/>
    <s v="Jeremy Smith"/>
    <s v="male"/>
    <s v="Male"/>
    <n v="53"/>
    <x v="7"/>
    <x v="1"/>
    <x v="8"/>
    <n v="5"/>
    <x v="2"/>
    <n v="75"/>
    <x v="11"/>
    <n v="1.1000000000000001"/>
    <n v="0"/>
    <x v="0"/>
    <n v="92"/>
    <n v="0.92"/>
  </r>
  <r>
    <s v="FL250786"/>
    <s v="Marc Ortiz"/>
    <s v="Marc Ortiz"/>
    <s v="m"/>
    <s v="Male"/>
    <n v="35"/>
    <x v="8"/>
    <x v="6"/>
    <x v="1"/>
    <n v="15"/>
    <x v="0"/>
    <m/>
    <x v="8"/>
    <n v="3.7"/>
    <b v="0"/>
    <x v="1"/>
    <n v="0.66"/>
    <n v="0.66"/>
  </r>
  <r>
    <s v="FL250787"/>
    <s v="Michelle Gregory"/>
    <s v="Michelle Gregory"/>
    <s v="FEMALE"/>
    <s v="Female"/>
    <n v="25"/>
    <x v="11"/>
    <x v="9"/>
    <x v="9"/>
    <n v="3"/>
    <x v="2"/>
    <s v="$50"/>
    <x v="9"/>
    <n v="3.2"/>
    <b v="1"/>
    <x v="1"/>
    <n v="0.74"/>
    <n v="0.74"/>
  </r>
  <r>
    <s v="FL250788"/>
    <s v="Melanie Gay"/>
    <s v="Melanie Gay"/>
    <s v="FEMALE"/>
    <s v="Female"/>
    <n v="23"/>
    <x v="0"/>
    <x v="0"/>
    <x v="6"/>
    <n v="1"/>
    <x v="2"/>
    <n v="30"/>
    <x v="4"/>
    <n v="5"/>
    <s v="N"/>
    <x v="0"/>
    <n v="0.97"/>
    <n v="0.97"/>
  </r>
  <r>
    <s v="FL250789"/>
    <s v="Brittany Lambert"/>
    <s v="Brittany Lambert"/>
    <s v="f"/>
    <s v="Female"/>
    <n v="56"/>
    <x v="16"/>
    <x v="13"/>
    <x v="2"/>
    <n v="13"/>
    <x v="0"/>
    <n v="30"/>
    <x v="4"/>
    <n v="0"/>
    <m/>
    <x v="1"/>
    <n v="77"/>
    <n v="0.77"/>
  </r>
  <r>
    <s v="FL250790"/>
    <s v="Mary Hernandez"/>
    <s v="Mary Hernandez"/>
    <s v="FEMALE"/>
    <s v="Female"/>
    <n v="31"/>
    <x v="19"/>
    <x v="6"/>
    <x v="6"/>
    <n v="6"/>
    <x v="3"/>
    <m/>
    <x v="8"/>
    <n v="3.5"/>
    <s v="no"/>
    <x v="1"/>
    <n v="0.86"/>
    <n v="0.86"/>
  </r>
  <r>
    <s v="FL250791"/>
    <s v="Jonathan Jones"/>
    <s v="Jonathan Jones"/>
    <s v="m"/>
    <s v="Male"/>
    <n v="24"/>
    <x v="5"/>
    <x v="1"/>
    <x v="7"/>
    <n v="4"/>
    <x v="2"/>
    <n v="50"/>
    <x v="2"/>
    <n v="3.1"/>
    <b v="0"/>
    <x v="0"/>
    <n v="0.95"/>
    <n v="0.95"/>
  </r>
  <r>
    <s v="FL250792"/>
    <s v="Gina Williams"/>
    <s v="Gina Williams"/>
    <s v="FEMALE"/>
    <s v="Female"/>
    <n v="35"/>
    <x v="11"/>
    <x v="9"/>
    <x v="7"/>
    <n v="7"/>
    <x v="3"/>
    <m/>
    <x v="8"/>
    <n v="3.9"/>
    <n v="0"/>
    <x v="1"/>
    <n v="0.72"/>
    <n v="0.72"/>
  </r>
  <r>
    <s v="FL250793"/>
    <s v="Kelly Lawson"/>
    <s v="Kelly Lawson"/>
    <s v="FEMALE"/>
    <s v="Female"/>
    <n v="20"/>
    <x v="20"/>
    <x v="6"/>
    <x v="4"/>
    <n v="1"/>
    <x v="2"/>
    <m/>
    <x v="8"/>
    <n v="3.5"/>
    <n v="0"/>
    <x v="1"/>
    <n v="0.71"/>
    <n v="0.71"/>
  </r>
  <r>
    <s v="FL250794"/>
    <s v="Keith Smith"/>
    <s v="Keith Smith"/>
    <s v="male"/>
    <s v="Male"/>
    <n v="26"/>
    <x v="1"/>
    <x v="1"/>
    <x v="5"/>
    <n v="5"/>
    <x v="2"/>
    <s v="$100"/>
    <x v="17"/>
    <n v="2.5"/>
    <b v="1"/>
    <x v="1"/>
    <n v="0.93"/>
    <n v="0.93"/>
  </r>
  <r>
    <s v="FL250795"/>
    <s v="Christopher Hunter"/>
    <s v="Christopher Hunter"/>
    <s v="m"/>
    <s v="Male"/>
    <n v="54"/>
    <x v="7"/>
    <x v="1"/>
    <x v="8"/>
    <n v="29"/>
    <x v="1"/>
    <s v="USD 40"/>
    <x v="7"/>
    <n v="3.1"/>
    <n v="1"/>
    <x v="1"/>
    <m/>
    <m/>
  </r>
  <r>
    <s v="FL250796"/>
    <s v="Dwayne Parks"/>
    <s v="Dwayne Parks"/>
    <s v="m"/>
    <s v="Male"/>
    <n v="53"/>
    <x v="13"/>
    <x v="11"/>
    <x v="7"/>
    <n v="12"/>
    <x v="0"/>
    <n v="100"/>
    <x v="0"/>
    <n v="4.7"/>
    <n v="1"/>
    <x v="2"/>
    <n v="0.87"/>
    <n v="0.87"/>
  </r>
  <r>
    <s v="FL250797"/>
    <s v="Mary Hall"/>
    <s v="Mary Hall"/>
    <s v="FEMALE"/>
    <s v="Female"/>
    <n v="33"/>
    <x v="14"/>
    <x v="1"/>
    <x v="8"/>
    <n v="4"/>
    <x v="2"/>
    <m/>
    <x v="8"/>
    <n v="1.9"/>
    <b v="0"/>
    <x v="1"/>
    <n v="73"/>
    <n v="0.73"/>
  </r>
  <r>
    <s v="FL250798"/>
    <s v="Jake Gilmore"/>
    <s v="Jake Gilmore"/>
    <s v="m"/>
    <s v="Male"/>
    <n v="43"/>
    <x v="3"/>
    <x v="3"/>
    <x v="3"/>
    <n v="12"/>
    <x v="0"/>
    <m/>
    <x v="8"/>
    <n v="1.6"/>
    <n v="1"/>
    <x v="1"/>
    <n v="0.74"/>
    <n v="0.74"/>
  </r>
  <r>
    <s v="FL250799"/>
    <s v="Mark Lopez"/>
    <s v="Mark Lopez"/>
    <s v="m"/>
    <s v="Male"/>
    <n v="37"/>
    <x v="14"/>
    <x v="1"/>
    <x v="8"/>
    <n v="3"/>
    <x v="2"/>
    <n v="20"/>
    <x v="15"/>
    <n v="2.5"/>
    <s v="N"/>
    <x v="0"/>
    <n v="0.62"/>
    <n v="0.62"/>
  </r>
  <r>
    <s v="FL250800"/>
    <s v="Dana Rice"/>
    <s v="Dana Rice"/>
    <s v="FEMALE"/>
    <s v="Female"/>
    <n v="58"/>
    <x v="15"/>
    <x v="12"/>
    <x v="5"/>
    <n v="15"/>
    <x v="0"/>
    <n v="20"/>
    <x v="15"/>
    <n v="3.5"/>
    <m/>
    <x v="1"/>
    <n v="0.98"/>
    <n v="0.98"/>
  </r>
  <r>
    <s v="FL250801"/>
    <s v="Beth Young"/>
    <s v="Beth Young"/>
    <s v="FEMALE"/>
    <s v="Female"/>
    <n v="39"/>
    <x v="20"/>
    <x v="6"/>
    <x v="1"/>
    <n v="15"/>
    <x v="0"/>
    <n v="50"/>
    <x v="2"/>
    <m/>
    <n v="0"/>
    <x v="0"/>
    <n v="0.8"/>
    <n v="0.8"/>
  </r>
  <r>
    <s v="FL250802"/>
    <s v="Ryan Powell"/>
    <s v="Ryan Powell"/>
    <s v="male"/>
    <s v="Male"/>
    <n v="43"/>
    <x v="6"/>
    <x v="5"/>
    <x v="2"/>
    <n v="13"/>
    <x v="0"/>
    <s v="USD 20"/>
    <x v="18"/>
    <n v="1.2"/>
    <s v="Y"/>
    <x v="1"/>
    <n v="69"/>
    <n v="0.69"/>
  </r>
  <r>
    <s v="FL250803"/>
    <s v="Amanda Fowler"/>
    <s v="Amanda Fowler"/>
    <s v="FEMALE"/>
    <s v="Female"/>
    <n v="40"/>
    <x v="20"/>
    <x v="6"/>
    <x v="0"/>
    <n v="20"/>
    <x v="4"/>
    <s v="USD 30"/>
    <x v="13"/>
    <m/>
    <b v="0"/>
    <x v="1"/>
    <n v="90"/>
    <n v="0.9"/>
  </r>
  <r>
    <s v="FL250804"/>
    <s v="Lindsay Rivera"/>
    <s v="Lindsay Rivera"/>
    <s v="f"/>
    <s v="Female"/>
    <n v="51"/>
    <x v="7"/>
    <x v="1"/>
    <x v="9"/>
    <n v="30"/>
    <x v="1"/>
    <n v="75"/>
    <x v="11"/>
    <m/>
    <b v="1"/>
    <x v="2"/>
    <n v="0.74"/>
    <n v="0.74"/>
  </r>
  <r>
    <s v="FL250805"/>
    <s v="Mark Ward"/>
    <s v="Mark Ward"/>
    <s v="male"/>
    <s v="Male"/>
    <n v="23"/>
    <x v="2"/>
    <x v="2"/>
    <x v="4"/>
    <n v="4"/>
    <x v="2"/>
    <n v="50"/>
    <x v="2"/>
    <n v="4.5"/>
    <s v="N"/>
    <x v="0"/>
    <n v="0.98"/>
    <n v="0.98"/>
  </r>
  <r>
    <s v="FL250806"/>
    <s v="Amanda Smith"/>
    <s v="Amanda Smith"/>
    <s v="f"/>
    <s v="Female"/>
    <n v="31"/>
    <x v="4"/>
    <x v="4"/>
    <x v="2"/>
    <m/>
    <x v="2"/>
    <s v="USD 20"/>
    <x v="18"/>
    <m/>
    <s v="Y"/>
    <x v="1"/>
    <n v="0.84"/>
    <n v="0.84"/>
  </r>
  <r>
    <s v="FL250807"/>
    <s v="Emily Brown"/>
    <s v="Emily Brown"/>
    <s v="FEMALE"/>
    <s v="Female"/>
    <n v="44"/>
    <x v="13"/>
    <x v="11"/>
    <x v="3"/>
    <n v="3"/>
    <x v="2"/>
    <s v="$20"/>
    <x v="14"/>
    <n v="5"/>
    <s v="yes"/>
    <x v="1"/>
    <n v="0.75"/>
    <n v="0.75"/>
  </r>
  <r>
    <s v="FL250808"/>
    <s v="Dwayne Cardenas"/>
    <s v="Dwayne Cardenas"/>
    <s v="male"/>
    <s v="Male"/>
    <n v="56"/>
    <x v="2"/>
    <x v="2"/>
    <x v="1"/>
    <n v="23"/>
    <x v="1"/>
    <n v="75"/>
    <x v="11"/>
    <n v="3.9"/>
    <n v="1"/>
    <x v="2"/>
    <m/>
    <m/>
  </r>
  <r>
    <s v="FL250809"/>
    <s v="Dr. Rhonda Hernandez"/>
    <s v=" Rhonda Hernandez"/>
    <s v="FEMALE"/>
    <m/>
    <n v="48"/>
    <x v="1"/>
    <x v="1"/>
    <x v="7"/>
    <n v="5"/>
    <x v="2"/>
    <s v="$100"/>
    <x v="17"/>
    <n v="1.8"/>
    <b v="1"/>
    <x v="1"/>
    <n v="0.97"/>
    <n v="0.97"/>
  </r>
  <r>
    <s v="FL250810"/>
    <s v="Melody Barker"/>
    <s v="Melody Barker"/>
    <s v="f"/>
    <s v="Female"/>
    <n v="46"/>
    <x v="13"/>
    <x v="11"/>
    <x v="3"/>
    <n v="28"/>
    <x v="1"/>
    <n v="30"/>
    <x v="4"/>
    <n v="4.2"/>
    <b v="1"/>
    <x v="2"/>
    <m/>
    <m/>
  </r>
  <r>
    <s v="FL250811"/>
    <s v="Russell Carpenter"/>
    <s v="Russell Carpenter"/>
    <s v="m"/>
    <s v="Male"/>
    <n v="21"/>
    <x v="16"/>
    <x v="13"/>
    <x v="4"/>
    <n v="0"/>
    <x v="2"/>
    <n v="20"/>
    <x v="15"/>
    <n v="2.6"/>
    <s v="no"/>
    <x v="0"/>
    <n v="0.64"/>
    <n v="0.64"/>
  </r>
  <r>
    <s v="FL250812"/>
    <s v="Richard Hill"/>
    <s v="Richard Hill"/>
    <s v="m"/>
    <s v="Male"/>
    <n v="52"/>
    <x v="13"/>
    <x v="11"/>
    <x v="5"/>
    <n v="30"/>
    <x v="1"/>
    <n v="30"/>
    <x v="4"/>
    <n v="2"/>
    <n v="1"/>
    <x v="2"/>
    <n v="0.68"/>
    <n v="0.68"/>
  </r>
  <r>
    <s v="FL250813"/>
    <s v="Lindsay Potts"/>
    <s v="Lindsay Potts"/>
    <s v="f"/>
    <s v="Female"/>
    <n v="39"/>
    <x v="13"/>
    <x v="11"/>
    <x v="2"/>
    <n v="20"/>
    <x v="4"/>
    <s v="$75"/>
    <x v="16"/>
    <n v="2.7"/>
    <n v="1"/>
    <x v="1"/>
    <n v="0.67"/>
    <n v="0.67"/>
  </r>
  <r>
    <s v="FL250814"/>
    <s v="Michelle Campbell"/>
    <s v="Michelle Campbell"/>
    <s v="f"/>
    <s v="Female"/>
    <n v="31"/>
    <x v="1"/>
    <x v="1"/>
    <x v="1"/>
    <n v="0"/>
    <x v="2"/>
    <n v="30"/>
    <x v="4"/>
    <n v="2.2999999999999998"/>
    <s v="no"/>
    <x v="0"/>
    <n v="0.79"/>
    <n v="0.79"/>
  </r>
  <r>
    <s v="FL250815"/>
    <s v="Alan Williams"/>
    <s v="Alan Williams"/>
    <s v="m"/>
    <s v="Male"/>
    <n v="22"/>
    <x v="12"/>
    <x v="10"/>
    <x v="6"/>
    <n v="4"/>
    <x v="2"/>
    <s v="$40"/>
    <x v="3"/>
    <n v="3.8"/>
    <b v="1"/>
    <x v="1"/>
    <n v="1"/>
    <n v="1"/>
  </r>
  <r>
    <s v="FL250816"/>
    <s v="Robin Hinton"/>
    <s v="Robin Hinton"/>
    <s v="f"/>
    <s v="Female"/>
    <n v="38"/>
    <x v="7"/>
    <x v="1"/>
    <x v="6"/>
    <n v="10"/>
    <x v="3"/>
    <n v="40"/>
    <x v="10"/>
    <m/>
    <s v="N"/>
    <x v="0"/>
    <n v="0.66"/>
    <n v="0.66"/>
  </r>
  <r>
    <s v="FL250817"/>
    <s v="Brian Holland"/>
    <s v="Brian Holland"/>
    <s v="male"/>
    <s v="Male"/>
    <n v="44"/>
    <x v="8"/>
    <x v="6"/>
    <x v="2"/>
    <n v="24"/>
    <x v="1"/>
    <s v="USD 75"/>
    <x v="6"/>
    <n v="4.5999999999999996"/>
    <s v="no"/>
    <x v="1"/>
    <n v="0.97"/>
    <n v="0.97"/>
  </r>
  <r>
    <s v="FL250818"/>
    <s v="Adam Stone"/>
    <s v="Adam Stone"/>
    <s v="m"/>
    <s v="Male"/>
    <n v="53"/>
    <x v="4"/>
    <x v="4"/>
    <x v="9"/>
    <n v="21"/>
    <x v="1"/>
    <n v="100"/>
    <x v="0"/>
    <n v="3.4"/>
    <n v="0"/>
    <x v="0"/>
    <n v="0.62"/>
    <n v="0.62"/>
  </r>
  <r>
    <s v="FL250819"/>
    <s v="Curtis Lambert"/>
    <s v="Curtis Lambert"/>
    <s v="male"/>
    <s v="Male"/>
    <n v="22"/>
    <x v="18"/>
    <x v="15"/>
    <x v="5"/>
    <n v="2"/>
    <x v="2"/>
    <s v="USD 20"/>
    <x v="18"/>
    <m/>
    <s v="no"/>
    <x v="1"/>
    <m/>
    <m/>
  </r>
  <r>
    <s v="FL250820"/>
    <s v="Alexandra Sims"/>
    <s v="Alexandra Sims"/>
    <s v="FEMALE"/>
    <s v="Female"/>
    <n v="40"/>
    <x v="10"/>
    <x v="8"/>
    <x v="0"/>
    <n v="14"/>
    <x v="0"/>
    <n v="75"/>
    <x v="11"/>
    <n v="0"/>
    <n v="1"/>
    <x v="2"/>
    <n v="0.79"/>
    <n v="0.79"/>
  </r>
  <r>
    <s v="FL250821"/>
    <s v="Brenda Spencer"/>
    <s v="Brenda Spencer"/>
    <s v="FEMALE"/>
    <s v="Female"/>
    <n v="49"/>
    <x v="18"/>
    <x v="15"/>
    <x v="1"/>
    <n v="15"/>
    <x v="0"/>
    <n v="40"/>
    <x v="10"/>
    <n v="3.9"/>
    <b v="0"/>
    <x v="0"/>
    <n v="0.86"/>
    <n v="0.86"/>
  </r>
  <r>
    <s v="FL250822"/>
    <s v="Joshua Bush"/>
    <s v="Joshua Bush"/>
    <s v="male"/>
    <s v="Male"/>
    <n v="30"/>
    <x v="1"/>
    <x v="1"/>
    <x v="6"/>
    <n v="11"/>
    <x v="0"/>
    <s v="$30"/>
    <x v="5"/>
    <n v="4.2"/>
    <n v="0"/>
    <x v="1"/>
    <n v="0.65"/>
    <n v="0.65"/>
  </r>
  <r>
    <s v="FL250823"/>
    <s v="Erin Martin"/>
    <s v="Erin Martin"/>
    <s v="FEMALE"/>
    <s v="Female"/>
    <n v="37"/>
    <x v="9"/>
    <x v="7"/>
    <x v="4"/>
    <n v="6"/>
    <x v="3"/>
    <n v="20"/>
    <x v="15"/>
    <m/>
    <m/>
    <x v="1"/>
    <n v="0.99"/>
    <n v="0.99"/>
  </r>
  <r>
    <s v="FL250824"/>
    <s v="Alexander Hogan"/>
    <s v="Alexander Hogan"/>
    <s v="male"/>
    <s v="Male"/>
    <n v="21"/>
    <x v="16"/>
    <x v="13"/>
    <x v="2"/>
    <n v="2"/>
    <x v="2"/>
    <n v="100"/>
    <x v="0"/>
    <n v="3.6"/>
    <b v="0"/>
    <x v="0"/>
    <n v="85"/>
    <n v="0.85"/>
  </r>
  <r>
    <s v="FL250825"/>
    <s v="William Harris"/>
    <s v="William Harris"/>
    <s v="male"/>
    <s v="Male"/>
    <n v="20"/>
    <x v="12"/>
    <x v="10"/>
    <x v="4"/>
    <n v="1"/>
    <x v="2"/>
    <s v="USD 50"/>
    <x v="12"/>
    <m/>
    <s v="yes"/>
    <x v="1"/>
    <n v="0.81"/>
    <n v="0.81"/>
  </r>
  <r>
    <s v="FL250826"/>
    <s v="Michael Mcmahon"/>
    <s v="Michael Mcmahon"/>
    <s v="male"/>
    <s v="Male"/>
    <n v="20"/>
    <x v="18"/>
    <x v="15"/>
    <x v="5"/>
    <n v="2"/>
    <x v="2"/>
    <s v="$40"/>
    <x v="3"/>
    <n v="2.1"/>
    <s v="N"/>
    <x v="1"/>
    <n v="0.64"/>
    <n v="0.64"/>
  </r>
  <r>
    <s v="FL250827"/>
    <s v="Michael Watson"/>
    <s v="Michael Watson"/>
    <s v="male"/>
    <s v="Male"/>
    <n v="20"/>
    <x v="8"/>
    <x v="6"/>
    <x v="9"/>
    <n v="2"/>
    <x v="2"/>
    <n v="20"/>
    <x v="15"/>
    <n v="3.9"/>
    <b v="0"/>
    <x v="0"/>
    <n v="0.84"/>
    <n v="0.84"/>
  </r>
  <r>
    <s v="FL250828"/>
    <s v="Lori Perez"/>
    <s v="Lori Perez"/>
    <s v="f"/>
    <s v="Female"/>
    <n v="26"/>
    <x v="13"/>
    <x v="11"/>
    <x v="9"/>
    <n v="2"/>
    <x v="2"/>
    <n v="40"/>
    <x v="10"/>
    <n v="0"/>
    <m/>
    <x v="1"/>
    <n v="0.66"/>
    <n v="0.66"/>
  </r>
  <r>
    <s v="FL250829"/>
    <s v="Lindsay Le"/>
    <s v="Lindsay Le"/>
    <s v="FEMALE"/>
    <s v="Female"/>
    <n v="50"/>
    <x v="12"/>
    <x v="10"/>
    <x v="3"/>
    <n v="12"/>
    <x v="0"/>
    <s v="$75"/>
    <x v="16"/>
    <n v="0"/>
    <b v="0"/>
    <x v="1"/>
    <n v="75"/>
    <n v="0.75"/>
  </r>
  <r>
    <s v="FL250830"/>
    <s v="Scott Long"/>
    <s v="Scott Long"/>
    <s v="male"/>
    <s v="Male"/>
    <n v="50"/>
    <x v="20"/>
    <x v="6"/>
    <x v="4"/>
    <n v="28"/>
    <x v="1"/>
    <n v="30"/>
    <x v="4"/>
    <n v="1.8"/>
    <m/>
    <x v="1"/>
    <m/>
    <m/>
  </r>
  <r>
    <s v="FL250831"/>
    <s v="Diana Ferguson"/>
    <s v="Diana Ferguson"/>
    <s v="FEMALE"/>
    <s v="Female"/>
    <n v="54"/>
    <x v="4"/>
    <x v="4"/>
    <x v="4"/>
    <n v="4"/>
    <x v="2"/>
    <n v="20"/>
    <x v="15"/>
    <n v="1.1000000000000001"/>
    <n v="1"/>
    <x v="2"/>
    <n v="0.63"/>
    <n v="0.63"/>
  </r>
  <r>
    <s v="FL250832"/>
    <s v="Joseph Miller"/>
    <s v="Joseph Miller"/>
    <s v="male"/>
    <s v="Male"/>
    <n v="54"/>
    <x v="20"/>
    <x v="6"/>
    <x v="0"/>
    <n v="3"/>
    <x v="2"/>
    <n v="20"/>
    <x v="15"/>
    <n v="1.6"/>
    <s v="Y"/>
    <x v="2"/>
    <n v="0.7"/>
    <n v="0.7"/>
  </r>
  <r>
    <s v="FL250833"/>
    <s v="Julia Reid"/>
    <s v="Julia Reid"/>
    <s v="FEMALE"/>
    <s v="Female"/>
    <n v="34"/>
    <x v="16"/>
    <x v="13"/>
    <x v="9"/>
    <n v="4"/>
    <x v="2"/>
    <s v="$30"/>
    <x v="5"/>
    <n v="3.1"/>
    <m/>
    <x v="1"/>
    <n v="0.9"/>
    <n v="0.9"/>
  </r>
  <r>
    <s v="FL250834"/>
    <s v="Samantha Matthews"/>
    <s v="Samantha Matthews"/>
    <s v="FEMALE"/>
    <s v="Female"/>
    <n v="20"/>
    <x v="0"/>
    <x v="0"/>
    <x v="8"/>
    <n v="1"/>
    <x v="2"/>
    <n v="50"/>
    <x v="2"/>
    <n v="3.4"/>
    <n v="1"/>
    <x v="2"/>
    <n v="79"/>
    <n v="0.79"/>
  </r>
  <r>
    <s v="FL250835"/>
    <s v="Brian Bailey"/>
    <s v="Brian Bailey"/>
    <s v="male"/>
    <s v="Male"/>
    <n v="29"/>
    <x v="2"/>
    <x v="2"/>
    <x v="4"/>
    <n v="8"/>
    <x v="3"/>
    <n v="40"/>
    <x v="10"/>
    <n v="3.1"/>
    <s v="N"/>
    <x v="0"/>
    <n v="0.6"/>
    <n v="0.6"/>
  </r>
  <r>
    <s v="FL250836"/>
    <s v="Toni Hinton"/>
    <s v="Toni Hinton"/>
    <s v="FEMALE"/>
    <s v="Female"/>
    <n v="57"/>
    <x v="7"/>
    <x v="1"/>
    <x v="8"/>
    <n v="11"/>
    <x v="0"/>
    <s v="USD 75"/>
    <x v="6"/>
    <n v="2.2999999999999998"/>
    <n v="0"/>
    <x v="1"/>
    <m/>
    <m/>
  </r>
  <r>
    <s v="FL250837"/>
    <s v="Robin Ortiz"/>
    <s v="Robin Ortiz"/>
    <s v="f"/>
    <s v="Female"/>
    <n v="36"/>
    <x v="3"/>
    <x v="3"/>
    <x v="4"/>
    <n v="8"/>
    <x v="3"/>
    <s v="USD 40"/>
    <x v="7"/>
    <m/>
    <s v="N"/>
    <x v="1"/>
    <n v="0.8"/>
    <n v="0.8"/>
  </r>
  <r>
    <s v="FL250838"/>
    <s v="Adam Griffith"/>
    <s v="Adam Griffith"/>
    <s v="male"/>
    <s v="Male"/>
    <n v="51"/>
    <x v="12"/>
    <x v="10"/>
    <x v="3"/>
    <n v="32"/>
    <x v="1"/>
    <s v="$50"/>
    <x v="9"/>
    <n v="3.2"/>
    <n v="0"/>
    <x v="1"/>
    <n v="88"/>
    <n v="0.88"/>
  </r>
  <r>
    <s v="FL250839"/>
    <s v="Daniel Roberson"/>
    <s v="Daniel Roberson"/>
    <s v="m"/>
    <s v="Male"/>
    <n v="44"/>
    <x v="10"/>
    <x v="8"/>
    <x v="6"/>
    <n v="4"/>
    <x v="2"/>
    <s v="USD 30"/>
    <x v="13"/>
    <n v="0"/>
    <s v="N"/>
    <x v="1"/>
    <n v="0.8"/>
    <n v="0.8"/>
  </r>
  <r>
    <s v="FL250840"/>
    <s v="Dale Haynes"/>
    <s v="Dale Haynes"/>
    <s v="male"/>
    <s v="Male"/>
    <n v="58"/>
    <x v="20"/>
    <x v="6"/>
    <x v="7"/>
    <n v="33"/>
    <x v="1"/>
    <n v="30"/>
    <x v="4"/>
    <n v="3.3"/>
    <s v="Y"/>
    <x v="2"/>
    <n v="0.71"/>
    <n v="0.71"/>
  </r>
  <r>
    <s v="FL250841"/>
    <s v="Emily Scott"/>
    <s v="Emily Scott"/>
    <s v="f"/>
    <s v="Female"/>
    <n v="38"/>
    <x v="17"/>
    <x v="14"/>
    <x v="1"/>
    <n v="14"/>
    <x v="0"/>
    <m/>
    <x v="8"/>
    <n v="1.1000000000000001"/>
    <n v="1"/>
    <x v="1"/>
    <n v="0.76"/>
    <n v="0.76"/>
  </r>
  <r>
    <s v="FL250842"/>
    <s v="David Brown"/>
    <s v="David Brown"/>
    <s v="m"/>
    <s v="Male"/>
    <n v="24"/>
    <x v="5"/>
    <x v="1"/>
    <x v="6"/>
    <n v="6"/>
    <x v="3"/>
    <s v="USD 30"/>
    <x v="13"/>
    <n v="4.5999999999999996"/>
    <n v="1"/>
    <x v="1"/>
    <n v="0.93"/>
    <n v="0.93"/>
  </r>
  <r>
    <s v="FL250843"/>
    <s v="Stephanie Guzman"/>
    <s v="Stephanie Guzman"/>
    <s v="f"/>
    <s v="Female"/>
    <n v="30"/>
    <x v="6"/>
    <x v="5"/>
    <x v="0"/>
    <n v="5"/>
    <x v="2"/>
    <s v="USD 30"/>
    <x v="13"/>
    <m/>
    <n v="0"/>
    <x v="1"/>
    <m/>
    <m/>
  </r>
  <r>
    <s v="FL250844"/>
    <s v="Maxwell Johnson"/>
    <s v="Maxwell Johnson"/>
    <s v="male"/>
    <s v="Male"/>
    <n v="25"/>
    <x v="4"/>
    <x v="4"/>
    <x v="7"/>
    <n v="3"/>
    <x v="2"/>
    <n v="75"/>
    <x v="11"/>
    <m/>
    <n v="0"/>
    <x v="0"/>
    <n v="0.83"/>
    <n v="0.83"/>
  </r>
  <r>
    <s v="FL250845"/>
    <s v="Reginald Stephens"/>
    <s v="Reginald Stephens"/>
    <s v="m"/>
    <s v="Male"/>
    <n v="54"/>
    <x v="4"/>
    <x v="4"/>
    <x v="1"/>
    <n v="17"/>
    <x v="4"/>
    <s v="$100"/>
    <x v="17"/>
    <n v="0"/>
    <n v="0"/>
    <x v="1"/>
    <n v="0.71"/>
    <n v="0.71"/>
  </r>
  <r>
    <s v="FL250846"/>
    <s v="Justin Jones"/>
    <s v="Justin Jones"/>
    <s v="male"/>
    <s v="Male"/>
    <n v="54"/>
    <x v="0"/>
    <x v="0"/>
    <x v="7"/>
    <n v="9"/>
    <x v="3"/>
    <s v="USD 20"/>
    <x v="18"/>
    <n v="0"/>
    <s v="yes"/>
    <x v="1"/>
    <n v="0.96"/>
    <n v="0.96"/>
  </r>
  <r>
    <s v="FL250847"/>
    <s v="Kristine Garcia"/>
    <s v="Kristine Garcia"/>
    <s v="f"/>
    <s v="Female"/>
    <n v="53"/>
    <x v="15"/>
    <x v="12"/>
    <x v="2"/>
    <n v="16"/>
    <x v="4"/>
    <n v="40"/>
    <x v="10"/>
    <n v="0"/>
    <s v="no"/>
    <x v="0"/>
    <m/>
    <m/>
  </r>
  <r>
    <s v="FL250848"/>
    <s v="John Nguyen"/>
    <s v="John Nguyen"/>
    <s v="male"/>
    <s v="Male"/>
    <n v="22"/>
    <x v="13"/>
    <x v="11"/>
    <x v="4"/>
    <n v="3"/>
    <x v="2"/>
    <n v="75"/>
    <x v="11"/>
    <n v="3.4"/>
    <s v="Y"/>
    <x v="2"/>
    <n v="0.65"/>
    <n v="0.65"/>
  </r>
  <r>
    <s v="FL250849"/>
    <s v="Anna Fleming"/>
    <s v="Anna Fleming"/>
    <s v="FEMALE"/>
    <s v="Female"/>
    <n v="23"/>
    <x v="19"/>
    <x v="6"/>
    <x v="5"/>
    <n v="2"/>
    <x v="2"/>
    <s v="USD 20"/>
    <x v="18"/>
    <n v="1.3"/>
    <s v="N"/>
    <x v="1"/>
    <m/>
    <m/>
  </r>
  <r>
    <s v="FL250850"/>
    <s v="Linda Williamson"/>
    <s v="Linda Williamson"/>
    <s v="FEMALE"/>
    <s v="Female"/>
    <n v="47"/>
    <x v="15"/>
    <x v="12"/>
    <x v="7"/>
    <n v="16"/>
    <x v="4"/>
    <n v="50"/>
    <x v="2"/>
    <n v="1.9"/>
    <n v="0"/>
    <x v="0"/>
    <n v="0.71"/>
    <n v="0.71"/>
  </r>
  <r>
    <s v="FL250851"/>
    <s v="Roy Wilson"/>
    <s v="Roy Wilson"/>
    <s v="male"/>
    <s v="Male"/>
    <n v="24"/>
    <x v="15"/>
    <x v="12"/>
    <x v="3"/>
    <n v="6"/>
    <x v="3"/>
    <n v="50"/>
    <x v="2"/>
    <n v="1.4"/>
    <s v="Y"/>
    <x v="2"/>
    <n v="63"/>
    <n v="0.63"/>
  </r>
  <r>
    <s v="FL250852"/>
    <s v="Jennifer Pierce"/>
    <s v="Jennifer Pierce"/>
    <s v="f"/>
    <s v="Female"/>
    <n v="57"/>
    <x v="10"/>
    <x v="8"/>
    <x v="6"/>
    <n v="10"/>
    <x v="3"/>
    <s v="$100"/>
    <x v="17"/>
    <n v="4.3"/>
    <b v="0"/>
    <x v="1"/>
    <m/>
    <m/>
  </r>
  <r>
    <s v="FL250853"/>
    <s v="Jason Johnson"/>
    <s v="Jason Johnson"/>
    <s v="male"/>
    <s v="Male"/>
    <n v="48"/>
    <x v="20"/>
    <x v="6"/>
    <x v="2"/>
    <n v="16"/>
    <x v="4"/>
    <s v="$30"/>
    <x v="5"/>
    <m/>
    <s v="no"/>
    <x v="1"/>
    <n v="0.97"/>
    <n v="0.97"/>
  </r>
  <r>
    <s v="FL250854"/>
    <s v="Jasmine Lane"/>
    <s v="Jasmine Lane"/>
    <s v="FEMALE"/>
    <s v="Female"/>
    <n v="21"/>
    <x v="6"/>
    <x v="5"/>
    <x v="6"/>
    <n v="0"/>
    <x v="2"/>
    <s v="$100"/>
    <x v="17"/>
    <n v="4.3"/>
    <n v="0"/>
    <x v="1"/>
    <m/>
    <m/>
  </r>
  <r>
    <s v="FL250855"/>
    <s v="Evan Soto"/>
    <s v="Evan Soto"/>
    <s v="m"/>
    <s v="Male"/>
    <n v="33"/>
    <x v="9"/>
    <x v="7"/>
    <x v="4"/>
    <n v="13"/>
    <x v="0"/>
    <s v="USD 75"/>
    <x v="6"/>
    <n v="0"/>
    <b v="1"/>
    <x v="1"/>
    <m/>
    <m/>
  </r>
  <r>
    <s v="FL250856"/>
    <s v="Kevin Serrano"/>
    <s v="Kevin Serrano"/>
    <s v="male"/>
    <s v="Male"/>
    <n v="41"/>
    <x v="6"/>
    <x v="5"/>
    <x v="8"/>
    <n v="12"/>
    <x v="0"/>
    <m/>
    <x v="8"/>
    <n v="1.3"/>
    <n v="0"/>
    <x v="1"/>
    <n v="0.85"/>
    <n v="0.85"/>
  </r>
  <r>
    <s v="FL250857"/>
    <s v="Nathaniel Benson"/>
    <s v="Nathaniel Benson"/>
    <s v="male"/>
    <s v="Male"/>
    <n v="40"/>
    <x v="1"/>
    <x v="1"/>
    <x v="7"/>
    <n v="13"/>
    <x v="0"/>
    <s v="USD 50"/>
    <x v="12"/>
    <n v="2.9"/>
    <s v="no"/>
    <x v="1"/>
    <n v="0.82"/>
    <n v="0.82"/>
  </r>
  <r>
    <s v="FL250858"/>
    <s v="Deanna Miles"/>
    <s v="Deanna Miles"/>
    <s v="f"/>
    <s v="Female"/>
    <n v="40"/>
    <x v="19"/>
    <x v="6"/>
    <x v="2"/>
    <n v="22"/>
    <x v="1"/>
    <s v="USD 40"/>
    <x v="7"/>
    <n v="4.3"/>
    <n v="0"/>
    <x v="1"/>
    <n v="0.95"/>
    <n v="0.95"/>
  </r>
  <r>
    <s v="FL250859"/>
    <s v="Beverly Roy"/>
    <s v="Beverly Roy"/>
    <s v="FEMALE"/>
    <s v="Female"/>
    <n v="20"/>
    <x v="5"/>
    <x v="1"/>
    <x v="2"/>
    <n v="1"/>
    <x v="2"/>
    <m/>
    <x v="8"/>
    <n v="2.7"/>
    <n v="0"/>
    <x v="1"/>
    <n v="94"/>
    <n v="0.94"/>
  </r>
  <r>
    <s v="FL250860"/>
    <s v="Heather Saunders"/>
    <s v="Heather Saunders"/>
    <s v="f"/>
    <s v="Female"/>
    <n v="42"/>
    <x v="19"/>
    <x v="6"/>
    <x v="3"/>
    <m/>
    <x v="2"/>
    <s v="$50"/>
    <x v="9"/>
    <n v="4.2"/>
    <m/>
    <x v="1"/>
    <n v="0.96"/>
    <n v="0.96"/>
  </r>
  <r>
    <s v="FL250861"/>
    <s v="Nicholas Guerrero"/>
    <s v="Nicholas Guerrero"/>
    <s v="m"/>
    <s v="Male"/>
    <n v="32"/>
    <x v="14"/>
    <x v="1"/>
    <x v="0"/>
    <n v="12"/>
    <x v="0"/>
    <n v="40"/>
    <x v="10"/>
    <n v="0"/>
    <s v="yes"/>
    <x v="2"/>
    <n v="0.63"/>
    <n v="0.63"/>
  </r>
  <r>
    <s v="FL250862"/>
    <s v="Christopher Johnson"/>
    <s v="Christopher Johnson"/>
    <s v="male"/>
    <s v="Male"/>
    <n v="60"/>
    <x v="9"/>
    <x v="7"/>
    <x v="4"/>
    <m/>
    <x v="2"/>
    <n v="20"/>
    <x v="15"/>
    <n v="2.2000000000000002"/>
    <b v="0"/>
    <x v="0"/>
    <n v="0.6"/>
    <n v="0.6"/>
  </r>
  <r>
    <s v="FL250863"/>
    <s v="Steven Flowers"/>
    <s v="Steven Flowers"/>
    <s v="m"/>
    <s v="Male"/>
    <n v="46"/>
    <x v="16"/>
    <x v="13"/>
    <x v="9"/>
    <n v="12"/>
    <x v="0"/>
    <n v="50"/>
    <x v="2"/>
    <n v="4.7"/>
    <s v="yes"/>
    <x v="2"/>
    <n v="0.77"/>
    <n v="0.77"/>
  </r>
  <r>
    <s v="FL250864"/>
    <s v="Marvin Woods III"/>
    <s v="Marvin Woods III"/>
    <s v="male"/>
    <s v="Male"/>
    <n v="29"/>
    <x v="18"/>
    <x v="15"/>
    <x v="8"/>
    <n v="0"/>
    <x v="2"/>
    <n v="30"/>
    <x v="4"/>
    <n v="0"/>
    <n v="0"/>
    <x v="0"/>
    <n v="0.63"/>
    <n v="0.63"/>
  </r>
  <r>
    <s v="FL250865"/>
    <s v="Michelle Cook"/>
    <s v="Michelle Cook"/>
    <s v="FEMALE"/>
    <s v="Female"/>
    <n v="39"/>
    <x v="11"/>
    <x v="9"/>
    <x v="1"/>
    <n v="18"/>
    <x v="4"/>
    <n v="20"/>
    <x v="15"/>
    <n v="2.5"/>
    <s v="yes"/>
    <x v="2"/>
    <n v="0.61"/>
    <n v="0.61"/>
  </r>
  <r>
    <s v="FL250866"/>
    <s v="Logan Zamora"/>
    <s v="Logan Zamora"/>
    <s v="male"/>
    <s v="Male"/>
    <n v="55"/>
    <x v="13"/>
    <x v="11"/>
    <x v="1"/>
    <n v="2"/>
    <x v="2"/>
    <s v="$50"/>
    <x v="9"/>
    <n v="3.9"/>
    <s v="yes"/>
    <x v="1"/>
    <n v="0.88"/>
    <n v="0.88"/>
  </r>
  <r>
    <s v="FL250867"/>
    <s v="Casey Roberts"/>
    <s v="Casey Roberts"/>
    <s v="m"/>
    <s v="Male"/>
    <n v="55"/>
    <x v="6"/>
    <x v="5"/>
    <x v="7"/>
    <m/>
    <x v="2"/>
    <s v="USD 100"/>
    <x v="1"/>
    <n v="1.2"/>
    <n v="1"/>
    <x v="1"/>
    <n v="0.69"/>
    <n v="0.69"/>
  </r>
  <r>
    <s v="FL250868"/>
    <s v="Jerry Price"/>
    <s v="Jerry Price"/>
    <s v="male"/>
    <s v="Male"/>
    <n v="40"/>
    <x v="4"/>
    <x v="4"/>
    <x v="5"/>
    <n v="2"/>
    <x v="2"/>
    <n v="75"/>
    <x v="11"/>
    <n v="4.5"/>
    <s v="yes"/>
    <x v="2"/>
    <m/>
    <m/>
  </r>
  <r>
    <s v="FL250869"/>
    <s v="Kelly Ellis"/>
    <s v="Kelly Ellis"/>
    <s v="f"/>
    <s v="Female"/>
    <n v="56"/>
    <x v="18"/>
    <x v="15"/>
    <x v="6"/>
    <n v="35"/>
    <x v="1"/>
    <s v="$40"/>
    <x v="3"/>
    <n v="2.7"/>
    <b v="1"/>
    <x v="1"/>
    <n v="0.82"/>
    <n v="0.82"/>
  </r>
  <r>
    <s v="FL250870"/>
    <s v="Caleb Guerra"/>
    <s v="Caleb Guerra"/>
    <s v="male"/>
    <s v="Male"/>
    <n v="57"/>
    <x v="19"/>
    <x v="6"/>
    <x v="1"/>
    <n v="21"/>
    <x v="1"/>
    <n v="75"/>
    <x v="11"/>
    <n v="2"/>
    <s v="N"/>
    <x v="0"/>
    <n v="0.96"/>
    <n v="0.96"/>
  </r>
  <r>
    <s v="FL250871"/>
    <s v="Samantha Norman"/>
    <s v="Samantha Norman"/>
    <s v="f"/>
    <s v="Female"/>
    <n v="56"/>
    <x v="13"/>
    <x v="11"/>
    <x v="8"/>
    <n v="3"/>
    <x v="2"/>
    <s v="$40"/>
    <x v="3"/>
    <n v="1.7"/>
    <s v="N"/>
    <x v="1"/>
    <n v="0.71"/>
    <n v="0.71"/>
  </r>
  <r>
    <s v="FL250872"/>
    <s v="Sarah Clarke"/>
    <s v="Sarah Clarke"/>
    <s v="f"/>
    <s v="Female"/>
    <n v="49"/>
    <x v="2"/>
    <x v="2"/>
    <x v="1"/>
    <n v="24"/>
    <x v="1"/>
    <s v="$75"/>
    <x v="16"/>
    <n v="3"/>
    <n v="1"/>
    <x v="1"/>
    <n v="0.77"/>
    <n v="0.77"/>
  </r>
  <r>
    <s v="FL250873"/>
    <s v="Aaron Blair"/>
    <s v="Aaron Blair"/>
    <s v="male"/>
    <s v="Male"/>
    <n v="26"/>
    <x v="20"/>
    <x v="6"/>
    <x v="0"/>
    <m/>
    <x v="2"/>
    <s v="$75"/>
    <x v="16"/>
    <n v="2.1"/>
    <s v="yes"/>
    <x v="1"/>
    <m/>
    <m/>
  </r>
  <r>
    <s v="FL250874"/>
    <s v="Courtney Burton"/>
    <s v="Courtney Burton"/>
    <s v="FEMALE"/>
    <s v="Female"/>
    <n v="36"/>
    <x v="12"/>
    <x v="10"/>
    <x v="6"/>
    <n v="0"/>
    <x v="2"/>
    <n v="75"/>
    <x v="11"/>
    <n v="1.5"/>
    <m/>
    <x v="1"/>
    <n v="0.73"/>
    <n v="0.73"/>
  </r>
  <r>
    <s v="FL250875"/>
    <s v="Gerald Taylor"/>
    <s v="Gerald Taylor"/>
    <s v="m"/>
    <s v="Male"/>
    <n v="20"/>
    <x v="13"/>
    <x v="11"/>
    <x v="3"/>
    <n v="2"/>
    <x v="2"/>
    <s v="USD 30"/>
    <x v="13"/>
    <n v="1.7"/>
    <b v="1"/>
    <x v="1"/>
    <n v="0.6"/>
    <n v="0.6"/>
  </r>
  <r>
    <s v="FL250876"/>
    <s v="Mary Ward"/>
    <s v="Mary Ward"/>
    <s v="f"/>
    <s v="Female"/>
    <n v="40"/>
    <x v="20"/>
    <x v="6"/>
    <x v="4"/>
    <m/>
    <x v="2"/>
    <m/>
    <x v="8"/>
    <n v="1.2"/>
    <n v="1"/>
    <x v="1"/>
    <n v="0.67"/>
    <n v="0.67"/>
  </r>
  <r>
    <s v="FL250877"/>
    <s v="Mrs. Lisa Beard DVM"/>
    <s v=" Lisa Beard DVM"/>
    <s v="FEMALE"/>
    <m/>
    <n v="30"/>
    <x v="10"/>
    <x v="8"/>
    <x v="1"/>
    <n v="6"/>
    <x v="3"/>
    <n v="75"/>
    <x v="11"/>
    <n v="0"/>
    <b v="0"/>
    <x v="0"/>
    <n v="0.8"/>
    <n v="0.8"/>
  </r>
  <r>
    <s v="FL250878"/>
    <s v="Larry Wallace"/>
    <s v="Larry Wallace"/>
    <s v="male"/>
    <s v="Male"/>
    <n v="51"/>
    <x v="1"/>
    <x v="1"/>
    <x v="2"/>
    <n v="21"/>
    <x v="1"/>
    <n v="20"/>
    <x v="15"/>
    <m/>
    <s v="Y"/>
    <x v="2"/>
    <m/>
    <m/>
  </r>
  <r>
    <s v="FL250879"/>
    <s v="Jeremiah Thompson"/>
    <s v="Jeremiah Thompson"/>
    <s v="male"/>
    <s v="Male"/>
    <n v="46"/>
    <x v="5"/>
    <x v="1"/>
    <x v="6"/>
    <n v="24"/>
    <x v="1"/>
    <n v="40"/>
    <x v="10"/>
    <n v="3.3"/>
    <n v="1"/>
    <x v="2"/>
    <n v="0.87"/>
    <n v="0.87"/>
  </r>
  <r>
    <s v="FL250880"/>
    <s v="Mrs. Jessica Williams DVM"/>
    <s v=" Jessica Williams DVM"/>
    <s v="FEMALE"/>
    <m/>
    <n v="25"/>
    <x v="12"/>
    <x v="10"/>
    <x v="4"/>
    <n v="6"/>
    <x v="3"/>
    <n v="20"/>
    <x v="15"/>
    <n v="2.1"/>
    <s v="no"/>
    <x v="0"/>
    <m/>
    <m/>
  </r>
  <r>
    <s v="FL250881"/>
    <s v="Martin Moreno"/>
    <s v="Martin Moreno"/>
    <s v="male"/>
    <s v="Male"/>
    <n v="53"/>
    <x v="3"/>
    <x v="3"/>
    <x v="3"/>
    <n v="32"/>
    <x v="1"/>
    <n v="50"/>
    <x v="2"/>
    <m/>
    <n v="1"/>
    <x v="2"/>
    <m/>
    <m/>
  </r>
  <r>
    <s v="FL250882"/>
    <s v="Yolanda Proctor"/>
    <s v="Yolanda Proctor"/>
    <s v="FEMALE"/>
    <s v="Female"/>
    <n v="50"/>
    <x v="16"/>
    <x v="13"/>
    <x v="1"/>
    <n v="31"/>
    <x v="1"/>
    <s v="USD 100"/>
    <x v="1"/>
    <n v="2.9"/>
    <s v="Y"/>
    <x v="1"/>
    <n v="0.89"/>
    <n v="0.89"/>
  </r>
  <r>
    <s v="FL250883"/>
    <s v="Allen Turner"/>
    <s v="Allen Turner"/>
    <s v="male"/>
    <s v="Male"/>
    <n v="45"/>
    <x v="12"/>
    <x v="10"/>
    <x v="4"/>
    <m/>
    <x v="2"/>
    <s v="USD 20"/>
    <x v="18"/>
    <n v="3.3"/>
    <b v="1"/>
    <x v="1"/>
    <n v="0.93"/>
    <n v="0.93"/>
  </r>
  <r>
    <s v="FL250884"/>
    <s v="Beth Huff"/>
    <s v="Beth Huff"/>
    <s v="f"/>
    <s v="Female"/>
    <n v="48"/>
    <x v="14"/>
    <x v="1"/>
    <x v="7"/>
    <n v="24"/>
    <x v="1"/>
    <n v="100"/>
    <x v="0"/>
    <n v="4.8"/>
    <n v="1"/>
    <x v="2"/>
    <n v="0.84"/>
    <n v="0.84"/>
  </r>
  <r>
    <s v="FL250885"/>
    <s v="John Mckinney"/>
    <s v="John Mckinney"/>
    <s v="male"/>
    <s v="Male"/>
    <n v="30"/>
    <x v="4"/>
    <x v="4"/>
    <x v="8"/>
    <m/>
    <x v="2"/>
    <s v="$100"/>
    <x v="17"/>
    <n v="4.5"/>
    <m/>
    <x v="1"/>
    <n v="0.78"/>
    <n v="0.78"/>
  </r>
  <r>
    <s v="FL250886"/>
    <s v="Sarah Ho"/>
    <s v="Sarah Ho"/>
    <s v="f"/>
    <s v="Female"/>
    <n v="33"/>
    <x v="3"/>
    <x v="3"/>
    <x v="6"/>
    <n v="6"/>
    <x v="3"/>
    <s v="$50"/>
    <x v="9"/>
    <n v="3.1"/>
    <s v="no"/>
    <x v="1"/>
    <n v="0.9"/>
    <n v="0.9"/>
  </r>
  <r>
    <s v="FL250887"/>
    <s v="Lindsey Wang"/>
    <s v="Lindsey Wang"/>
    <s v="f"/>
    <s v="Female"/>
    <n v="50"/>
    <x v="7"/>
    <x v="1"/>
    <x v="8"/>
    <n v="11"/>
    <x v="0"/>
    <m/>
    <x v="8"/>
    <n v="4.9000000000000004"/>
    <n v="1"/>
    <x v="1"/>
    <n v="0.88"/>
    <n v="0.88"/>
  </r>
  <r>
    <s v="FL250888"/>
    <s v="Margaret Schwartz"/>
    <s v="Margaret Schwartz"/>
    <s v="FEMALE"/>
    <s v="Female"/>
    <n v="24"/>
    <x v="4"/>
    <x v="4"/>
    <x v="5"/>
    <m/>
    <x v="2"/>
    <s v="$20"/>
    <x v="14"/>
    <n v="0"/>
    <n v="0"/>
    <x v="1"/>
    <n v="0.76"/>
    <n v="0.76"/>
  </r>
  <r>
    <s v="FL250889"/>
    <s v="Kyle Ray"/>
    <s v="Kyle Ray"/>
    <s v="male"/>
    <s v="Male"/>
    <n v="38"/>
    <x v="0"/>
    <x v="0"/>
    <x v="3"/>
    <n v="14"/>
    <x v="0"/>
    <n v="75"/>
    <x v="11"/>
    <n v="1.5"/>
    <s v="N"/>
    <x v="0"/>
    <n v="0.62"/>
    <n v="0.62"/>
  </r>
  <r>
    <s v="FL250890"/>
    <s v="Isaac Hebert"/>
    <s v="Isaac Hebert"/>
    <s v="male"/>
    <s v="Male"/>
    <n v="56"/>
    <x v="9"/>
    <x v="7"/>
    <x v="8"/>
    <n v="2"/>
    <x v="2"/>
    <s v="$75"/>
    <x v="16"/>
    <n v="2.4"/>
    <s v="N"/>
    <x v="1"/>
    <m/>
    <m/>
  </r>
  <r>
    <s v="FL250891"/>
    <s v="Michele Jones"/>
    <s v="Michele Jones"/>
    <s v="f"/>
    <s v="Female"/>
    <n v="41"/>
    <x v="13"/>
    <x v="11"/>
    <x v="8"/>
    <n v="2"/>
    <x v="2"/>
    <s v="USD 100"/>
    <x v="1"/>
    <n v="4.5"/>
    <s v="N"/>
    <x v="1"/>
    <n v="75"/>
    <n v="0.75"/>
  </r>
  <r>
    <s v="FL250892"/>
    <s v="Austin Allen"/>
    <s v="Austin Allen"/>
    <s v="male"/>
    <s v="Male"/>
    <m/>
    <x v="0"/>
    <x v="0"/>
    <x v="6"/>
    <n v="11"/>
    <x v="0"/>
    <s v="USD 100"/>
    <x v="1"/>
    <n v="2.5"/>
    <s v="yes"/>
    <x v="1"/>
    <n v="80"/>
    <n v="0.8"/>
  </r>
  <r>
    <s v="FL250893"/>
    <s v="Haley Castro"/>
    <s v="Haley Castro"/>
    <s v="f"/>
    <s v="Female"/>
    <n v="42"/>
    <x v="2"/>
    <x v="2"/>
    <x v="2"/>
    <n v="13"/>
    <x v="0"/>
    <n v="30"/>
    <x v="4"/>
    <n v="3.3"/>
    <m/>
    <x v="1"/>
    <n v="0.63"/>
    <n v="0.63"/>
  </r>
  <r>
    <s v="FL250894"/>
    <s v="David Armstrong"/>
    <s v="David Armstrong"/>
    <s v="male"/>
    <s v="Male"/>
    <n v="26"/>
    <x v="10"/>
    <x v="8"/>
    <x v="0"/>
    <n v="7"/>
    <x v="3"/>
    <n v="75"/>
    <x v="11"/>
    <n v="3"/>
    <m/>
    <x v="1"/>
    <n v="0.84"/>
    <n v="0.84"/>
  </r>
  <r>
    <s v="FL250895"/>
    <s v="Wendy Mitchell"/>
    <s v="Wendy Mitchell"/>
    <s v="f"/>
    <s v="Female"/>
    <n v="44"/>
    <x v="14"/>
    <x v="1"/>
    <x v="7"/>
    <n v="25"/>
    <x v="1"/>
    <n v="75"/>
    <x v="11"/>
    <n v="2.7"/>
    <n v="1"/>
    <x v="2"/>
    <n v="78"/>
    <n v="0.78"/>
  </r>
  <r>
    <s v="FL250896"/>
    <s v="Anthony Hernandez"/>
    <s v="Anthony Hernandez"/>
    <s v="male"/>
    <s v="Male"/>
    <n v="46"/>
    <x v="14"/>
    <x v="1"/>
    <x v="2"/>
    <n v="20"/>
    <x v="4"/>
    <s v="$20"/>
    <x v="14"/>
    <n v="1.2"/>
    <b v="0"/>
    <x v="1"/>
    <n v="0.74"/>
    <n v="0.74"/>
  </r>
  <r>
    <s v="FL250897"/>
    <s v="Erica Johnson"/>
    <s v="Erica Johnson"/>
    <s v="FEMALE"/>
    <s v="Female"/>
    <n v="36"/>
    <x v="5"/>
    <x v="1"/>
    <x v="6"/>
    <n v="8"/>
    <x v="3"/>
    <n v="50"/>
    <x v="2"/>
    <n v="4.3"/>
    <n v="0"/>
    <x v="0"/>
    <n v="0.9"/>
    <n v="0.9"/>
  </r>
  <r>
    <s v="FL250898"/>
    <s v="Randall Barrett"/>
    <s v="Randall Barrett"/>
    <s v="male"/>
    <s v="Male"/>
    <n v="26"/>
    <x v="3"/>
    <x v="3"/>
    <x v="4"/>
    <n v="6"/>
    <x v="3"/>
    <s v="$40"/>
    <x v="3"/>
    <n v="1.3"/>
    <n v="0"/>
    <x v="1"/>
    <m/>
    <m/>
  </r>
  <r>
    <s v="FL250899"/>
    <s v="Nathan Huff"/>
    <s v="Nathan Huff"/>
    <s v="male"/>
    <s v="Male"/>
    <n v="21"/>
    <x v="2"/>
    <x v="2"/>
    <x v="6"/>
    <n v="3"/>
    <x v="2"/>
    <n v="50"/>
    <x v="2"/>
    <n v="4.5999999999999996"/>
    <s v="Y"/>
    <x v="2"/>
    <m/>
    <m/>
  </r>
  <r>
    <s v="FL250900"/>
    <s v="Robin Walsh"/>
    <s v="Robin Walsh"/>
    <s v="f"/>
    <s v="Female"/>
    <n v="39"/>
    <x v="4"/>
    <x v="4"/>
    <x v="6"/>
    <n v="18"/>
    <x v="4"/>
    <n v="50"/>
    <x v="2"/>
    <n v="2.1"/>
    <n v="0"/>
    <x v="0"/>
    <n v="75"/>
    <n v="0.75"/>
  </r>
  <r>
    <s v="FL250901"/>
    <s v="Yvonne Robinson"/>
    <s v="Yvonne Robinson"/>
    <s v="FEMALE"/>
    <s v="Female"/>
    <n v="37"/>
    <x v="5"/>
    <x v="1"/>
    <x v="0"/>
    <n v="18"/>
    <x v="4"/>
    <n v="40"/>
    <x v="10"/>
    <n v="4.5"/>
    <s v="no"/>
    <x v="0"/>
    <n v="0.72"/>
    <n v="0.72"/>
  </r>
  <r>
    <s v="FL250902"/>
    <s v="Kathleen Hendrix"/>
    <s v="Kathleen Hendrix"/>
    <s v="FEMALE"/>
    <s v="Female"/>
    <n v="47"/>
    <x v="13"/>
    <x v="11"/>
    <x v="6"/>
    <n v="3"/>
    <x v="2"/>
    <n v="40"/>
    <x v="10"/>
    <n v="4.4000000000000004"/>
    <s v="yes"/>
    <x v="2"/>
    <n v="0.92"/>
    <n v="0.92"/>
  </r>
  <r>
    <s v="FL250903"/>
    <s v="Jennifer Baker"/>
    <s v="Jennifer Baker"/>
    <s v="FEMALE"/>
    <s v="Female"/>
    <n v="53"/>
    <x v="13"/>
    <x v="11"/>
    <x v="2"/>
    <n v="32"/>
    <x v="1"/>
    <s v="USD 20"/>
    <x v="18"/>
    <n v="0"/>
    <s v="N"/>
    <x v="1"/>
    <m/>
    <m/>
  </r>
  <r>
    <s v="FL250904"/>
    <s v="Kim Martinez"/>
    <s v="Kim Martinez"/>
    <s v="FEMALE"/>
    <s v="Female"/>
    <n v="53"/>
    <x v="8"/>
    <x v="6"/>
    <x v="1"/>
    <n v="19"/>
    <x v="4"/>
    <s v="USD 20"/>
    <x v="18"/>
    <n v="1.3"/>
    <n v="0"/>
    <x v="1"/>
    <m/>
    <m/>
  </r>
  <r>
    <s v="FL250905"/>
    <s v="Andrew Little"/>
    <s v="Andrew Little"/>
    <s v="male"/>
    <s v="Male"/>
    <n v="21"/>
    <x v="10"/>
    <x v="8"/>
    <x v="5"/>
    <n v="2"/>
    <x v="2"/>
    <n v="50"/>
    <x v="2"/>
    <n v="2.6"/>
    <b v="0"/>
    <x v="0"/>
    <n v="0.86"/>
    <n v="0.86"/>
  </r>
  <r>
    <s v="FL250906"/>
    <s v="Kelly Shelton"/>
    <s v="Kelly Shelton"/>
    <s v="FEMALE"/>
    <s v="Female"/>
    <n v="35"/>
    <x v="7"/>
    <x v="1"/>
    <x v="0"/>
    <n v="0"/>
    <x v="2"/>
    <m/>
    <x v="8"/>
    <m/>
    <s v="Y"/>
    <x v="1"/>
    <n v="85"/>
    <n v="0.85"/>
  </r>
  <r>
    <s v="FL250907"/>
    <s v="Steven Duncan"/>
    <s v="Steven Duncan"/>
    <s v="male"/>
    <s v="Male"/>
    <n v="31"/>
    <x v="8"/>
    <x v="6"/>
    <x v="9"/>
    <n v="13"/>
    <x v="0"/>
    <s v="$40"/>
    <x v="3"/>
    <n v="1.2"/>
    <b v="0"/>
    <x v="1"/>
    <n v="62"/>
    <n v="0.62"/>
  </r>
  <r>
    <s v="FL250908"/>
    <s v="Kristen Haney"/>
    <s v="Kristen Haney"/>
    <s v="FEMALE"/>
    <s v="Female"/>
    <n v="55"/>
    <x v="12"/>
    <x v="10"/>
    <x v="4"/>
    <n v="2"/>
    <x v="2"/>
    <s v="USD 30"/>
    <x v="13"/>
    <n v="3.1"/>
    <s v="Y"/>
    <x v="1"/>
    <n v="0.91"/>
    <n v="0.91"/>
  </r>
  <r>
    <s v="FL250909"/>
    <s v="Kathy Reese"/>
    <s v="Kathy Reese"/>
    <s v="f"/>
    <s v="Female"/>
    <n v="59"/>
    <x v="6"/>
    <x v="5"/>
    <x v="3"/>
    <n v="11"/>
    <x v="0"/>
    <s v="$75"/>
    <x v="16"/>
    <n v="2.2999999999999998"/>
    <s v="Y"/>
    <x v="1"/>
    <n v="0.8"/>
    <n v="0.8"/>
  </r>
  <r>
    <s v="FL250910"/>
    <s v="Steven Murphy"/>
    <s v="Steven Murphy"/>
    <s v="male"/>
    <s v="Male"/>
    <n v="59"/>
    <x v="15"/>
    <x v="12"/>
    <x v="7"/>
    <n v="17"/>
    <x v="4"/>
    <n v="100"/>
    <x v="0"/>
    <n v="4"/>
    <s v="no"/>
    <x v="0"/>
    <n v="0.72"/>
    <n v="0.72"/>
  </r>
  <r>
    <s v="FL250911"/>
    <s v="William Hartman"/>
    <s v="William Hartman"/>
    <s v="m"/>
    <s v="Male"/>
    <n v="47"/>
    <x v="10"/>
    <x v="8"/>
    <x v="0"/>
    <n v="10"/>
    <x v="3"/>
    <s v="$75"/>
    <x v="16"/>
    <n v="1.9"/>
    <m/>
    <x v="1"/>
    <m/>
    <m/>
  </r>
  <r>
    <s v="FL250912"/>
    <s v="Sonya Haley"/>
    <s v="Sonya Haley"/>
    <s v="FEMALE"/>
    <s v="Female"/>
    <n v="53"/>
    <x v="17"/>
    <x v="14"/>
    <x v="9"/>
    <n v="26"/>
    <x v="1"/>
    <n v="75"/>
    <x v="11"/>
    <n v="2.4"/>
    <s v="yes"/>
    <x v="2"/>
    <m/>
    <m/>
  </r>
  <r>
    <s v="FL250913"/>
    <s v="Robert Evans"/>
    <s v="Robert Evans"/>
    <s v="male"/>
    <s v="Male"/>
    <n v="49"/>
    <x v="17"/>
    <x v="14"/>
    <x v="5"/>
    <m/>
    <x v="2"/>
    <s v="$30"/>
    <x v="5"/>
    <m/>
    <s v="yes"/>
    <x v="1"/>
    <n v="0.74"/>
    <n v="0.74"/>
  </r>
  <r>
    <s v="FL250914"/>
    <s v="Patricia Richardson"/>
    <s v="Patricia Richardson"/>
    <s v="f"/>
    <s v="Female"/>
    <n v="50"/>
    <x v="17"/>
    <x v="14"/>
    <x v="1"/>
    <n v="8"/>
    <x v="3"/>
    <s v="USD 50"/>
    <x v="12"/>
    <n v="3.7"/>
    <s v="Y"/>
    <x v="1"/>
    <n v="0.82"/>
    <n v="0.82"/>
  </r>
  <r>
    <s v="FL250915"/>
    <s v="Carolyn Lopez"/>
    <s v="Carolyn Lopez"/>
    <s v="FEMALE"/>
    <s v="Female"/>
    <n v="59"/>
    <x v="12"/>
    <x v="10"/>
    <x v="9"/>
    <n v="22"/>
    <x v="1"/>
    <s v="USD 100"/>
    <x v="1"/>
    <n v="1.1000000000000001"/>
    <s v="no"/>
    <x v="1"/>
    <n v="0.85"/>
    <n v="0.85"/>
  </r>
  <r>
    <s v="FL250916"/>
    <s v="Kyle Burns"/>
    <s v="Kyle Burns"/>
    <s v="m"/>
    <s v="Male"/>
    <n v="33"/>
    <x v="6"/>
    <x v="5"/>
    <x v="5"/>
    <n v="8"/>
    <x v="3"/>
    <s v="USD 75"/>
    <x v="6"/>
    <n v="2.2999999999999998"/>
    <b v="1"/>
    <x v="1"/>
    <n v="0.68"/>
    <n v="0.68"/>
  </r>
  <r>
    <s v="FL250917"/>
    <s v="Margaret Garcia"/>
    <s v="Margaret Garcia"/>
    <s v="f"/>
    <s v="Female"/>
    <n v="45"/>
    <x v="14"/>
    <x v="1"/>
    <x v="3"/>
    <n v="22"/>
    <x v="1"/>
    <n v="40"/>
    <x v="10"/>
    <n v="3.7"/>
    <s v="Y"/>
    <x v="2"/>
    <n v="0.99"/>
    <n v="0.99"/>
  </r>
  <r>
    <s v="FL250918"/>
    <s v="Brittany Barker"/>
    <s v="Brittany Barker"/>
    <s v="FEMALE"/>
    <s v="Female"/>
    <n v="36"/>
    <x v="0"/>
    <x v="0"/>
    <x v="2"/>
    <n v="14"/>
    <x v="0"/>
    <n v="30"/>
    <x v="4"/>
    <n v="1.9"/>
    <n v="0"/>
    <x v="0"/>
    <n v="0.62"/>
    <n v="0.62"/>
  </r>
  <r>
    <s v="FL250919"/>
    <s v="Paul Campbell"/>
    <s v="Paul Campbell"/>
    <s v="male"/>
    <s v="Male"/>
    <n v="46"/>
    <x v="17"/>
    <x v="14"/>
    <x v="6"/>
    <n v="6"/>
    <x v="3"/>
    <n v="30"/>
    <x v="4"/>
    <n v="1.5"/>
    <s v="N"/>
    <x v="0"/>
    <m/>
    <m/>
  </r>
  <r>
    <s v="FL250920"/>
    <s v="Amy Morrow"/>
    <s v="Amy Morrow"/>
    <s v="FEMALE"/>
    <s v="Female"/>
    <n v="53"/>
    <x v="6"/>
    <x v="5"/>
    <x v="2"/>
    <n v="14"/>
    <x v="0"/>
    <n v="30"/>
    <x v="4"/>
    <n v="0"/>
    <b v="0"/>
    <x v="0"/>
    <n v="0.83"/>
    <n v="0.83"/>
  </r>
  <r>
    <s v="FL250921"/>
    <s v="Amy Fitzgerald"/>
    <s v="Amy Fitzgerald"/>
    <s v="f"/>
    <s v="Female"/>
    <n v="24"/>
    <x v="5"/>
    <x v="1"/>
    <x v="3"/>
    <n v="2"/>
    <x v="2"/>
    <n v="30"/>
    <x v="4"/>
    <n v="3.6"/>
    <m/>
    <x v="1"/>
    <n v="0.92"/>
    <n v="0.92"/>
  </r>
  <r>
    <s v="FL250922"/>
    <s v="Anita Becker"/>
    <s v="Anita Becker"/>
    <s v="FEMALE"/>
    <s v="Female"/>
    <n v="49"/>
    <x v="20"/>
    <x v="6"/>
    <x v="8"/>
    <n v="4"/>
    <x v="2"/>
    <s v="$75"/>
    <x v="16"/>
    <n v="2.1"/>
    <m/>
    <x v="1"/>
    <n v="0.85"/>
    <n v="0.85"/>
  </r>
  <r>
    <s v="FL250923"/>
    <s v="Mrs. Amy Brooks"/>
    <s v=" Amy Brooks"/>
    <s v="f"/>
    <m/>
    <n v="49"/>
    <x v="12"/>
    <x v="10"/>
    <x v="4"/>
    <n v="4"/>
    <x v="2"/>
    <n v="75"/>
    <x v="11"/>
    <n v="2.9"/>
    <s v="N"/>
    <x v="0"/>
    <m/>
    <m/>
  </r>
  <r>
    <s v="FL250924"/>
    <s v="Lori Marshall"/>
    <s v="Lori Marshall"/>
    <s v="FEMALE"/>
    <s v="Female"/>
    <n v="49"/>
    <x v="12"/>
    <x v="10"/>
    <x v="1"/>
    <n v="24"/>
    <x v="1"/>
    <n v="100"/>
    <x v="0"/>
    <n v="3.6"/>
    <b v="1"/>
    <x v="2"/>
    <m/>
    <m/>
  </r>
  <r>
    <s v="FL250925"/>
    <s v="Jennifer Miller"/>
    <s v="Jennifer Miller"/>
    <s v="FEMALE"/>
    <s v="Female"/>
    <n v="58"/>
    <x v="11"/>
    <x v="9"/>
    <x v="0"/>
    <n v="29"/>
    <x v="1"/>
    <n v="30"/>
    <x v="4"/>
    <n v="3.3"/>
    <s v="yes"/>
    <x v="2"/>
    <n v="0.89"/>
    <n v="0.89"/>
  </r>
  <r>
    <s v="FL250926"/>
    <s v="Thomas Young"/>
    <s v="Thomas Young"/>
    <s v="male"/>
    <s v="Male"/>
    <n v="50"/>
    <x v="17"/>
    <x v="14"/>
    <x v="6"/>
    <n v="13"/>
    <x v="0"/>
    <m/>
    <x v="8"/>
    <n v="2.5"/>
    <s v="Y"/>
    <x v="1"/>
    <n v="0.81"/>
    <n v="0.81"/>
  </r>
  <r>
    <s v="FL250927"/>
    <s v="Zachary Larsen"/>
    <s v="Zachary Larsen"/>
    <s v="m"/>
    <s v="Male"/>
    <n v="27"/>
    <x v="17"/>
    <x v="14"/>
    <x v="8"/>
    <n v="1"/>
    <x v="2"/>
    <s v="USD 100"/>
    <x v="1"/>
    <n v="3.7"/>
    <s v="Y"/>
    <x v="1"/>
    <n v="61"/>
    <n v="0.61"/>
  </r>
  <r>
    <s v="FL250928"/>
    <s v="Valerie Gutierrez"/>
    <s v="Valerie Gutierrez"/>
    <s v="f"/>
    <s v="Female"/>
    <n v="20"/>
    <x v="12"/>
    <x v="10"/>
    <x v="9"/>
    <m/>
    <x v="2"/>
    <s v="$30"/>
    <x v="5"/>
    <n v="4.5999999999999996"/>
    <n v="1"/>
    <x v="1"/>
    <m/>
    <m/>
  </r>
  <r>
    <s v="FL250929"/>
    <s v="Daniel Parker"/>
    <s v="Daniel Parker"/>
    <s v="male"/>
    <s v="Male"/>
    <n v="52"/>
    <x v="13"/>
    <x v="11"/>
    <x v="0"/>
    <n v="15"/>
    <x v="0"/>
    <s v="$40"/>
    <x v="3"/>
    <n v="0"/>
    <n v="1"/>
    <x v="1"/>
    <n v="0.92"/>
    <n v="0.92"/>
  </r>
  <r>
    <s v="FL250930"/>
    <s v="Nicole Bennett"/>
    <s v="Nicole Bennett"/>
    <s v="FEMALE"/>
    <s v="Female"/>
    <n v="22"/>
    <x v="15"/>
    <x v="12"/>
    <x v="9"/>
    <n v="2"/>
    <x v="2"/>
    <n v="30"/>
    <x v="4"/>
    <n v="2"/>
    <s v="no"/>
    <x v="0"/>
    <n v="0.96"/>
    <n v="0.96"/>
  </r>
  <r>
    <s v="FL250931"/>
    <s v="Lauren Lowery"/>
    <s v="Lauren Lowery"/>
    <s v="FEMALE"/>
    <s v="Female"/>
    <n v="38"/>
    <x v="6"/>
    <x v="5"/>
    <x v="3"/>
    <n v="14"/>
    <x v="0"/>
    <n v="100"/>
    <x v="0"/>
    <n v="1.7"/>
    <b v="0"/>
    <x v="0"/>
    <n v="0.66"/>
    <n v="0.66"/>
  </r>
  <r>
    <s v="FL250932"/>
    <s v="Alexander Woodward"/>
    <s v="Alexander Woodward"/>
    <s v="male"/>
    <s v="Male"/>
    <n v="21"/>
    <x v="14"/>
    <x v="1"/>
    <x v="2"/>
    <n v="0"/>
    <x v="2"/>
    <s v="USD 100"/>
    <x v="1"/>
    <n v="3"/>
    <s v="N"/>
    <x v="1"/>
    <n v="0.64"/>
    <n v="0.64"/>
  </r>
  <r>
    <s v="FL250933"/>
    <s v="Anthony Walter"/>
    <s v="Anthony Walter"/>
    <s v="male"/>
    <s v="Male"/>
    <n v="41"/>
    <x v="1"/>
    <x v="1"/>
    <x v="4"/>
    <n v="15"/>
    <x v="0"/>
    <n v="40"/>
    <x v="10"/>
    <n v="3.4"/>
    <b v="0"/>
    <x v="0"/>
    <n v="1"/>
    <n v="1"/>
  </r>
  <r>
    <s v="FL250934"/>
    <s v="Valerie Finley"/>
    <s v="Valerie Finley"/>
    <s v="FEMALE"/>
    <s v="Female"/>
    <n v="33"/>
    <x v="4"/>
    <x v="4"/>
    <x v="0"/>
    <n v="6"/>
    <x v="3"/>
    <n v="40"/>
    <x v="10"/>
    <n v="3.2"/>
    <n v="1"/>
    <x v="2"/>
    <n v="0.95"/>
    <n v="0.95"/>
  </r>
  <r>
    <s v="FL250935"/>
    <s v="Deborah Kelley"/>
    <s v="Deborah Kelley"/>
    <s v="f"/>
    <s v="Female"/>
    <n v="38"/>
    <x v="19"/>
    <x v="6"/>
    <x v="1"/>
    <n v="11"/>
    <x v="0"/>
    <m/>
    <x v="8"/>
    <n v="2.8"/>
    <m/>
    <x v="1"/>
    <n v="91"/>
    <n v="0.91"/>
  </r>
  <r>
    <s v="FL250936"/>
    <s v="Kristina Miller"/>
    <s v="Kristina Miller"/>
    <s v="f"/>
    <s v="Female"/>
    <n v="26"/>
    <x v="13"/>
    <x v="11"/>
    <x v="8"/>
    <n v="8"/>
    <x v="3"/>
    <s v="USD 20"/>
    <x v="18"/>
    <n v="4.0999999999999996"/>
    <s v="yes"/>
    <x v="1"/>
    <n v="0.82"/>
    <n v="0.82"/>
  </r>
  <r>
    <s v="FL250937"/>
    <s v="Anne Hampton"/>
    <s v="Anne Hampton"/>
    <s v="f"/>
    <s v="Female"/>
    <n v="43"/>
    <x v="3"/>
    <x v="3"/>
    <x v="4"/>
    <n v="3"/>
    <x v="2"/>
    <n v="20"/>
    <x v="15"/>
    <n v="0"/>
    <s v="Y"/>
    <x v="2"/>
    <n v="0.95"/>
    <n v="0.95"/>
  </r>
  <r>
    <s v="FL250938"/>
    <s v="Sandra Henry"/>
    <s v="Sandra Henry"/>
    <s v="FEMALE"/>
    <s v="Female"/>
    <n v="21"/>
    <x v="0"/>
    <x v="0"/>
    <x v="7"/>
    <n v="0"/>
    <x v="2"/>
    <m/>
    <x v="8"/>
    <n v="0"/>
    <n v="1"/>
    <x v="1"/>
    <n v="0.95"/>
    <n v="0.95"/>
  </r>
  <r>
    <s v="FL250939"/>
    <s v="Tony Hester"/>
    <s v="Tony Hester"/>
    <s v="male"/>
    <s v="Male"/>
    <n v="47"/>
    <x v="12"/>
    <x v="10"/>
    <x v="1"/>
    <n v="7"/>
    <x v="3"/>
    <s v="USD 30"/>
    <x v="13"/>
    <m/>
    <m/>
    <x v="1"/>
    <n v="69"/>
    <n v="0.69"/>
  </r>
  <r>
    <s v="FL250940"/>
    <s v="Nathan Davis"/>
    <s v="Nathan Davis"/>
    <s v="male"/>
    <s v="Male"/>
    <n v="35"/>
    <x v="20"/>
    <x v="6"/>
    <x v="2"/>
    <n v="6"/>
    <x v="3"/>
    <n v="40"/>
    <x v="10"/>
    <m/>
    <s v="yes"/>
    <x v="2"/>
    <n v="0.91"/>
    <n v="0.91"/>
  </r>
  <r>
    <s v="FL250941"/>
    <s v="Erica Jackson"/>
    <s v="Erica Jackson"/>
    <s v="FEMALE"/>
    <s v="Female"/>
    <n v="37"/>
    <x v="4"/>
    <x v="4"/>
    <x v="1"/>
    <n v="9"/>
    <x v="3"/>
    <s v="$30"/>
    <x v="5"/>
    <n v="2.7"/>
    <n v="1"/>
    <x v="1"/>
    <m/>
    <m/>
  </r>
  <r>
    <s v="FL250942"/>
    <s v="Nancy Glover"/>
    <s v="Nancy Glover"/>
    <s v="FEMALE"/>
    <s v="Female"/>
    <n v="38"/>
    <x v="11"/>
    <x v="9"/>
    <x v="4"/>
    <n v="15"/>
    <x v="0"/>
    <n v="40"/>
    <x v="10"/>
    <n v="4"/>
    <m/>
    <x v="1"/>
    <n v="0.62"/>
    <n v="0.62"/>
  </r>
  <r>
    <s v="FL250943"/>
    <s v="Richard Sanchez"/>
    <s v="Richard Sanchez"/>
    <s v="male"/>
    <s v="Male"/>
    <n v="40"/>
    <x v="14"/>
    <x v="1"/>
    <x v="5"/>
    <n v="20"/>
    <x v="4"/>
    <n v="20"/>
    <x v="15"/>
    <n v="2.5"/>
    <n v="0"/>
    <x v="0"/>
    <n v="0.81"/>
    <n v="0.81"/>
  </r>
  <r>
    <s v="FL250944"/>
    <s v="Savannah Reid"/>
    <s v="Savannah Reid"/>
    <s v="f"/>
    <s v="Female"/>
    <n v="46"/>
    <x v="11"/>
    <x v="9"/>
    <x v="5"/>
    <n v="16"/>
    <x v="4"/>
    <n v="75"/>
    <x v="11"/>
    <n v="0"/>
    <s v="no"/>
    <x v="0"/>
    <n v="0.94"/>
    <n v="0.94"/>
  </r>
  <r>
    <s v="FL250945"/>
    <s v="Robert Salazar"/>
    <s v="Robert Salazar"/>
    <s v="m"/>
    <s v="Male"/>
    <n v="56"/>
    <x v="16"/>
    <x v="13"/>
    <x v="8"/>
    <n v="22"/>
    <x v="1"/>
    <s v="USD 30"/>
    <x v="13"/>
    <m/>
    <s v="no"/>
    <x v="1"/>
    <n v="0.95"/>
    <n v="0.95"/>
  </r>
  <r>
    <s v="FL250946"/>
    <s v="Hector Greer"/>
    <s v="Hector Greer"/>
    <s v="m"/>
    <s v="Male"/>
    <n v="24"/>
    <x v="6"/>
    <x v="5"/>
    <x v="2"/>
    <n v="2"/>
    <x v="2"/>
    <m/>
    <x v="8"/>
    <n v="1.6"/>
    <s v="no"/>
    <x v="1"/>
    <n v="1"/>
    <n v="1"/>
  </r>
  <r>
    <s v="FL250947"/>
    <s v="Thomas Jackson"/>
    <s v="Thomas Jackson"/>
    <s v="m"/>
    <s v="Male"/>
    <m/>
    <x v="19"/>
    <x v="6"/>
    <x v="4"/>
    <n v="1"/>
    <x v="2"/>
    <n v="75"/>
    <x v="11"/>
    <n v="0"/>
    <b v="1"/>
    <x v="2"/>
    <n v="0.94"/>
    <n v="0.94"/>
  </r>
  <r>
    <s v="FL250948"/>
    <s v="Tina Clark"/>
    <s v="Tina Clark"/>
    <s v="f"/>
    <s v="Female"/>
    <n v="38"/>
    <x v="6"/>
    <x v="5"/>
    <x v="1"/>
    <n v="8"/>
    <x v="3"/>
    <n v="30"/>
    <x v="4"/>
    <n v="4"/>
    <n v="1"/>
    <x v="2"/>
    <n v="0.92"/>
    <n v="0.92"/>
  </r>
  <r>
    <s v="FL250949"/>
    <s v="Heather Brown"/>
    <s v="Heather Brown"/>
    <s v="FEMALE"/>
    <s v="Female"/>
    <n v="28"/>
    <x v="15"/>
    <x v="12"/>
    <x v="8"/>
    <n v="8"/>
    <x v="3"/>
    <s v="USD 50"/>
    <x v="12"/>
    <n v="2.5"/>
    <b v="1"/>
    <x v="1"/>
    <n v="0.95"/>
    <n v="0.95"/>
  </r>
  <r>
    <s v="FL250950"/>
    <s v="John Weaver"/>
    <s v="John Weaver"/>
    <s v="m"/>
    <s v="Male"/>
    <n v="25"/>
    <x v="11"/>
    <x v="9"/>
    <x v="8"/>
    <n v="7"/>
    <x v="3"/>
    <s v="$20"/>
    <x v="14"/>
    <n v="3.8"/>
    <m/>
    <x v="1"/>
    <n v="0.97"/>
    <n v="0.97"/>
  </r>
  <r>
    <s v="FL250951"/>
    <s v="Bradley Harris"/>
    <s v="Bradley Harris"/>
    <s v="male"/>
    <s v="Male"/>
    <n v="41"/>
    <x v="7"/>
    <x v="1"/>
    <x v="8"/>
    <n v="8"/>
    <x v="3"/>
    <n v="50"/>
    <x v="2"/>
    <n v="4.8"/>
    <s v="N"/>
    <x v="0"/>
    <n v="0.75"/>
    <n v="0.75"/>
  </r>
  <r>
    <s v="FL250952"/>
    <s v="Cassandra Macdonald"/>
    <s v="Cassandra Macdonald"/>
    <s v="f"/>
    <s v="Female"/>
    <n v="45"/>
    <x v="19"/>
    <x v="6"/>
    <x v="5"/>
    <n v="6"/>
    <x v="3"/>
    <n v="40"/>
    <x v="10"/>
    <n v="2"/>
    <n v="1"/>
    <x v="2"/>
    <n v="0.78"/>
    <n v="0.78"/>
  </r>
  <r>
    <s v="FL250953"/>
    <s v="Matthew White"/>
    <s v="Matthew White"/>
    <s v="m"/>
    <s v="Male"/>
    <n v="47"/>
    <x v="6"/>
    <x v="5"/>
    <x v="8"/>
    <n v="16"/>
    <x v="4"/>
    <s v="$100"/>
    <x v="17"/>
    <n v="3.3"/>
    <n v="0"/>
    <x v="1"/>
    <n v="0.65"/>
    <n v="0.65"/>
  </r>
  <r>
    <s v="FL250954"/>
    <s v="Miss Kimberly Marshall"/>
    <s v="Miss Kimberly Marshall"/>
    <s v="f"/>
    <s v="Female"/>
    <n v="59"/>
    <x v="7"/>
    <x v="1"/>
    <x v="5"/>
    <n v="40"/>
    <x v="1"/>
    <n v="40"/>
    <x v="10"/>
    <n v="2.5"/>
    <b v="1"/>
    <x v="2"/>
    <n v="70"/>
    <n v="0.7"/>
  </r>
  <r>
    <s v="FL250955"/>
    <s v="Laura Thompson"/>
    <s v="Laura Thompson"/>
    <s v="FEMALE"/>
    <s v="Female"/>
    <n v="25"/>
    <x v="14"/>
    <x v="1"/>
    <x v="0"/>
    <n v="6"/>
    <x v="3"/>
    <s v="$100"/>
    <x v="17"/>
    <m/>
    <s v="Y"/>
    <x v="1"/>
    <n v="78"/>
    <n v="0.78"/>
  </r>
  <r>
    <s v="FL250956"/>
    <s v="Nathan Soto"/>
    <s v="Nathan Soto"/>
    <s v="male"/>
    <s v="Male"/>
    <n v="27"/>
    <x v="1"/>
    <x v="1"/>
    <x v="3"/>
    <n v="3"/>
    <x v="2"/>
    <s v="USD 50"/>
    <x v="12"/>
    <m/>
    <n v="1"/>
    <x v="1"/>
    <n v="0.96"/>
    <n v="0.96"/>
  </r>
  <r>
    <s v="FL250957"/>
    <s v="Rhonda Hines"/>
    <s v="Rhonda Hines"/>
    <s v="f"/>
    <s v="Female"/>
    <n v="57"/>
    <x v="1"/>
    <x v="1"/>
    <x v="4"/>
    <n v="5"/>
    <x v="2"/>
    <s v="USD 100"/>
    <x v="1"/>
    <n v="0"/>
    <n v="1"/>
    <x v="1"/>
    <n v="0.8"/>
    <n v="0.8"/>
  </r>
  <r>
    <s v="FL250958"/>
    <s v="Gabrielle Bowman"/>
    <s v="Gabrielle Bowman"/>
    <s v="f"/>
    <s v="Female"/>
    <n v="34"/>
    <x v="6"/>
    <x v="5"/>
    <x v="6"/>
    <n v="12"/>
    <x v="0"/>
    <s v="$20"/>
    <x v="14"/>
    <n v="1.6"/>
    <s v="yes"/>
    <x v="1"/>
    <n v="0.64"/>
    <n v="0.64"/>
  </r>
  <r>
    <s v="FL250959"/>
    <s v="Julian Edwards"/>
    <s v="Julian Edwards"/>
    <s v="m"/>
    <s v="Male"/>
    <n v="55"/>
    <x v="15"/>
    <x v="12"/>
    <x v="6"/>
    <n v="33"/>
    <x v="1"/>
    <n v="50"/>
    <x v="2"/>
    <n v="0"/>
    <b v="0"/>
    <x v="0"/>
    <n v="0.92"/>
    <n v="0.92"/>
  </r>
  <r>
    <s v="FL250960"/>
    <s v="Nicholas Scott"/>
    <s v="Nicholas Scott"/>
    <s v="male"/>
    <s v="Male"/>
    <n v="21"/>
    <x v="16"/>
    <x v="13"/>
    <x v="0"/>
    <n v="1"/>
    <x v="2"/>
    <n v="100"/>
    <x v="0"/>
    <n v="0"/>
    <n v="1"/>
    <x v="2"/>
    <m/>
    <m/>
  </r>
  <r>
    <s v="FL250961"/>
    <s v="Daniel Green"/>
    <s v="Daniel Green"/>
    <s v="male"/>
    <s v="Male"/>
    <n v="53"/>
    <x v="3"/>
    <x v="3"/>
    <x v="8"/>
    <n v="27"/>
    <x v="1"/>
    <s v="USD 20"/>
    <x v="18"/>
    <n v="4.7"/>
    <s v="yes"/>
    <x v="1"/>
    <n v="71"/>
    <n v="0.71"/>
  </r>
  <r>
    <s v="FL250962"/>
    <s v="Catherine Johnston"/>
    <s v="Catherine Johnston"/>
    <s v="f"/>
    <s v="Female"/>
    <n v="21"/>
    <x v="2"/>
    <x v="2"/>
    <x v="6"/>
    <n v="1"/>
    <x v="2"/>
    <s v="$100"/>
    <x v="17"/>
    <n v="0"/>
    <s v="yes"/>
    <x v="1"/>
    <n v="0.95"/>
    <n v="0.95"/>
  </r>
  <r>
    <s v="FL250963"/>
    <s v="Brenda Koch"/>
    <s v="Brenda Koch"/>
    <s v="FEMALE"/>
    <s v="Female"/>
    <n v="36"/>
    <x v="11"/>
    <x v="9"/>
    <x v="3"/>
    <m/>
    <x v="2"/>
    <n v="20"/>
    <x v="15"/>
    <n v="4.0999999999999996"/>
    <s v="N"/>
    <x v="0"/>
    <n v="0.86"/>
    <n v="0.86"/>
  </r>
  <r>
    <s v="FL250964"/>
    <s v="Mr. Robert Meza"/>
    <s v=" Robert Meza"/>
    <s v="male"/>
    <m/>
    <n v="40"/>
    <x v="2"/>
    <x v="2"/>
    <x v="4"/>
    <n v="2"/>
    <x v="2"/>
    <s v="$30"/>
    <x v="5"/>
    <n v="1.3"/>
    <n v="1"/>
    <x v="1"/>
    <n v="0.77"/>
    <n v="0.77"/>
  </r>
  <r>
    <s v="FL250965"/>
    <s v="Latoya Brown"/>
    <s v="Latoya Brown"/>
    <s v="FEMALE"/>
    <s v="Female"/>
    <n v="59"/>
    <x v="7"/>
    <x v="1"/>
    <x v="6"/>
    <n v="40"/>
    <x v="1"/>
    <n v="100"/>
    <x v="0"/>
    <n v="2.6"/>
    <m/>
    <x v="1"/>
    <m/>
    <m/>
  </r>
  <r>
    <s v="FL250966"/>
    <s v="David Osborne III"/>
    <s v="David Osborne III"/>
    <s v="m"/>
    <s v="Male"/>
    <n v="45"/>
    <x v="3"/>
    <x v="3"/>
    <x v="7"/>
    <n v="4"/>
    <x v="2"/>
    <s v="$20"/>
    <x v="14"/>
    <n v="2.7"/>
    <m/>
    <x v="1"/>
    <n v="0.72"/>
    <n v="0.72"/>
  </r>
  <r>
    <s v="FL250967"/>
    <s v="David Hooper"/>
    <s v="David Hooper"/>
    <s v="male"/>
    <s v="Male"/>
    <n v="44"/>
    <x v="12"/>
    <x v="10"/>
    <x v="9"/>
    <n v="9"/>
    <x v="3"/>
    <n v="40"/>
    <x v="10"/>
    <m/>
    <n v="0"/>
    <x v="0"/>
    <n v="0.7"/>
    <n v="0.7"/>
  </r>
  <r>
    <s v="FL250968"/>
    <s v="Sarah Miller"/>
    <s v="Sarah Miller"/>
    <s v="FEMALE"/>
    <s v="Female"/>
    <n v="36"/>
    <x v="7"/>
    <x v="1"/>
    <x v="7"/>
    <n v="13"/>
    <x v="0"/>
    <n v="30"/>
    <x v="4"/>
    <n v="3.6"/>
    <n v="0"/>
    <x v="0"/>
    <n v="0.86"/>
    <n v="0.86"/>
  </r>
  <r>
    <s v="FL250969"/>
    <s v="Lisa Werner MD"/>
    <s v="Lisa Werner MD"/>
    <s v="FEMALE"/>
    <s v="Female"/>
    <n v="26"/>
    <x v="10"/>
    <x v="8"/>
    <x v="2"/>
    <n v="1"/>
    <x v="2"/>
    <n v="75"/>
    <x v="11"/>
    <n v="3"/>
    <n v="1"/>
    <x v="2"/>
    <m/>
    <m/>
  </r>
  <r>
    <s v="FL250970"/>
    <s v="Eric Jimenez"/>
    <s v="Eric Jimenez"/>
    <s v="m"/>
    <s v="Male"/>
    <n v="49"/>
    <x v="10"/>
    <x v="8"/>
    <x v="3"/>
    <n v="1"/>
    <x v="2"/>
    <m/>
    <x v="8"/>
    <n v="0"/>
    <n v="0"/>
    <x v="1"/>
    <n v="0.82"/>
    <n v="0.82"/>
  </r>
  <r>
    <s v="FL250971"/>
    <s v="Jay Bush"/>
    <s v="Jay Bush"/>
    <s v="m"/>
    <s v="Male"/>
    <n v="29"/>
    <x v="15"/>
    <x v="12"/>
    <x v="1"/>
    <n v="3"/>
    <x v="2"/>
    <s v="USD 40"/>
    <x v="7"/>
    <n v="0"/>
    <b v="1"/>
    <x v="1"/>
    <n v="0.81"/>
    <n v="0.81"/>
  </r>
  <r>
    <s v="FL250972"/>
    <s v="Johnny Rice"/>
    <s v="Johnny Rice"/>
    <s v="m"/>
    <s v="Male"/>
    <n v="32"/>
    <x v="15"/>
    <x v="12"/>
    <x v="2"/>
    <n v="1"/>
    <x v="2"/>
    <s v="$40"/>
    <x v="3"/>
    <n v="3.1"/>
    <n v="1"/>
    <x v="1"/>
    <n v="0.76"/>
    <n v="0.76"/>
  </r>
  <r>
    <s v="FL250973"/>
    <s v="Matthew Strong"/>
    <s v="Matthew Strong"/>
    <s v="male"/>
    <s v="Male"/>
    <n v="24"/>
    <x v="4"/>
    <x v="4"/>
    <x v="0"/>
    <n v="3"/>
    <x v="2"/>
    <s v="USD 30"/>
    <x v="13"/>
    <n v="3.9"/>
    <s v="N"/>
    <x v="1"/>
    <n v="0.9"/>
    <n v="0.9"/>
  </r>
  <r>
    <s v="FL250974"/>
    <s v="Mark Chandler"/>
    <s v="Mark Chandler"/>
    <s v="male"/>
    <s v="Male"/>
    <n v="35"/>
    <x v="12"/>
    <x v="10"/>
    <x v="8"/>
    <n v="14"/>
    <x v="0"/>
    <n v="30"/>
    <x v="4"/>
    <n v="1.6"/>
    <s v="Y"/>
    <x v="2"/>
    <n v="0.67"/>
    <n v="0.67"/>
  </r>
  <r>
    <s v="FL250975"/>
    <s v="Crystal Brown"/>
    <s v="Crystal Brown"/>
    <s v="FEMALE"/>
    <s v="Female"/>
    <n v="43"/>
    <x v="20"/>
    <x v="6"/>
    <x v="0"/>
    <n v="2"/>
    <x v="2"/>
    <m/>
    <x v="8"/>
    <n v="1.8"/>
    <s v="no"/>
    <x v="1"/>
    <n v="0.61"/>
    <n v="0.61"/>
  </r>
  <r>
    <s v="FL250976"/>
    <s v="Timothy Barton"/>
    <s v="Timothy Barton"/>
    <s v="male"/>
    <s v="Male"/>
    <n v="53"/>
    <x v="12"/>
    <x v="10"/>
    <x v="9"/>
    <n v="27"/>
    <x v="1"/>
    <n v="100"/>
    <x v="0"/>
    <n v="3.7"/>
    <s v="no"/>
    <x v="0"/>
    <n v="0.73"/>
    <n v="0.73"/>
  </r>
  <r>
    <s v="FL250977"/>
    <s v="Lisa Hickman"/>
    <s v="Lisa Hickman"/>
    <s v="f"/>
    <s v="Female"/>
    <n v="38"/>
    <x v="13"/>
    <x v="11"/>
    <x v="8"/>
    <n v="7"/>
    <x v="3"/>
    <n v="75"/>
    <x v="11"/>
    <m/>
    <n v="0"/>
    <x v="0"/>
    <m/>
    <m/>
  </r>
  <r>
    <s v="FL250978"/>
    <s v="Alan Mendoza"/>
    <s v="Alan Mendoza"/>
    <s v="male"/>
    <s v="Male"/>
    <n v="57"/>
    <x v="7"/>
    <x v="1"/>
    <x v="7"/>
    <n v="29"/>
    <x v="1"/>
    <n v="75"/>
    <x v="11"/>
    <n v="4.0999999999999996"/>
    <s v="N"/>
    <x v="0"/>
    <n v="0.9"/>
    <n v="0.9"/>
  </r>
  <r>
    <s v="FL250979"/>
    <s v="Jason Sanders"/>
    <s v="Jason Sanders"/>
    <s v="male"/>
    <s v="Male"/>
    <n v="27"/>
    <x v="18"/>
    <x v="15"/>
    <x v="0"/>
    <n v="5"/>
    <x v="2"/>
    <s v="$75"/>
    <x v="16"/>
    <n v="1.4"/>
    <b v="1"/>
    <x v="1"/>
    <n v="0.64"/>
    <n v="0.64"/>
  </r>
  <r>
    <s v="FL250980"/>
    <s v="Charles Dean"/>
    <s v="Charles Dean"/>
    <s v="m"/>
    <s v="Male"/>
    <n v="43"/>
    <x v="8"/>
    <x v="6"/>
    <x v="3"/>
    <n v="2"/>
    <x v="2"/>
    <n v="100"/>
    <x v="0"/>
    <n v="1.1000000000000001"/>
    <n v="1"/>
    <x v="2"/>
    <n v="0.63"/>
    <n v="0.63"/>
  </r>
  <r>
    <s v="FL250981"/>
    <s v="Blake Newton"/>
    <s v="Blake Newton"/>
    <s v="male"/>
    <s v="Male"/>
    <n v="48"/>
    <x v="14"/>
    <x v="1"/>
    <x v="5"/>
    <n v="18"/>
    <x v="4"/>
    <s v="$40"/>
    <x v="3"/>
    <n v="3.9"/>
    <m/>
    <x v="1"/>
    <m/>
    <m/>
  </r>
  <r>
    <s v="FL250982"/>
    <s v="David Gonzalez"/>
    <s v="David Gonzalez"/>
    <s v="m"/>
    <s v="Male"/>
    <n v="26"/>
    <x v="11"/>
    <x v="9"/>
    <x v="7"/>
    <n v="8"/>
    <x v="3"/>
    <n v="20"/>
    <x v="15"/>
    <n v="3.6"/>
    <n v="0"/>
    <x v="0"/>
    <n v="0.67"/>
    <n v="0.67"/>
  </r>
  <r>
    <s v="FL250983"/>
    <s v="Cindy Williams"/>
    <s v="Cindy Williams"/>
    <s v="FEMALE"/>
    <s v="Female"/>
    <m/>
    <x v="17"/>
    <x v="14"/>
    <x v="2"/>
    <n v="0"/>
    <x v="2"/>
    <s v="$40"/>
    <x v="3"/>
    <n v="0"/>
    <s v="no"/>
    <x v="1"/>
    <n v="0.97"/>
    <n v="0.97"/>
  </r>
  <r>
    <s v="FL250984"/>
    <s v="Laura Wong DDS"/>
    <s v="Laura Wong DDS"/>
    <s v="FEMALE"/>
    <s v="Female"/>
    <n v="50"/>
    <x v="0"/>
    <x v="0"/>
    <x v="5"/>
    <n v="16"/>
    <x v="4"/>
    <s v="$75"/>
    <x v="16"/>
    <n v="4.5"/>
    <n v="0"/>
    <x v="1"/>
    <n v="69"/>
    <n v="0.69"/>
  </r>
  <r>
    <s v="FL250985"/>
    <s v="Robert Moran"/>
    <s v="Robert Moran"/>
    <s v="m"/>
    <s v="Male"/>
    <n v="48"/>
    <x v="17"/>
    <x v="14"/>
    <x v="3"/>
    <n v="8"/>
    <x v="3"/>
    <n v="50"/>
    <x v="2"/>
    <m/>
    <n v="1"/>
    <x v="2"/>
    <n v="0.73"/>
    <n v="0.73"/>
  </r>
  <r>
    <s v="FL250986"/>
    <s v="Bradley Wu"/>
    <s v="Bradley Wu"/>
    <s v="m"/>
    <s v="Male"/>
    <n v="60"/>
    <x v="20"/>
    <x v="6"/>
    <x v="0"/>
    <n v="39"/>
    <x v="1"/>
    <n v="20"/>
    <x v="15"/>
    <n v="1.4"/>
    <b v="1"/>
    <x v="2"/>
    <n v="0.86"/>
    <n v="0.86"/>
  </r>
  <r>
    <s v="FL250987"/>
    <s v="Daniel Thomas"/>
    <s v="Daniel Thomas"/>
    <s v="male"/>
    <s v="Male"/>
    <n v="26"/>
    <x v="16"/>
    <x v="13"/>
    <x v="9"/>
    <m/>
    <x v="2"/>
    <n v="50"/>
    <x v="2"/>
    <n v="0"/>
    <s v="yes"/>
    <x v="2"/>
    <n v="81"/>
    <n v="0.81"/>
  </r>
  <r>
    <s v="FL250988"/>
    <s v="Michelle Peterson"/>
    <s v="Michelle Peterson"/>
    <s v="FEMALE"/>
    <s v="Female"/>
    <n v="35"/>
    <x v="12"/>
    <x v="10"/>
    <x v="2"/>
    <n v="16"/>
    <x v="4"/>
    <s v="USD 100"/>
    <x v="1"/>
    <n v="4.3"/>
    <n v="1"/>
    <x v="1"/>
    <n v="0.74"/>
    <n v="0.74"/>
  </r>
  <r>
    <s v="FL250989"/>
    <s v="Seth Thomas"/>
    <s v="Seth Thomas"/>
    <s v="male"/>
    <s v="Male"/>
    <n v="23"/>
    <x v="5"/>
    <x v="1"/>
    <x v="0"/>
    <n v="4"/>
    <x v="2"/>
    <s v="$100"/>
    <x v="17"/>
    <n v="2.2000000000000002"/>
    <n v="1"/>
    <x v="1"/>
    <n v="64"/>
    <n v="0.64"/>
  </r>
  <r>
    <s v="FL250990"/>
    <s v="Evan Ramos"/>
    <s v="Evan Ramos"/>
    <s v="male"/>
    <s v="Male"/>
    <n v="37"/>
    <x v="1"/>
    <x v="1"/>
    <x v="2"/>
    <n v="4"/>
    <x v="2"/>
    <n v="75"/>
    <x v="11"/>
    <n v="3.2"/>
    <b v="0"/>
    <x v="0"/>
    <n v="0.76"/>
    <n v="0.76"/>
  </r>
  <r>
    <s v="FL250991"/>
    <s v="Michelle Solis"/>
    <s v="Michelle Solis"/>
    <s v="FEMALE"/>
    <s v="Female"/>
    <n v="21"/>
    <x v="8"/>
    <x v="6"/>
    <x v="4"/>
    <n v="2"/>
    <x v="2"/>
    <n v="100"/>
    <x v="0"/>
    <n v="3.7"/>
    <s v="yes"/>
    <x v="2"/>
    <n v="73"/>
    <n v="0.73"/>
  </r>
  <r>
    <s v="FL250992"/>
    <s v="Charlotte Taylor"/>
    <s v="Charlotte Taylor"/>
    <s v="FEMALE"/>
    <s v="Female"/>
    <n v="58"/>
    <x v="2"/>
    <x v="2"/>
    <x v="6"/>
    <n v="37"/>
    <x v="1"/>
    <s v="USD 50"/>
    <x v="12"/>
    <n v="4.9000000000000004"/>
    <b v="0"/>
    <x v="1"/>
    <n v="0.69"/>
    <n v="0.69"/>
  </r>
  <r>
    <s v="FL250993"/>
    <s v="Sandra Preston"/>
    <s v="Sandra Preston"/>
    <s v="FEMALE"/>
    <s v="Female"/>
    <n v="52"/>
    <x v="4"/>
    <x v="4"/>
    <x v="1"/>
    <n v="32"/>
    <x v="1"/>
    <s v="$75"/>
    <x v="16"/>
    <n v="3.2"/>
    <n v="0"/>
    <x v="1"/>
    <n v="0.79"/>
    <n v="0.79"/>
  </r>
  <r>
    <s v="FL250994"/>
    <s v="Jim Weiss"/>
    <s v="Jim Weiss"/>
    <s v="male"/>
    <s v="Male"/>
    <n v="46"/>
    <x v="13"/>
    <x v="11"/>
    <x v="1"/>
    <n v="8"/>
    <x v="3"/>
    <n v="20"/>
    <x v="15"/>
    <n v="2.2000000000000002"/>
    <m/>
    <x v="1"/>
    <n v="89"/>
    <n v="0.89"/>
  </r>
  <r>
    <s v="FL250995"/>
    <s v="Jennifer Hinton"/>
    <s v="Jennifer Hinton"/>
    <s v="FEMALE"/>
    <s v="Female"/>
    <n v="34"/>
    <x v="17"/>
    <x v="14"/>
    <x v="8"/>
    <n v="8"/>
    <x v="3"/>
    <n v="30"/>
    <x v="4"/>
    <n v="3.9"/>
    <s v="Y"/>
    <x v="2"/>
    <n v="0.95"/>
    <n v="0.95"/>
  </r>
  <r>
    <s v="FL250996"/>
    <s v="Albert Wilcox"/>
    <s v="Albert Wilcox"/>
    <s v="male"/>
    <s v="Male"/>
    <n v="56"/>
    <x v="6"/>
    <x v="5"/>
    <x v="8"/>
    <n v="13"/>
    <x v="0"/>
    <n v="100"/>
    <x v="0"/>
    <n v="0"/>
    <s v="no"/>
    <x v="0"/>
    <n v="0.68"/>
    <n v="0.68"/>
  </r>
  <r>
    <s v="FL250997"/>
    <s v="Cheryl Norris"/>
    <s v="Cheryl Norris"/>
    <s v="f"/>
    <s v="Female"/>
    <n v="26"/>
    <x v="2"/>
    <x v="2"/>
    <x v="0"/>
    <n v="6"/>
    <x v="3"/>
    <s v="USD 40"/>
    <x v="7"/>
    <n v="2.8"/>
    <s v="N"/>
    <x v="1"/>
    <n v="82"/>
    <n v="0.82"/>
  </r>
  <r>
    <s v="FL250998"/>
    <s v="Kathy Watkins"/>
    <s v="Kathy Watkins"/>
    <s v="FEMALE"/>
    <s v="Female"/>
    <n v="37"/>
    <x v="9"/>
    <x v="7"/>
    <x v="5"/>
    <n v="15"/>
    <x v="0"/>
    <n v="75"/>
    <x v="11"/>
    <m/>
    <b v="0"/>
    <x v="0"/>
    <n v="0.94"/>
    <n v="0.94"/>
  </r>
  <r>
    <s v="FL250999"/>
    <s v="John Obrien"/>
    <s v="John Obrien"/>
    <s v="m"/>
    <s v="Male"/>
    <n v="46"/>
    <x v="13"/>
    <x v="11"/>
    <x v="9"/>
    <n v="22"/>
    <x v="1"/>
    <n v="100"/>
    <x v="0"/>
    <n v="2.8"/>
    <s v="yes"/>
    <x v="2"/>
    <n v="97"/>
    <n v="0.97"/>
  </r>
  <r>
    <s v="FL251000"/>
    <s v="Dawn Green"/>
    <s v="Dawn Green"/>
    <s v="FEMALE"/>
    <s v="Female"/>
    <n v="36"/>
    <x v="19"/>
    <x v="6"/>
    <x v="6"/>
    <n v="18"/>
    <x v="4"/>
    <s v="$20"/>
    <x v="14"/>
    <n v="1.7"/>
    <n v="1"/>
    <x v="1"/>
    <n v="72"/>
    <n v="0.72"/>
  </r>
  <r>
    <m/>
    <m/>
    <m/>
    <m/>
    <m/>
    <m/>
    <x v="21"/>
    <x v="16"/>
    <x v="10"/>
    <m/>
    <x v="5"/>
    <m/>
    <x v="8"/>
    <m/>
    <m/>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AB390-7FC3-BF48-B83A-3CC2BFB0FA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9" firstHeaderRow="1" firstDataRow="1" firstDataCol="1"/>
  <pivotFields count="18">
    <pivotField dataField="1" showAll="0"/>
    <pivotField showAll="0"/>
    <pivotField showAll="0"/>
    <pivotField showAll="0"/>
    <pivotField showAll="0"/>
    <pivotField showAll="0"/>
    <pivotField showAll="0"/>
    <pivotField showAll="0"/>
    <pivotField showAll="0">
      <items count="12">
        <item x="4"/>
        <item x="0"/>
        <item x="7"/>
        <item x="5"/>
        <item x="8"/>
        <item x="2"/>
        <item x="9"/>
        <item x="1"/>
        <item x="6"/>
        <item x="3"/>
        <item x="10"/>
        <item t="default"/>
      </items>
    </pivotField>
    <pivotField showAll="0"/>
    <pivotField axis="axisRow" showAll="0">
      <items count="7">
        <item x="2"/>
        <item x="3"/>
        <item x="0"/>
        <item x="4"/>
        <item x="1"/>
        <item h="1" x="5"/>
        <item t="default"/>
      </items>
    </pivotField>
    <pivotField showAll="0"/>
    <pivotField showAll="0"/>
    <pivotField showAll="0"/>
    <pivotField showAll="0"/>
    <pivotField showAll="0">
      <items count="4">
        <item x="2"/>
        <item x="0"/>
        <item x="1"/>
        <item t="default"/>
      </items>
    </pivotField>
    <pivotField showAll="0"/>
    <pivotField showAll="0"/>
  </pivotFields>
  <rowFields count="1">
    <field x="10"/>
  </rowFields>
  <rowItems count="6">
    <i>
      <x/>
    </i>
    <i>
      <x v="1"/>
    </i>
    <i>
      <x v="2"/>
    </i>
    <i>
      <x v="3"/>
    </i>
    <i>
      <x v="4"/>
    </i>
    <i t="grand">
      <x/>
    </i>
  </rowItems>
  <colItems count="1">
    <i/>
  </colItems>
  <dataFields count="1">
    <dataField name="Count of Freelancer_ID" fld="0" subtotal="count" showDataAs="percentOfTotal" baseField="0" baseItem="0" numFmtId="10"/>
  </dataFields>
  <formats count="3">
    <format dxfId="29">
      <pivotArea outline="0" collapsedLevelsAreSubtotals="1" fieldPosition="0"/>
    </format>
    <format dxfId="28">
      <pivotArea outline="0" fieldPosition="0">
        <references count="1">
          <reference field="4294967294" count="1">
            <x v="0"/>
          </reference>
        </references>
      </pivotArea>
    </format>
    <format dxfId="27">
      <pivotArea collapsedLevelsAreSubtotals="1" fieldPosition="0">
        <references count="1">
          <reference field="10"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C0A2E7-E4D3-1B48-A45C-1E062B6DDA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5" firstHeaderRow="1" firstDataRow="1" firstDataCol="1"/>
  <pivotFields count="18">
    <pivotField showAll="0"/>
    <pivotField showAll="0"/>
    <pivotField showAll="0"/>
    <pivotField showAll="0"/>
    <pivotField showAll="0"/>
    <pivotField showAll="0"/>
    <pivotField showAll="0"/>
    <pivotField showAll="0"/>
    <pivotField axis="axisRow" showAll="0" sortType="descending">
      <items count="12">
        <item x="4"/>
        <item x="0"/>
        <item x="7"/>
        <item x="5"/>
        <item x="8"/>
        <item x="2"/>
        <item x="9"/>
        <item x="1"/>
        <item x="6"/>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4">
        <item x="2"/>
        <item x="0"/>
        <item x="1"/>
        <item t="default"/>
      </items>
    </pivotField>
    <pivotField showAll="0"/>
    <pivotField showAll="0"/>
  </pivotFields>
  <rowFields count="1">
    <field x="8"/>
  </rowFields>
  <rowItems count="12">
    <i>
      <x v="4"/>
    </i>
    <i>
      <x v="6"/>
    </i>
    <i>
      <x v="7"/>
    </i>
    <i>
      <x v="8"/>
    </i>
    <i>
      <x v="5"/>
    </i>
    <i>
      <x v="2"/>
    </i>
    <i>
      <x v="9"/>
    </i>
    <i>
      <x v="3"/>
    </i>
    <i>
      <x/>
    </i>
    <i>
      <x v="1"/>
    </i>
    <i>
      <x v="10"/>
    </i>
    <i t="grand">
      <x/>
    </i>
  </rowItems>
  <colItems count="1">
    <i/>
  </colItems>
  <dataFields count="1">
    <dataField name="Average of Rating" fld="13" subtotal="average" baseField="0" baseItem="0" numFmtId="164"/>
  </dataFields>
  <formats count="1">
    <format dxfId="30">
      <pivotArea outline="0" collapsedLevelsAreSubtotals="1" fieldPosition="0"/>
    </format>
  </format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EB3A3-F35E-114F-9A23-0C997D79DE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4:N26" firstHeaderRow="1" firstDataRow="1" firstDataCol="1"/>
  <pivotFields count="18">
    <pivotField dataField="1" showAll="0"/>
    <pivotField showAll="0"/>
    <pivotField showAll="0"/>
    <pivotField showAll="0"/>
    <pivotField showAll="0"/>
    <pivotField showAll="0"/>
    <pivotField axis="axisRow" showAll="0" sortType="descending">
      <items count="23">
        <item x="8"/>
        <item x="1"/>
        <item x="11"/>
        <item x="14"/>
        <item x="18"/>
        <item x="16"/>
        <item x="15"/>
        <item x="2"/>
        <item x="10"/>
        <item x="4"/>
        <item x="0"/>
        <item x="9"/>
        <item x="19"/>
        <item x="3"/>
        <item x="13"/>
        <item x="17"/>
        <item x="12"/>
        <item x="20"/>
        <item x="6"/>
        <item x="7"/>
        <item x="5"/>
        <item h="1" x="2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items count="12">
        <item x="4"/>
        <item x="0"/>
        <item x="7"/>
        <item x="5"/>
        <item x="8"/>
        <item x="2"/>
        <item x="9"/>
        <item x="1"/>
        <item x="6"/>
        <item x="3"/>
        <item x="1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s>
  <rowFields count="1">
    <field x="6"/>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_ID" fld="0" subtotal="count" baseField="0" baseItem="0"/>
  </dataFields>
  <formats count="3">
    <format dxfId="33">
      <pivotArea outline="0" collapsedLevelsAreSubtotals="1" fieldPosition="0"/>
    </format>
    <format dxfId="32">
      <pivotArea grandRow="1" outline="0" collapsedLevelsAreSubtotals="1" fieldPosition="0"/>
    </format>
    <format dxfId="31">
      <pivotArea collapsedLevelsAreSubtotals="1" fieldPosition="0">
        <references count="1">
          <reference field="6"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175BA-671D-FE4C-A61E-29B67577D7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4:K21" firstHeaderRow="1" firstDataRow="1" firstDataCol="1"/>
  <pivotFields count="18">
    <pivotField dataField="1" showAll="0"/>
    <pivotField showAll="0"/>
    <pivotField showAll="0"/>
    <pivotField showAll="0"/>
    <pivotField showAll="0"/>
    <pivotField showAll="0"/>
    <pivotField showAll="0"/>
    <pivotField axis="axisRow" showAll="0" sortType="descending">
      <items count="18">
        <item x="14"/>
        <item x="13"/>
        <item x="3"/>
        <item x="1"/>
        <item x="12"/>
        <item x="2"/>
        <item x="8"/>
        <item x="4"/>
        <item x="0"/>
        <item x="7"/>
        <item x="10"/>
        <item x="15"/>
        <item x="9"/>
        <item x="11"/>
        <item x="6"/>
        <item x="5"/>
        <item h="1" x="16"/>
        <item t="default"/>
      </items>
      <autoSortScope>
        <pivotArea dataOnly="0" outline="0" fieldPosition="0">
          <references count="1">
            <reference field="4294967294" count="1" selected="0">
              <x v="0"/>
            </reference>
          </references>
        </pivotArea>
      </autoSortScope>
    </pivotField>
    <pivotField showAll="0">
      <items count="12">
        <item x="4"/>
        <item x="0"/>
        <item x="7"/>
        <item x="5"/>
        <item x="8"/>
        <item x="2"/>
        <item x="9"/>
        <item x="1"/>
        <item x="6"/>
        <item x="3"/>
        <item x="1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s>
  <rowFields count="1">
    <field x="7"/>
  </rowFields>
  <rowItems count="17">
    <i>
      <x v="3"/>
    </i>
    <i>
      <x v="14"/>
    </i>
    <i>
      <x v="10"/>
    </i>
    <i>
      <x v="5"/>
    </i>
    <i>
      <x v="2"/>
    </i>
    <i>
      <x v="11"/>
    </i>
    <i>
      <x v="13"/>
    </i>
    <i>
      <x v="7"/>
    </i>
    <i>
      <x v="6"/>
    </i>
    <i>
      <x v="15"/>
    </i>
    <i>
      <x/>
    </i>
    <i>
      <x v="4"/>
    </i>
    <i>
      <x v="8"/>
    </i>
    <i>
      <x v="1"/>
    </i>
    <i>
      <x v="9"/>
    </i>
    <i>
      <x v="12"/>
    </i>
    <i t="grand">
      <x/>
    </i>
  </rowItems>
  <colItems count="1">
    <i/>
  </colItems>
  <dataFields count="1">
    <dataField name="Count of Freelancer_ID" fld="0" subtotal="count" baseField="0" baseItem="0"/>
  </dataFields>
  <formats count="3">
    <format dxfId="36">
      <pivotArea outline="0" collapsedLevelsAreSubtotals="1" fieldPosition="0"/>
    </format>
    <format dxfId="35">
      <pivotArea collapsedLevelsAreSubtotals="1" fieldPosition="0">
        <references count="1">
          <reference field="7" count="0"/>
        </references>
      </pivotArea>
    </format>
    <format dxfId="3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D307EB-1ADE-944F-89FF-AA856F7514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22" firstHeaderRow="1" firstDataRow="1" firstDataCol="1"/>
  <pivotFields count="18">
    <pivotField dataField="1" showAll="0"/>
    <pivotField showAll="0"/>
    <pivotField showAll="0"/>
    <pivotField showAll="0"/>
    <pivotField showAll="0"/>
    <pivotField showAll="0"/>
    <pivotField showAll="0"/>
    <pivotField showAll="0"/>
    <pivotField showAll="0">
      <items count="12">
        <item x="4"/>
        <item x="0"/>
        <item x="7"/>
        <item x="5"/>
        <item x="8"/>
        <item x="2"/>
        <item x="9"/>
        <item x="1"/>
        <item x="6"/>
        <item x="3"/>
        <item x="10"/>
        <item t="default"/>
      </items>
    </pivotField>
    <pivotField showAll="0"/>
    <pivotField showAll="0"/>
    <pivotField showAll="0"/>
    <pivotField axis="axisRow" showAll="0">
      <items count="20">
        <item x="0"/>
        <item x="17"/>
        <item x="4"/>
        <item x="10"/>
        <item x="2"/>
        <item x="11"/>
        <item x="14"/>
        <item x="5"/>
        <item x="3"/>
        <item x="9"/>
        <item x="16"/>
        <item h="1" x="8"/>
        <item x="1"/>
        <item x="18"/>
        <item x="13"/>
        <item x="7"/>
        <item x="12"/>
        <item x="6"/>
        <item x="15"/>
        <item t="default"/>
      </items>
    </pivotField>
    <pivotField showAll="0"/>
    <pivotField showAll="0"/>
    <pivotField showAll="0">
      <items count="4">
        <item x="2"/>
        <item x="0"/>
        <item x="1"/>
        <item t="default"/>
      </items>
    </pivotField>
    <pivotField showAll="0"/>
    <pivotField showAll="0"/>
  </pivotFields>
  <rowFields count="1">
    <field x="12"/>
  </rowFields>
  <rowItems count="19">
    <i>
      <x/>
    </i>
    <i>
      <x v="1"/>
    </i>
    <i>
      <x v="2"/>
    </i>
    <i>
      <x v="3"/>
    </i>
    <i>
      <x v="4"/>
    </i>
    <i>
      <x v="5"/>
    </i>
    <i>
      <x v="6"/>
    </i>
    <i>
      <x v="7"/>
    </i>
    <i>
      <x v="8"/>
    </i>
    <i>
      <x v="9"/>
    </i>
    <i>
      <x v="10"/>
    </i>
    <i>
      <x v="12"/>
    </i>
    <i>
      <x v="13"/>
    </i>
    <i>
      <x v="14"/>
    </i>
    <i>
      <x v="15"/>
    </i>
    <i>
      <x v="16"/>
    </i>
    <i>
      <x v="17"/>
    </i>
    <i>
      <x v="18"/>
    </i>
    <i t="grand">
      <x/>
    </i>
  </rowItems>
  <colItems count="1">
    <i/>
  </colItems>
  <dataFields count="1">
    <dataField name="Count of Freelancer_ID" fld="0" subtotal="count" showDataAs="percentOfTotal" baseField="0" baseItem="0" numFmtId="10"/>
  </dataFields>
  <formats count="3">
    <format dxfId="39">
      <pivotArea outline="0" collapsedLevelsAreSubtotals="1" fieldPosition="0"/>
    </format>
    <format dxfId="38">
      <pivotArea outline="0" fieldPosition="0">
        <references count="1">
          <reference field="4294967294" count="1">
            <x v="0"/>
          </reference>
        </references>
      </pivotArea>
    </format>
    <format dxfId="37">
      <pivotArea collapsedLevelsAreSubtotals="1" fieldPosition="0">
        <references count="1">
          <reference field="12"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mary_skill" xr10:uid="{4A5D3C44-2134-7543-B5AF-431A5503A772}" sourceName="Prmary_skill">
  <pivotTables>
    <pivotTable tabId="2" name="PivotTable1"/>
    <pivotTable tabId="2" name="PivotTable2"/>
    <pivotTable tabId="2" name="PivotTable3"/>
    <pivotTable tabId="2" name="PivotTable4"/>
    <pivotTable tabId="2" name="PivotTable5"/>
  </pivotTables>
  <data>
    <tabular pivotCacheId="997791973">
      <items count="11">
        <i x="4" s="1"/>
        <i x="0" s="1"/>
        <i x="7" s="1"/>
        <i x="5" s="1"/>
        <i x="8" s="1"/>
        <i x="2" s="1"/>
        <i x="9" s="1"/>
        <i x="1" s="1"/>
        <i x="6" s="1"/>
        <i x="3"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A6E3FA1-BFB9-A842-A6EE-275CBBFF52BE}" sourceName="Status">
  <pivotTables>
    <pivotTable tabId="2" name="PivotTable1"/>
    <pivotTable tabId="2" name="PivotTable2"/>
    <pivotTable tabId="2" name="PivotTable3"/>
    <pivotTable tabId="2" name="PivotTable4"/>
    <pivotTable tabId="2" name="PivotTable5"/>
  </pivotTables>
  <data>
    <tabular pivotCacheId="99779197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mary_skill" xr10:uid="{0A794F95-027C-C341-B2E9-391FE3297B13}" cache="Slicer_Prmary_skill" caption="Prmary_skill" rowHeight="251883"/>
  <slicer name="Status" xr10:uid="{4FAD2390-5B5B-6041-9C83-9ACE822B4A4C}" cache="Slicer_Status" caption="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7DD54B-DEEE-E848-B87D-97A037056FFF}" name="Table1" displayName="Table1" ref="A1:XFD1048576" totalsRowShown="0" headerRowDxfId="41">
  <autoFilter ref="A1:XFD1048576" xr:uid="{527DD54B-DEEE-E848-B87D-97A037056FFF}"/>
  <tableColumns count="16384">
    <tableColumn id="1" xr3:uid="{6963B82E-4B52-2F48-A418-72EF76C9F334}" name="Freelancer_ID"/>
    <tableColumn id="2" xr3:uid="{08F255EA-2C67-0D46-83ED-9090BDCFA190}" name="name_raw"/>
    <tableColumn id="3" xr3:uid="{945A8F51-978E-8244-9494-834F88B7C351}" name="Full name"/>
    <tableColumn id="4" xr3:uid="{1969E18B-D1D9-E349-800B-47B87B020654}" name="gender_raw"/>
    <tableColumn id="5" xr3:uid="{F3202C9E-7BB2-0E41-89A8-3F9C1CCE31A9}" name="Gender"/>
    <tableColumn id="6" xr3:uid="{E32DBB05-D3DA-BD44-A377-7176FD0FE2A9}" name="Age"/>
    <tableColumn id="7" xr3:uid="{1BE2DB9B-4700-BF45-ACF1-495C7ECEE02D}" name="Country"/>
    <tableColumn id="8" xr3:uid="{B4379830-5C61-AD48-81B7-4F590B66EFC8}" name="Language"/>
    <tableColumn id="9" xr3:uid="{A9682E20-9399-E24D-95B6-6DC91AED4553}" name="Primary_skill"/>
    <tableColumn id="10" xr3:uid="{52409B99-F301-B34C-9C5C-341E50172E30}" name="years_of_experience"/>
    <tableColumn id="11" xr3:uid="{9B04D3C9-9789-2041-B86C-FE20963BB3A7}" name="Experience _buckets"/>
    <tableColumn id="12" xr3:uid="{841635C5-99B0-BF44-8323-0A9CDF3685BF}" name="hourly_rate (USD)_raw"/>
    <tableColumn id="13" xr3:uid="{9479191D-09B9-604E-A50C-DF59D68EEA36}" name="Hourly_rate" dataDxfId="40"/>
    <tableColumn id="14" xr3:uid="{E3C83690-AFB7-5D40-B6B5-10A8458CF276}" name="Rating"/>
    <tableColumn id="15" xr3:uid="{88FE3D74-B5DB-7048-9A72-2DA267ABEEC4}" name="is_active"/>
    <tableColumn id="16" xr3:uid="{260005B5-7D81-5045-BCC4-8B825670BEFD}" name="Status"/>
    <tableColumn id="17" xr3:uid="{1469D986-7E53-414D-BD89-2D655E9D004E}" name="client_satisfaction_raw"/>
    <tableColumn id="18" xr3:uid="{1AF4847D-6A30-4148-B12C-22143E9DF919}" name="Customer_satisfaction"/>
    <tableColumn id="19" xr3:uid="{4576643C-C64B-024F-A23D-0D1AF1ED48BE}" name="Column1"/>
    <tableColumn id="20" xr3:uid="{C19CCFA1-598E-8747-A612-014606CAAF52}" name="Column2"/>
    <tableColumn id="21" xr3:uid="{3E2F37D0-E643-5C4D-9C11-5DC165D30418}" name="Column3"/>
    <tableColumn id="22" xr3:uid="{FBA601C3-0A5E-8944-A409-D246FFB85031}" name="Column4"/>
    <tableColumn id="23" xr3:uid="{3305808D-412B-5D4B-B51E-B74613477C1B}" name="Column5"/>
    <tableColumn id="24" xr3:uid="{AA175A3F-0257-3147-A785-95AF9C75132F}" name="Column6"/>
    <tableColumn id="25" xr3:uid="{7B11915B-E2F1-3D41-B9CB-F1D39A7D59D4}" name="Column7"/>
    <tableColumn id="26" xr3:uid="{1F69559D-5B81-0545-813E-9849165863D7}" name="Column8"/>
    <tableColumn id="27" xr3:uid="{AD0EBD87-BDA1-374F-B021-167C30D2B13F}" name="Column9"/>
    <tableColumn id="28" xr3:uid="{1ACF99E4-A0C2-064D-849A-320E63F87F3A}" name="Column10"/>
    <tableColumn id="29" xr3:uid="{D5EFC068-A4F2-0245-ABA8-EF4F2DAAA214}" name="Column11"/>
    <tableColumn id="30" xr3:uid="{2B7297D2-3714-A64D-853F-3CD9C1602FD9}" name="Column12"/>
    <tableColumn id="31" xr3:uid="{FBA22C46-C309-8E4D-948C-EB46C04A4FF5}" name="Column13"/>
    <tableColumn id="32" xr3:uid="{CD93BEA9-ED9B-D14E-8266-EF4F44BD38DC}" name="Column14"/>
    <tableColumn id="33" xr3:uid="{D51A9B90-A5D4-6C4B-AC8D-9418B78E1599}" name="Column15"/>
    <tableColumn id="34" xr3:uid="{4D96B1CC-97F8-974C-8863-4303A7CD5E14}" name="Column16"/>
    <tableColumn id="35" xr3:uid="{FBC6F0CD-3128-4E40-84DB-DF3B6B2721C5}" name="Column17"/>
    <tableColumn id="36" xr3:uid="{A2135C5E-A17E-3046-B27C-A381FB4186B6}" name="Column18"/>
    <tableColumn id="37" xr3:uid="{6DB9E07B-6AD3-524F-8F6C-4B5CC54AF690}" name="Column19"/>
    <tableColumn id="38" xr3:uid="{BE8F9EFB-3157-6A48-BDB0-34A00E9EEBC5}" name="Column20"/>
    <tableColumn id="39" xr3:uid="{FD9769A2-5B1D-CA49-867B-404DECBF445F}" name="Column21"/>
    <tableColumn id="40" xr3:uid="{4EDB7BAE-2D49-DD48-8D7C-9A0136FC8351}" name="Column22"/>
    <tableColumn id="41" xr3:uid="{2C12D37A-9DB2-9848-AB11-9619AB975469}" name="Column23"/>
    <tableColumn id="42" xr3:uid="{B46FE1ED-676E-BA40-8E8B-BA260D86C6DB}" name="Column24"/>
    <tableColumn id="43" xr3:uid="{1AE4EC10-0EBD-0C4A-B796-E6428FD7E201}" name="Column25"/>
    <tableColumn id="44" xr3:uid="{6C2F4113-6038-7642-B27F-8DC0121755C3}" name="Column26"/>
    <tableColumn id="45" xr3:uid="{1AE05DBF-EE42-F144-8EEA-295750A4F9D6}" name="Column27"/>
    <tableColumn id="46" xr3:uid="{3A73D015-3CBF-A646-8C47-18899F14DC94}" name="Column28"/>
    <tableColumn id="47" xr3:uid="{30113733-5BBD-414F-AB14-6D7834EBE65C}" name="Column29"/>
    <tableColumn id="48" xr3:uid="{CC36778C-1C21-5C47-AA38-C4004D74F1D8}" name="Column30"/>
    <tableColumn id="49" xr3:uid="{7C795127-C138-4044-9B43-4902083DD3B5}" name="Column31"/>
    <tableColumn id="50" xr3:uid="{47199A3F-44AD-8649-AD29-17359C6BB4E7}" name="Column32"/>
    <tableColumn id="51" xr3:uid="{044869A1-CC01-FE42-938E-52334D3763B3}" name="Column33"/>
    <tableColumn id="52" xr3:uid="{FC9C5443-094B-F046-9F22-DC80BEBC4C52}" name="Column34"/>
    <tableColumn id="53" xr3:uid="{1BDF7F7E-3ABB-5B40-8376-0BF0B8CDD238}" name="Column35"/>
    <tableColumn id="54" xr3:uid="{D4438FB6-00FB-2F4E-966D-AE0A965543CE}" name="Column36"/>
    <tableColumn id="55" xr3:uid="{47CB18E5-D757-E34F-8327-B6022667C4B6}" name="Column37"/>
    <tableColumn id="56" xr3:uid="{F719AEFD-C7C1-7F4D-ABE6-2001A815E8A3}" name="Column38"/>
    <tableColumn id="57" xr3:uid="{B2F3ACAB-CA0C-064D-A854-03BFC69CB757}" name="Column39"/>
    <tableColumn id="58" xr3:uid="{2C0E31E0-B54F-0E4D-9A69-1A876F349934}" name="Column40"/>
    <tableColumn id="59" xr3:uid="{CFCE950C-6BC4-1B42-A3BF-5870B59D3D9E}" name="Column41"/>
    <tableColumn id="60" xr3:uid="{4AE0C408-1BDD-2C4F-8D8B-9A38FBEDD12B}" name="Column42"/>
    <tableColumn id="61" xr3:uid="{910578B0-1855-6340-BBEB-E88DAFE6CE90}" name="Column43"/>
    <tableColumn id="62" xr3:uid="{ABBF49B8-8E53-324B-8020-2329E1E913B2}" name="Column44"/>
    <tableColumn id="63" xr3:uid="{203E2FE5-8D66-3943-9F48-829ABA31111C}" name="Column45"/>
    <tableColumn id="64" xr3:uid="{0574FC65-DF88-1F43-AFBA-4BF526EB8244}" name="Column46"/>
    <tableColumn id="65" xr3:uid="{C839804D-DFA7-F445-9A01-27E9E062E424}" name="Column47"/>
    <tableColumn id="66" xr3:uid="{5BC76EDF-90DE-974A-B254-D2D325F5B945}" name="Column48"/>
    <tableColumn id="67" xr3:uid="{1085A9B3-30EC-D647-83E9-9EEA9FCD972F}" name="Column49"/>
    <tableColumn id="68" xr3:uid="{1BC7137B-1C97-F344-8A20-CB04315F07A7}" name="Column50"/>
    <tableColumn id="69" xr3:uid="{EDA4CE6D-7F39-374D-9B4B-1D2C5E9B2F0F}" name="Column51"/>
    <tableColumn id="70" xr3:uid="{D4886111-93BF-544D-B014-96DA1B067E65}" name="Column52"/>
    <tableColumn id="71" xr3:uid="{2F29A0E1-68A3-AD40-8DF7-36DEBE2B5C08}" name="Column53"/>
    <tableColumn id="72" xr3:uid="{A01CFFDF-FBC7-654D-B4F2-803FE8BEFEA1}" name="Column54"/>
    <tableColumn id="73" xr3:uid="{45AAE3AF-D5DD-1442-A5E4-E9128B3D134B}" name="Column55"/>
    <tableColumn id="74" xr3:uid="{202F12B8-FA23-D843-A15A-A7FC580268AF}" name="Column56"/>
    <tableColumn id="75" xr3:uid="{9D673C2D-5DCD-7B4F-AE7C-6822E5C1960A}" name="Column57"/>
    <tableColumn id="76" xr3:uid="{96AAB31C-343E-804A-8A47-27DE9BC3585C}" name="Column58"/>
    <tableColumn id="77" xr3:uid="{E367E871-5FA0-8B42-ABCA-66A42E3588E2}" name="Column59"/>
    <tableColumn id="78" xr3:uid="{D170FE3B-E8CE-964F-A5B8-85F544B69C1E}" name="Column60"/>
    <tableColumn id="79" xr3:uid="{735C3061-0BCB-9A45-8554-05B25CEB57EA}" name="Column61"/>
    <tableColumn id="80" xr3:uid="{A6FD257C-1A51-3D48-BFA5-B0BD76AA434F}" name="Column62"/>
    <tableColumn id="81" xr3:uid="{433885FD-2948-4B48-84F2-5198C146A9B1}" name="Column63"/>
    <tableColumn id="82" xr3:uid="{889DF86C-C92A-804A-A22C-3F7B7D814C02}" name="Column64"/>
    <tableColumn id="83" xr3:uid="{38BC905E-76E3-794E-B03D-AC47DAEA067F}" name="Column65"/>
    <tableColumn id="84" xr3:uid="{290FCE3D-A7D3-2B4B-A204-EE4E10603DEC}" name="Column66"/>
    <tableColumn id="85" xr3:uid="{8C2806FD-23B1-EE4F-9CF8-99A13A4301B5}" name="Column67"/>
    <tableColumn id="86" xr3:uid="{DE35F84D-45A4-DC4C-BE35-79D8EA55E73C}" name="Column68"/>
    <tableColumn id="87" xr3:uid="{5AF13B4C-506A-F947-91A5-62AD33717F72}" name="Column69"/>
    <tableColumn id="88" xr3:uid="{928C3018-CF8D-7D46-A9E0-EFB068C7D982}" name="Column70"/>
    <tableColumn id="89" xr3:uid="{42011B0C-6990-444F-B475-71BB1D07D388}" name="Column71"/>
    <tableColumn id="90" xr3:uid="{32042F1F-50FA-8641-8188-6BE72DF100DB}" name="Column72"/>
    <tableColumn id="91" xr3:uid="{7C05EFB6-2595-5242-B3DC-075414D40438}" name="Column73"/>
    <tableColumn id="92" xr3:uid="{6AFC9E92-3A15-F94B-9A4A-16B5235960E3}" name="Column74"/>
    <tableColumn id="93" xr3:uid="{983E41F7-5804-E440-BF62-EDA3343B04B2}" name="Column75"/>
    <tableColumn id="94" xr3:uid="{7530FEDE-37AD-7B43-8499-E088338A95C7}" name="Column76"/>
    <tableColumn id="95" xr3:uid="{3FC90C26-3653-094E-B4A5-28AA72A3025D}" name="Column77"/>
    <tableColumn id="96" xr3:uid="{CBB43A81-C672-B843-B64A-15D5CF03FDC0}" name="Column78"/>
    <tableColumn id="97" xr3:uid="{E16B6CDF-CC6F-DB4F-9BCD-69B15B4DCEBF}" name="Column79"/>
    <tableColumn id="98" xr3:uid="{979F2707-CD94-1C40-8830-F65A1C924D35}" name="Column80"/>
    <tableColumn id="99" xr3:uid="{86399F5F-6BC1-8A4E-B0EA-BF2DE357C1BC}" name="Column81"/>
    <tableColumn id="100" xr3:uid="{EEB6D083-175C-1645-BFF7-88C6E9149234}" name="Column82"/>
    <tableColumn id="101" xr3:uid="{903B39BD-42FA-1341-B1D7-CB0D41774B56}" name="Column83"/>
    <tableColumn id="102" xr3:uid="{7E447976-B529-A74D-9D56-6F3EF268F90C}" name="Column84"/>
    <tableColumn id="103" xr3:uid="{65F6C05A-3A86-F84C-B112-95FE61B1AF69}" name="Column85"/>
    <tableColumn id="104" xr3:uid="{15FFA35F-6E62-0746-ACFC-674CDDCBECB6}" name="Column86"/>
    <tableColumn id="105" xr3:uid="{0AF80EBE-9270-2E46-BB8B-B25FEF627E21}" name="Column87"/>
    <tableColumn id="106" xr3:uid="{AD23CC0E-74D3-7642-BF9A-337A27709822}" name="Column88"/>
    <tableColumn id="107" xr3:uid="{31027858-871F-A948-AC18-7C1F6FD92878}" name="Column89"/>
    <tableColumn id="108" xr3:uid="{13B5967D-8276-9148-B46D-445F7C30D267}" name="Column90"/>
    <tableColumn id="109" xr3:uid="{B5A04517-A7D6-024A-A5D0-A60009C5D5E2}" name="Column91"/>
    <tableColumn id="110" xr3:uid="{410A7992-6616-1745-ACE5-AE7815513002}" name="Column92"/>
    <tableColumn id="111" xr3:uid="{454D036D-0162-6441-9E61-9018866D1E7F}" name="Column93"/>
    <tableColumn id="112" xr3:uid="{57E753F9-8295-5B4D-9592-E1E584CDE25B}" name="Column94"/>
    <tableColumn id="113" xr3:uid="{F984A238-8E2E-6640-979C-283346650EA9}" name="Column95"/>
    <tableColumn id="114" xr3:uid="{E834F24A-54B5-9349-9C68-85EEE44454B5}" name="Column96"/>
    <tableColumn id="115" xr3:uid="{6632872E-6BE7-934B-A23A-41B904FDA6D9}" name="Column97"/>
    <tableColumn id="116" xr3:uid="{50EB7661-D6BA-9A43-8E14-41020501C548}" name="Column98"/>
    <tableColumn id="117" xr3:uid="{0C18BA7A-9298-C24B-9C7F-4DE767F5DA94}" name="Column99"/>
    <tableColumn id="118" xr3:uid="{425CEE6C-A637-EB4B-B426-C4F12081222A}" name="Column100"/>
    <tableColumn id="119" xr3:uid="{71FCCA7F-86FF-D545-90A9-D39B49CF29B0}" name="Column101"/>
    <tableColumn id="120" xr3:uid="{21025701-5BA2-FE40-87A8-8840FC41809D}" name="Column102"/>
    <tableColumn id="121" xr3:uid="{C29293AD-D914-884E-BE36-D852FE524DB9}" name="Column103"/>
    <tableColumn id="122" xr3:uid="{1C1DB196-1B1E-4E4D-83DB-A24AC1189FF4}" name="Column104"/>
    <tableColumn id="123" xr3:uid="{0410F943-F76D-5D49-97D1-69D80F16C469}" name="Column105"/>
    <tableColumn id="124" xr3:uid="{7F724DC3-F80F-3943-8581-1B125AABB877}" name="Column106"/>
    <tableColumn id="125" xr3:uid="{9F1C87E0-440F-2C42-89FC-54F3BE421E5F}" name="Column107"/>
    <tableColumn id="126" xr3:uid="{528169E7-F6DF-ED49-9489-1CCD114D69FA}" name="Column108"/>
    <tableColumn id="127" xr3:uid="{5F69A71F-2390-B549-8219-ABFC749FCC42}" name="Column109"/>
    <tableColumn id="128" xr3:uid="{63666C27-15A4-8848-8FAA-FB7A75FBDFFA}" name="Column110"/>
    <tableColumn id="129" xr3:uid="{63E69B50-DE70-7B48-A057-BD70EB80B317}" name="Column111"/>
    <tableColumn id="130" xr3:uid="{BB25F86F-0BA1-7C4E-9B74-3CE0A9E7393D}" name="Column112"/>
    <tableColumn id="131" xr3:uid="{AFFC1B42-6A34-0548-82E8-6F1F6A22A31C}" name="Column113"/>
    <tableColumn id="132" xr3:uid="{FD656BCB-7EED-3345-968C-9A83FEA3E36A}" name="Column114"/>
    <tableColumn id="133" xr3:uid="{21B84D34-FFA4-5F40-B5BE-E65DD9181717}" name="Column115"/>
    <tableColumn id="134" xr3:uid="{641BED22-606C-C141-A0F3-1ED8DCA72751}" name="Column116"/>
    <tableColumn id="135" xr3:uid="{6B0CA697-DA95-4247-86DD-CC136882CD9A}" name="Column117"/>
    <tableColumn id="136" xr3:uid="{9E4D9F10-BB9B-8043-B4C9-32501ED13A56}" name="Column118"/>
    <tableColumn id="137" xr3:uid="{CE184EC3-EE6A-954F-9A1F-8F2FA8048F8D}" name="Column119"/>
    <tableColumn id="138" xr3:uid="{6010F234-7F57-D844-A4C4-A57B60FB5334}" name="Column120"/>
    <tableColumn id="139" xr3:uid="{25AD07BA-0C43-8C4B-BACE-A43E48F7F4BA}" name="Column121"/>
    <tableColumn id="140" xr3:uid="{AD5C8305-E575-0B4D-A65D-4608EAA9E884}" name="Column122"/>
    <tableColumn id="141" xr3:uid="{5380B479-8F04-C647-890E-21A8F40E389E}" name="Column123"/>
    <tableColumn id="142" xr3:uid="{75373103-CDCF-8B44-A8C6-7BB867ABFCB9}" name="Column124"/>
    <tableColumn id="143" xr3:uid="{B652AB5B-CB6F-EE4B-91D8-800B81C5F0FB}" name="Column125"/>
    <tableColumn id="144" xr3:uid="{C5333328-6E92-F149-BCF9-3AA52E4C43D0}" name="Column126"/>
    <tableColumn id="145" xr3:uid="{B2B7C4BD-794B-9141-B0A5-5B8B9FEE4CB3}" name="Column127"/>
    <tableColumn id="146" xr3:uid="{B5136F35-5D64-4744-A417-A5881294938C}" name="Column128"/>
    <tableColumn id="147" xr3:uid="{CC6B8622-BF73-B84D-8D42-7EAFB65AAB61}" name="Column129"/>
    <tableColumn id="148" xr3:uid="{CE6B51FB-CDD5-C343-A515-B260339BA714}" name="Column130"/>
    <tableColumn id="149" xr3:uid="{DB14651A-B824-6E46-9E1C-27D1C1D4F3A4}" name="Column131"/>
    <tableColumn id="150" xr3:uid="{80F9095E-9BCB-6645-A37F-CA6CD5017414}" name="Column132"/>
    <tableColumn id="151" xr3:uid="{367CA8ED-7405-B440-85B2-A86197D4CDA8}" name="Column133"/>
    <tableColumn id="152" xr3:uid="{DC1F53D8-2B47-F34E-AAED-ECA47E6BC6D9}" name="Column134"/>
    <tableColumn id="153" xr3:uid="{081186A8-7BAB-984A-9B9D-88D6D38A7D65}" name="Column135"/>
    <tableColumn id="154" xr3:uid="{22568529-0336-E846-8F11-E6CF8011ADDA}" name="Column136"/>
    <tableColumn id="155" xr3:uid="{7320F73E-6A3B-7C4F-8D5B-4AB0995B0457}" name="Column137"/>
    <tableColumn id="156" xr3:uid="{6130F8CC-7E8B-0748-9FD5-703452CD9BA3}" name="Column138"/>
    <tableColumn id="157" xr3:uid="{7004FAB6-611F-0044-B0E2-215B746DCB1D}" name="Column139"/>
    <tableColumn id="158" xr3:uid="{7D3BE1F6-DD52-954E-90BA-3D3F5FF067F2}" name="Column140"/>
    <tableColumn id="159" xr3:uid="{9886A949-52CB-5648-B784-42F06D01BF5C}" name="Column141"/>
    <tableColumn id="160" xr3:uid="{10CDD545-4B18-7147-90F0-804B23155EDD}" name="Column142"/>
    <tableColumn id="161" xr3:uid="{5D1D41DA-F267-E34B-A1F7-15A1FDAA0F7C}" name="Column143"/>
    <tableColumn id="162" xr3:uid="{E4C0F50B-8EC7-9B42-8E85-7C8F7FA44555}" name="Column144"/>
    <tableColumn id="163" xr3:uid="{9ECDA17A-5F44-1541-B12E-3E842233D089}" name="Column145"/>
    <tableColumn id="164" xr3:uid="{CEF45540-3943-264C-B8FC-1A16D17A2B92}" name="Column146"/>
    <tableColumn id="165" xr3:uid="{97C4FB53-A4BA-9548-865C-E678BE5EA632}" name="Column147"/>
    <tableColumn id="166" xr3:uid="{125B1918-D170-0946-AD59-243D5CA159A6}" name="Column148"/>
    <tableColumn id="167" xr3:uid="{8529E041-CAC2-4B4D-9AE8-E42D5C5CAC9F}" name="Column149"/>
    <tableColumn id="168" xr3:uid="{EA357BAC-3FB8-CF4C-A73A-4A5C0798E500}" name="Column150"/>
    <tableColumn id="169" xr3:uid="{F2B6FBD7-F5F9-D147-8941-C2FE71F7E0CE}" name="Column151"/>
    <tableColumn id="170" xr3:uid="{0B8FD766-4BCF-BC4E-B5FD-18BC3BADE8C7}" name="Column152"/>
    <tableColumn id="171" xr3:uid="{7783B2DF-382B-F449-AD9E-E233F68B5D2D}" name="Column153"/>
    <tableColumn id="172" xr3:uid="{DAF902BD-1AEE-1946-9FEE-4EAF2D88C395}" name="Column154"/>
    <tableColumn id="173" xr3:uid="{C8318A35-28D4-2B48-AC44-8A0691917351}" name="Column155"/>
    <tableColumn id="174" xr3:uid="{FF444C2E-EB22-C94B-A5B4-357F4B976039}" name="Column156"/>
    <tableColumn id="175" xr3:uid="{7EFC1A7E-E556-D348-8CD0-598583AE548E}" name="Column157"/>
    <tableColumn id="176" xr3:uid="{13340F34-CC25-3F41-A7BA-29FE7C8C4CD6}" name="Column158"/>
    <tableColumn id="177" xr3:uid="{D1437273-8FAE-D947-B9E4-F1CC10F7F816}" name="Column159"/>
    <tableColumn id="178" xr3:uid="{38FBF738-EF65-DA40-B13D-8B409CD2E0B1}" name="Column160"/>
    <tableColumn id="179" xr3:uid="{F213DE7E-B74A-674E-92B6-307E0ACE634D}" name="Column161"/>
    <tableColumn id="180" xr3:uid="{7C0357E1-9EAC-8B42-857B-E80FD24D5268}" name="Column162"/>
    <tableColumn id="181" xr3:uid="{D2E21576-F422-964B-9A25-EA1BBE04E004}" name="Column163"/>
    <tableColumn id="182" xr3:uid="{65F8300C-745A-E948-960F-F99878600616}" name="Column164"/>
    <tableColumn id="183" xr3:uid="{7C594FBC-23E9-F045-8189-255B01274E7A}" name="Column165"/>
    <tableColumn id="184" xr3:uid="{2B8683C3-9434-BC4B-BB88-A8AB0ABE8125}" name="Column166"/>
    <tableColumn id="185" xr3:uid="{31E9A56E-ED97-CC48-9BD7-9E1839829F39}" name="Column167"/>
    <tableColumn id="186" xr3:uid="{10B84CFA-B8B5-BF4E-8FCA-E8FF6CF26116}" name="Column168"/>
    <tableColumn id="187" xr3:uid="{B60C5367-5915-C24F-B867-60C28BF579F8}" name="Column169"/>
    <tableColumn id="188" xr3:uid="{47458FC4-943F-EF41-A053-9199FCF59F4A}" name="Column170"/>
    <tableColumn id="189" xr3:uid="{52A49C54-609D-0B4A-B934-12BDECA9B828}" name="Column171"/>
    <tableColumn id="190" xr3:uid="{C4B8E0AA-5055-B24E-B1D9-8C8F05558EF5}" name="Column172"/>
    <tableColumn id="191" xr3:uid="{D0F6135C-A052-EF48-9E80-CCFAB083E959}" name="Column173"/>
    <tableColumn id="192" xr3:uid="{B41D7444-D0C6-D346-9602-BA732392FAA8}" name="Column174"/>
    <tableColumn id="193" xr3:uid="{287CA198-40E0-EC4E-9169-3A24F14ADB1D}" name="Column175"/>
    <tableColumn id="194" xr3:uid="{10E42A61-217B-464B-BCF2-E20FBEEC06BC}" name="Column176"/>
    <tableColumn id="195" xr3:uid="{42E1F94E-C748-F347-AA8C-4AE5E594E4CD}" name="Column177"/>
    <tableColumn id="196" xr3:uid="{FDDC418E-1AD9-5449-9C81-C95DBF24BD86}" name="Column178"/>
    <tableColumn id="197" xr3:uid="{7E361F02-5390-AB4F-B21C-FC703CC53979}" name="Column179"/>
    <tableColumn id="198" xr3:uid="{4C5C3112-E654-C74B-A9D3-D946FBC40672}" name="Column180"/>
    <tableColumn id="199" xr3:uid="{41BDCA30-2911-B547-B133-CA057C35B31B}" name="Column181"/>
    <tableColumn id="200" xr3:uid="{2E912128-E63E-A440-A72E-81E419BDE14C}" name="Column182"/>
    <tableColumn id="201" xr3:uid="{B2B761CB-A50C-7343-8972-E15286E37BAB}" name="Column183"/>
    <tableColumn id="202" xr3:uid="{7B30FF5F-387D-A344-A55C-175158839C79}" name="Column184"/>
    <tableColumn id="203" xr3:uid="{E0C29BD8-CEAF-884B-B3ED-DFC7FE645209}" name="Column185"/>
    <tableColumn id="204" xr3:uid="{B87466BA-B249-804A-8F0A-29A8CEC37F86}" name="Column186"/>
    <tableColumn id="205" xr3:uid="{DCBF56A8-F828-F04B-B336-5150319D37D4}" name="Column187"/>
    <tableColumn id="206" xr3:uid="{5077B00F-42F9-1D48-89CB-C118277ACBB2}" name="Column188"/>
    <tableColumn id="207" xr3:uid="{4FCE2322-56A2-CB47-B043-71B7E283970B}" name="Column189"/>
    <tableColumn id="208" xr3:uid="{16EFF5F1-6CBC-7C4B-948F-B7F99F6E97E5}" name="Column190"/>
    <tableColumn id="209" xr3:uid="{D3D19ED6-0276-864B-AF85-270F98C0E16A}" name="Column191"/>
    <tableColumn id="210" xr3:uid="{7672E7F2-5418-AB4F-83AF-C23ED0F48EAD}" name="Column192"/>
    <tableColumn id="211" xr3:uid="{CE581D14-7FCF-2644-B7CF-9C420A25D24F}" name="Column193"/>
    <tableColumn id="212" xr3:uid="{AF0208BB-7058-764B-8885-B77943084A73}" name="Column194"/>
    <tableColumn id="213" xr3:uid="{ED153A43-A3DD-A546-963C-66AD9EC77778}" name="Column195"/>
    <tableColumn id="214" xr3:uid="{E32712BF-FE81-7542-9802-28842522C637}" name="Column196"/>
    <tableColumn id="215" xr3:uid="{65845D2A-6988-3A48-8A99-CE6BED480E01}" name="Column197"/>
    <tableColumn id="216" xr3:uid="{2D2F8DEC-E2BB-F849-98AC-96E5ED8E04C3}" name="Column198"/>
    <tableColumn id="217" xr3:uid="{63EE23E1-0065-CC42-A98D-4AB34A4612FB}" name="Column199"/>
    <tableColumn id="218" xr3:uid="{E8EC976F-B9DA-E24E-A1D3-A1DFA614CE7D}" name="Column200"/>
    <tableColumn id="219" xr3:uid="{FF78AA8E-ECBF-D947-8677-7D4A7B235651}" name="Column201"/>
    <tableColumn id="220" xr3:uid="{432EE7C4-FD34-F447-A0AB-2E49F2B84DAC}" name="Column202"/>
    <tableColumn id="221" xr3:uid="{C15E2FBF-2950-3F4E-8EFE-453139C15130}" name="Column203"/>
    <tableColumn id="222" xr3:uid="{B571E7D4-19DA-4E46-8A05-38FAE96B45C8}" name="Column204"/>
    <tableColumn id="223" xr3:uid="{51C68CCB-F091-EF4F-912D-638AD76EE1DA}" name="Column205"/>
    <tableColumn id="224" xr3:uid="{453B5368-9864-2640-97A8-75F597D81883}" name="Column206"/>
    <tableColumn id="225" xr3:uid="{BEDB9284-4B00-8B46-8EE9-111ECF60CEFA}" name="Column207"/>
    <tableColumn id="226" xr3:uid="{F01C7D99-F85B-D144-9E32-5801CAE168EE}" name="Column208"/>
    <tableColumn id="227" xr3:uid="{0B23A117-9743-584D-904E-CDE605F41F05}" name="Column209"/>
    <tableColumn id="228" xr3:uid="{94629C54-7FA3-0848-8C4D-4534A3A9D4DB}" name="Column210"/>
    <tableColumn id="229" xr3:uid="{F1D7392E-693E-0E4F-B82D-03BFE235C5E1}" name="Column211"/>
    <tableColumn id="230" xr3:uid="{DB35BDEB-B3F7-874E-B27D-3616BFE9A444}" name="Column212"/>
    <tableColumn id="231" xr3:uid="{9BF27B93-7DD8-7A44-86FD-87B0E789B4DD}" name="Column213"/>
    <tableColumn id="232" xr3:uid="{45465C32-71A4-1E4F-8DD1-F39A11311C5E}" name="Column214"/>
    <tableColumn id="233" xr3:uid="{326711F7-FE44-4048-AA76-F12DC2ADD93E}" name="Column215"/>
    <tableColumn id="234" xr3:uid="{5D601014-0619-684B-A5BB-50E5FCCC2063}" name="Column216"/>
    <tableColumn id="235" xr3:uid="{A812BC1D-6570-F747-9370-AB508BBEBF68}" name="Column217"/>
    <tableColumn id="236" xr3:uid="{DBA829B5-3253-DB43-8FAE-D36E08A0B7F3}" name="Column218"/>
    <tableColumn id="237" xr3:uid="{51861D30-D7C1-724A-B313-EE0E94327B9C}" name="Column219"/>
    <tableColumn id="238" xr3:uid="{DEA68716-4DA4-7044-BE93-706F565761D7}" name="Column220"/>
    <tableColumn id="239" xr3:uid="{10C95846-0117-7346-9E4F-E64899FF261E}" name="Column221"/>
    <tableColumn id="240" xr3:uid="{5E6DAF82-2C56-9341-AA34-D3312EB429C3}" name="Column222"/>
    <tableColumn id="241" xr3:uid="{76E98245-80B5-C94E-8B75-F5A969E4F254}" name="Column223"/>
    <tableColumn id="242" xr3:uid="{0C83660F-CEC2-054B-8FDD-2E38AF9E564F}" name="Column224"/>
    <tableColumn id="243" xr3:uid="{435239B0-16D0-4544-A900-5B3E3C4BDAA5}" name="Column225"/>
    <tableColumn id="244" xr3:uid="{9D600C0D-BEE7-DC41-89CF-63B3E0A3A798}" name="Column226"/>
    <tableColumn id="245" xr3:uid="{64ED190D-BF91-A647-9438-BDEDD0C17E34}" name="Column227"/>
    <tableColumn id="246" xr3:uid="{FC0714C0-F08A-BB47-8E86-82DBC1F240BE}" name="Column228"/>
    <tableColumn id="247" xr3:uid="{74D51E2B-91AC-B14A-8543-B11FCCC1B686}" name="Column229"/>
    <tableColumn id="248" xr3:uid="{37FEE76A-BA29-B549-9D84-FEF5BBFC930C}" name="Column230"/>
    <tableColumn id="249" xr3:uid="{9B8259E8-A059-8B4E-8110-395B9F0F77D9}" name="Column231"/>
    <tableColumn id="250" xr3:uid="{89562D8E-BBC4-3C45-877F-72BB0EC54D5D}" name="Column232"/>
    <tableColumn id="251" xr3:uid="{042F8641-D977-3D45-ADC9-4687A43660F7}" name="Column233"/>
    <tableColumn id="252" xr3:uid="{AC5A4F71-0492-934C-966E-B18C56EDACB6}" name="Column234"/>
    <tableColumn id="253" xr3:uid="{E08273AC-683B-2542-B60B-4C783D6E1F35}" name="Column235"/>
    <tableColumn id="254" xr3:uid="{EECBBC17-4F62-8D40-870B-BF038EFD43B7}" name="Column236"/>
    <tableColumn id="255" xr3:uid="{FE985ACA-7F4E-D545-8910-906B270B3E06}" name="Column237"/>
    <tableColumn id="256" xr3:uid="{88327F56-D42C-694F-A257-B3FA855D33C9}" name="Column238"/>
    <tableColumn id="257" xr3:uid="{4CD90651-8CC4-EB4B-B4A0-814C6CE280AC}" name="Column239"/>
    <tableColumn id="258" xr3:uid="{D66EFA80-C715-EA4B-94E3-9421702584B0}" name="Column240"/>
    <tableColumn id="259" xr3:uid="{B81709E9-7FBE-4B42-B421-0992512FCD8C}" name="Column241"/>
    <tableColumn id="260" xr3:uid="{27DF5D89-170A-0141-82EE-6ECAB52BC9AE}" name="Column242"/>
    <tableColumn id="261" xr3:uid="{E78C396F-17AD-D742-81A0-2CCDFDF21193}" name="Column243"/>
    <tableColumn id="262" xr3:uid="{2BA7EB23-0979-C54D-9C2A-F685E8F9A7B4}" name="Column244"/>
    <tableColumn id="263" xr3:uid="{2D336965-EF93-7B4A-99CF-3A2252639CF5}" name="Column245"/>
    <tableColumn id="264" xr3:uid="{27EFCC89-E5C1-3441-AAFA-28E77954AE60}" name="Column246"/>
    <tableColumn id="265" xr3:uid="{FE2F0F83-C084-7840-89BF-21E8B644D793}" name="Column247"/>
    <tableColumn id="266" xr3:uid="{59662FBB-C90A-0C4E-AB36-706E661DC6CA}" name="Column248"/>
    <tableColumn id="267" xr3:uid="{B22314BA-9EBC-CF43-8155-45E97EB4DF59}" name="Column249"/>
    <tableColumn id="268" xr3:uid="{1E840FC0-85E7-1B47-93A0-99B2972DF5DE}" name="Column250"/>
    <tableColumn id="269" xr3:uid="{A5723C25-9694-C444-A131-96A72EA21F14}" name="Column251"/>
    <tableColumn id="270" xr3:uid="{42C63C4E-FFE5-CE4D-82A2-27E4C7641052}" name="Column252"/>
    <tableColumn id="271" xr3:uid="{3C386424-803A-6649-AEE4-53C801E781F8}" name="Column253"/>
    <tableColumn id="272" xr3:uid="{A2BD3BFA-1E70-684C-91F0-3EB0C67386EA}" name="Column254"/>
    <tableColumn id="273" xr3:uid="{00975F58-9E17-F646-AAD5-9B6154040448}" name="Column255"/>
    <tableColumn id="274" xr3:uid="{85A24653-0C18-5E41-A3D8-F25DD15F6153}" name="Column256"/>
    <tableColumn id="275" xr3:uid="{EEC08384-3F0E-B14B-A480-FC62B4ECBEDD}" name="Column257"/>
    <tableColumn id="276" xr3:uid="{2677A463-CEC0-D44D-99DA-CBC922AC6318}" name="Column258"/>
    <tableColumn id="277" xr3:uid="{F3FC9F99-6AB1-004B-B887-D612E1A15F66}" name="Column259"/>
    <tableColumn id="278" xr3:uid="{C33563D1-86FB-FA43-95D4-0A90D9ADDEA1}" name="Column260"/>
    <tableColumn id="279" xr3:uid="{FC07C905-6DE6-E74F-92D4-DC44AA5449B3}" name="Column261"/>
    <tableColumn id="280" xr3:uid="{7E89787E-3545-FD43-BDA3-29EC69A907F4}" name="Column262"/>
    <tableColumn id="281" xr3:uid="{74CC9933-96D3-774F-AD67-5ECEF5B66A4D}" name="Column263"/>
    <tableColumn id="282" xr3:uid="{10AF9A63-5900-4D42-BD8E-D78A0B9D8010}" name="Column264"/>
    <tableColumn id="283" xr3:uid="{868D677D-BBBF-754E-BA25-5017A164EA05}" name="Column265"/>
    <tableColumn id="284" xr3:uid="{48FE91A8-BCF8-764E-925A-2E31E5477EDB}" name="Column266"/>
    <tableColumn id="285" xr3:uid="{4A84E6EA-84BD-A74D-AC5D-821BD86FBCA0}" name="Column267"/>
    <tableColumn id="286" xr3:uid="{77BD6966-D4F1-194B-917F-24F7692AA734}" name="Column268"/>
    <tableColumn id="287" xr3:uid="{17563F96-6DCA-714D-9913-E2CC80E42D11}" name="Column269"/>
    <tableColumn id="288" xr3:uid="{47F02250-1A30-7B40-9406-01C4B5F6C69D}" name="Column270"/>
    <tableColumn id="289" xr3:uid="{82D92C60-6671-F147-BC95-B84EC2BE54FF}" name="Column271"/>
    <tableColumn id="290" xr3:uid="{90C69CB8-52F5-3D40-A2F0-F75A9A28483C}" name="Column272"/>
    <tableColumn id="291" xr3:uid="{96E9E348-FB37-7442-B5B0-1B577617BCDE}" name="Column273"/>
    <tableColumn id="292" xr3:uid="{6FF273C7-4E63-E349-A1A8-E67750259134}" name="Column274"/>
    <tableColumn id="293" xr3:uid="{5090EC48-8D83-574C-AFFA-0CA8ADF957E0}" name="Column275"/>
    <tableColumn id="294" xr3:uid="{F9B55755-1D01-9D4E-90D7-41BF80B98489}" name="Column276"/>
    <tableColumn id="295" xr3:uid="{F01045EE-A918-8D48-9886-7831FFB24C16}" name="Column277"/>
    <tableColumn id="296" xr3:uid="{FF5E29DD-BDA0-5F48-B457-C908F6AB679A}" name="Column278"/>
    <tableColumn id="297" xr3:uid="{E36697F6-846A-EF44-8B56-236ED8CE1103}" name="Column279"/>
    <tableColumn id="298" xr3:uid="{D88817EC-88A9-8947-A820-1775BD26D844}" name="Column280"/>
    <tableColumn id="299" xr3:uid="{7B2B0DC6-8531-434D-824B-ABF351560FA4}" name="Column281"/>
    <tableColumn id="300" xr3:uid="{542BED70-3B6C-9E48-A376-51D48593BA15}" name="Column282"/>
    <tableColumn id="301" xr3:uid="{D4105BC8-643D-3248-BB61-B4676F9173D2}" name="Column283"/>
    <tableColumn id="302" xr3:uid="{B5F6B2A1-7A20-5348-9EA5-0AC8C934040E}" name="Column284"/>
    <tableColumn id="303" xr3:uid="{8F80A53E-37BF-6E49-A6A8-3CC887818549}" name="Column285"/>
    <tableColumn id="304" xr3:uid="{AE35BDC0-D5DD-4C47-A4C9-73839534C9FA}" name="Column286"/>
    <tableColumn id="305" xr3:uid="{B278F9FD-5F3D-6843-AC8A-8F5BA73C82F9}" name="Column287"/>
    <tableColumn id="306" xr3:uid="{3768A782-1259-DF40-B6C3-A853950BF44E}" name="Column288"/>
    <tableColumn id="307" xr3:uid="{E9C57CAE-EFC7-BD46-B43B-6E7CF07EB7F2}" name="Column289"/>
    <tableColumn id="308" xr3:uid="{E571877A-F781-B34E-A5A1-CE7B9F35E421}" name="Column290"/>
    <tableColumn id="309" xr3:uid="{9DA14826-B33B-5E4D-BB8D-EDA84BC75E1B}" name="Column291"/>
    <tableColumn id="310" xr3:uid="{0EE1CECF-4574-7B44-AEEA-FD5384686D19}" name="Column292"/>
    <tableColumn id="311" xr3:uid="{E0AF3A89-A39B-EB4D-BC5A-61AB69B89600}" name="Column293"/>
    <tableColumn id="312" xr3:uid="{4A799606-F372-0040-A8AC-2FB350880C1E}" name="Column294"/>
    <tableColumn id="313" xr3:uid="{78DEE5EB-450F-4E4C-B8B3-A190AD5C1274}" name="Column295"/>
    <tableColumn id="314" xr3:uid="{39F6621F-F37D-8A46-8931-1B890629A249}" name="Column296"/>
    <tableColumn id="315" xr3:uid="{E736C141-C16D-474E-A2C8-DBA58A2D0312}" name="Column297"/>
    <tableColumn id="316" xr3:uid="{9E2D771F-58BA-AD47-BDCE-2AA556B1AB86}" name="Column298"/>
    <tableColumn id="317" xr3:uid="{E58392BA-768F-614B-AFE1-EFD00EF6F755}" name="Column299"/>
    <tableColumn id="318" xr3:uid="{5518C2B2-08A7-7F4B-88C7-44956A99DDC6}" name="Column300"/>
    <tableColumn id="319" xr3:uid="{BD2E54F7-82F0-D348-833A-85AC2CD21D49}" name="Column301"/>
    <tableColumn id="320" xr3:uid="{04F21065-D3C4-3A4A-89C4-16925C919C7B}" name="Column302"/>
    <tableColumn id="321" xr3:uid="{77B2EA08-F1EC-4245-9673-5416CB4A9F71}" name="Column303"/>
    <tableColumn id="322" xr3:uid="{AB80F53D-500E-3A40-85FE-D27F15F3B37D}" name="Column304"/>
    <tableColumn id="323" xr3:uid="{FD2D94A0-FC1F-A747-9747-DA1592974B65}" name="Column305"/>
    <tableColumn id="324" xr3:uid="{51CD54E3-1A80-1D4B-8539-0D971A640A6B}" name="Column306"/>
    <tableColumn id="325" xr3:uid="{0E466F29-B216-524F-8A86-5E2A46C99E2A}" name="Column307"/>
    <tableColumn id="326" xr3:uid="{AEEF5BE4-7881-C842-8B1E-FAE97C5810E8}" name="Column308"/>
    <tableColumn id="327" xr3:uid="{A7C19F76-97BA-7A4E-BFFF-23E4D4464622}" name="Column309"/>
    <tableColumn id="328" xr3:uid="{0BB20BA0-B92E-BD49-AB11-F2075CC31885}" name="Column310"/>
    <tableColumn id="329" xr3:uid="{5D28EBD5-2F51-A646-A6A9-A24BA3096E6E}" name="Column311"/>
    <tableColumn id="330" xr3:uid="{DA15FEF1-2AEC-5C4E-89A5-51E831611C94}" name="Column312"/>
    <tableColumn id="331" xr3:uid="{41A3EA15-C758-F249-ADAC-182B80216823}" name="Column313"/>
    <tableColumn id="332" xr3:uid="{CB43C6DB-40A4-D04B-B59C-50D889B88A43}" name="Column314"/>
    <tableColumn id="333" xr3:uid="{F4BA3E60-82CF-3D43-987A-0A8750CEE68E}" name="Column315"/>
    <tableColumn id="334" xr3:uid="{8F027513-DACC-5E47-A02E-5D7931BEDA5C}" name="Column316"/>
    <tableColumn id="335" xr3:uid="{BD20ACAE-54B6-B748-9812-AC5C0FB4CA38}" name="Column317"/>
    <tableColumn id="336" xr3:uid="{0E306327-78AA-BC40-B0AA-DCEFCA523EBF}" name="Column318"/>
    <tableColumn id="337" xr3:uid="{09D2B3EB-C12B-054D-AFE9-22077D4A1F64}" name="Column319"/>
    <tableColumn id="338" xr3:uid="{001CA38C-2B7B-AE49-819F-C72680ABC309}" name="Column320"/>
    <tableColumn id="339" xr3:uid="{FCD7C971-1A4A-4546-BAE4-5E5E4325B617}" name="Column321"/>
    <tableColumn id="340" xr3:uid="{481469CA-4261-0747-BA0B-BF5D8450F450}" name="Column322"/>
    <tableColumn id="341" xr3:uid="{42FDA122-FF15-554B-8C18-B2AF195DA49A}" name="Column323"/>
    <tableColumn id="342" xr3:uid="{A12D8F51-F70B-0841-A498-A495661D6E97}" name="Column324"/>
    <tableColumn id="343" xr3:uid="{8DD164C4-DBFC-E043-809F-4AA76E902466}" name="Column325"/>
    <tableColumn id="344" xr3:uid="{D29A5150-EADC-7646-A678-BFE766BA919A}" name="Column326"/>
    <tableColumn id="345" xr3:uid="{5C165365-33B2-554B-9E7F-E6522A8D5C6E}" name="Column327"/>
    <tableColumn id="346" xr3:uid="{9B4EBE50-C79A-3241-8B85-33864027CD82}" name="Column328"/>
    <tableColumn id="347" xr3:uid="{345D22F1-4897-BD42-BE16-13D2A5375E56}" name="Column329"/>
    <tableColumn id="348" xr3:uid="{F90D67E4-8EE7-3D4E-8582-27C090C61A06}" name="Column330"/>
    <tableColumn id="349" xr3:uid="{AEAF77B7-27FD-1F49-AC93-D6E6FF6E479A}" name="Column331"/>
    <tableColumn id="350" xr3:uid="{AE4A5357-0378-524D-97C0-50B7692B69FA}" name="Column332"/>
    <tableColumn id="351" xr3:uid="{20D78B65-58C2-6A48-A16E-1563EC5E0733}" name="Column333"/>
    <tableColumn id="352" xr3:uid="{19249B78-A3E8-5D46-B94E-EBCD5199C7F3}" name="Column334"/>
    <tableColumn id="353" xr3:uid="{D12A5D58-395F-3C44-90D8-A7BFCB38A987}" name="Column335"/>
    <tableColumn id="354" xr3:uid="{E2459425-8ECA-164C-B15D-1CAC132825D4}" name="Column336"/>
    <tableColumn id="355" xr3:uid="{63045771-F69B-8B4B-A184-D5C2A4640826}" name="Column337"/>
    <tableColumn id="356" xr3:uid="{57347EF7-74F5-9142-8471-078390254619}" name="Column338"/>
    <tableColumn id="357" xr3:uid="{6BB3AB12-1D15-224A-8650-8937F846E1F7}" name="Column339"/>
    <tableColumn id="358" xr3:uid="{9C7F1697-8A4D-0D49-A0C6-2C9AA317EF2F}" name="Column340"/>
    <tableColumn id="359" xr3:uid="{1ADB15B2-4B31-7E4D-AAED-B91492F35B29}" name="Column341"/>
    <tableColumn id="360" xr3:uid="{4F9C5D2A-FACD-ED4A-873A-F7ACEB9FC635}" name="Column342"/>
    <tableColumn id="361" xr3:uid="{1C3F1B36-CDC7-FB46-AB11-C51F613752EE}" name="Column343"/>
    <tableColumn id="362" xr3:uid="{EDB76223-25FB-ED4F-B40B-DC864C6F4DF2}" name="Column344"/>
    <tableColumn id="363" xr3:uid="{66DF3F65-F931-3A48-8001-6C1D26DD5C4E}" name="Column345"/>
    <tableColumn id="364" xr3:uid="{52F02E95-F003-B245-BF16-E9C825DB70E6}" name="Column346"/>
    <tableColumn id="365" xr3:uid="{36111333-0586-1F4B-8BA9-32D5C3627905}" name="Column347"/>
    <tableColumn id="366" xr3:uid="{6681CBC7-21AC-3640-BEFA-7D03EF432686}" name="Column348"/>
    <tableColumn id="367" xr3:uid="{528AFE8E-69FA-A84F-ACA3-0C06213A803B}" name="Column349"/>
    <tableColumn id="368" xr3:uid="{29E6B63E-4695-6C44-B5EC-417DF079987C}" name="Column350"/>
    <tableColumn id="369" xr3:uid="{94D1C467-456D-DF45-91F3-CF03058C541B}" name="Column351"/>
    <tableColumn id="370" xr3:uid="{5622BD7A-748A-824C-A31B-D3762BEEA1A1}" name="Column352"/>
    <tableColumn id="371" xr3:uid="{7794B03F-4570-0F4B-98FF-4DD2A15A1F02}" name="Column353"/>
    <tableColumn id="372" xr3:uid="{55FB3A48-03E5-2A40-9B77-D7E2A1A097F8}" name="Column354"/>
    <tableColumn id="373" xr3:uid="{94BC0B15-AE18-F747-84E2-5A6F39811C6D}" name="Column355"/>
    <tableColumn id="374" xr3:uid="{81098E51-83E2-E94B-B09E-AB3090D0CD4B}" name="Column356"/>
    <tableColumn id="375" xr3:uid="{D7B88BA3-6936-8C41-9628-74E5749AC594}" name="Column357"/>
    <tableColumn id="376" xr3:uid="{128188F5-C6EB-8444-A563-ADB0C341B898}" name="Column358"/>
    <tableColumn id="377" xr3:uid="{EE3F03F2-3D7C-2F4B-B153-E692580728F3}" name="Column359"/>
    <tableColumn id="378" xr3:uid="{8BE8F642-C506-5441-8BAE-D30ACC371DA7}" name="Column360"/>
    <tableColumn id="379" xr3:uid="{96858F86-A1A9-6344-BC9A-F85CF979F729}" name="Column361"/>
    <tableColumn id="380" xr3:uid="{8B5036BA-7B80-694A-86C5-9547CF9D56D6}" name="Column362"/>
    <tableColumn id="381" xr3:uid="{BD93B8F3-AC20-494F-B24A-04CFB9FE06EC}" name="Column363"/>
    <tableColumn id="382" xr3:uid="{3389AA0A-346F-D54F-953A-04C55DDAE674}" name="Column364"/>
    <tableColumn id="383" xr3:uid="{F1F9863E-BBFD-A14B-9FF7-126030EEBDEA}" name="Column365"/>
    <tableColumn id="384" xr3:uid="{80C911A1-3F9D-204A-8781-230319EBB6AD}" name="Column366"/>
    <tableColumn id="385" xr3:uid="{B2805E41-F698-0E47-A65A-3E66D8352E36}" name="Column367"/>
    <tableColumn id="386" xr3:uid="{428F0DAC-702A-B246-9A56-0072A35ADA9B}" name="Column368"/>
    <tableColumn id="387" xr3:uid="{A74134CD-EFB2-9547-A1C1-6B2EF6B9C689}" name="Column369"/>
    <tableColumn id="388" xr3:uid="{598956E8-FFD3-F346-823E-DBDC46CFE47F}" name="Column370"/>
    <tableColumn id="389" xr3:uid="{CE874BC0-26D3-FB4E-BC05-6801770B247B}" name="Column371"/>
    <tableColumn id="390" xr3:uid="{C85A1E30-FEB5-6B4F-929C-36387DB443B7}" name="Column372"/>
    <tableColumn id="391" xr3:uid="{A8BD8639-B675-5A4E-9154-8B9FEAEB7361}" name="Column373"/>
    <tableColumn id="392" xr3:uid="{01EDF0CB-C2B1-6B43-A21F-CC28289376D1}" name="Column374"/>
    <tableColumn id="393" xr3:uid="{CDE87624-EF60-A64D-8550-2E0BD93C35B5}" name="Column375"/>
    <tableColumn id="394" xr3:uid="{0C73F97A-A5FD-B24A-AA72-B079318D17D3}" name="Column376"/>
    <tableColumn id="395" xr3:uid="{E41717A9-21C6-EE44-9CB9-192F6CEC3ADF}" name="Column377"/>
    <tableColumn id="396" xr3:uid="{FF7407AE-CAC0-C74F-BEC4-E655318CCB55}" name="Column378"/>
    <tableColumn id="397" xr3:uid="{CEC68163-B580-274B-AA1D-1495467FCBAF}" name="Column379"/>
    <tableColumn id="398" xr3:uid="{E4BD3E21-F964-EC43-9385-BA4439DEB42B}" name="Column380"/>
    <tableColumn id="399" xr3:uid="{F3E4F4F8-3ED1-094E-ACA2-FDB7CC92380E}" name="Column381"/>
    <tableColumn id="400" xr3:uid="{475F209E-6912-BE43-AE0C-6D3382954FB7}" name="Column382"/>
    <tableColumn id="401" xr3:uid="{A64F5E9E-26E3-8C43-B31D-3F7228C7A3DD}" name="Column383"/>
    <tableColumn id="402" xr3:uid="{540BC25B-DD81-DF44-ADD3-0D80B80BCAF7}" name="Column384"/>
    <tableColumn id="403" xr3:uid="{DA7244AF-F603-C94B-8C3A-10DB940B7424}" name="Column385"/>
    <tableColumn id="404" xr3:uid="{EEC0CA22-B79A-1048-BE10-0288ED9544FE}" name="Column386"/>
    <tableColumn id="405" xr3:uid="{AA92EBB7-6041-734F-93BA-1F772C73E061}" name="Column387"/>
    <tableColumn id="406" xr3:uid="{39827C42-7E13-D147-95AD-6792E5CDBF6F}" name="Column388"/>
    <tableColumn id="407" xr3:uid="{55F64000-27F5-1249-BC83-2480A60E969A}" name="Column389"/>
    <tableColumn id="408" xr3:uid="{C64ADE4B-882E-7741-90FD-F897BA8519CD}" name="Column390"/>
    <tableColumn id="409" xr3:uid="{CA943D39-F78C-3F4C-8BDB-889044CE99CE}" name="Column391"/>
    <tableColumn id="410" xr3:uid="{BBC59FBF-1531-8C48-8A6B-337D0D233BED}" name="Column392"/>
    <tableColumn id="411" xr3:uid="{9C0CC827-517B-5649-AE31-8B0802C6FE8B}" name="Column393"/>
    <tableColumn id="412" xr3:uid="{42E9B76A-7D52-A542-BE14-08698BD189ED}" name="Column394"/>
    <tableColumn id="413" xr3:uid="{F6C74DA9-3674-9F46-A266-241AF8792C59}" name="Column395"/>
    <tableColumn id="414" xr3:uid="{C8061528-B361-BB4E-9B9E-8B34F50A4FAD}" name="Column396"/>
    <tableColumn id="415" xr3:uid="{2E60E96C-865F-5E45-9862-23021BEE7E84}" name="Column397"/>
    <tableColumn id="416" xr3:uid="{E460BA7B-8E36-A441-A283-C4FA7B219B77}" name="Column398"/>
    <tableColumn id="417" xr3:uid="{241C784D-7E0C-9A44-94E1-A4CB97B34D19}" name="Column399"/>
    <tableColumn id="418" xr3:uid="{BD2BBBAB-A6AC-1E41-91CE-A1DB1481A9B9}" name="Column400"/>
    <tableColumn id="419" xr3:uid="{6E137F76-A3CE-CB4D-A75B-4B52C9ECD576}" name="Column401"/>
    <tableColumn id="420" xr3:uid="{685497F3-2E44-5048-BDDF-1F5DC3E8408F}" name="Column402"/>
    <tableColumn id="421" xr3:uid="{C4E704C8-5886-344D-95F4-192131F9A6F6}" name="Column403"/>
    <tableColumn id="422" xr3:uid="{5FE855ED-2DE4-6F4B-93D5-2CF10CB9B65D}" name="Column404"/>
    <tableColumn id="423" xr3:uid="{235F0F12-DBAD-A64F-B66B-11AC71552470}" name="Column405"/>
    <tableColumn id="424" xr3:uid="{6AA8392C-A8F8-6345-8543-33C144CB46B4}" name="Column406"/>
    <tableColumn id="425" xr3:uid="{020C6F07-5505-794C-9752-AD46C385F34A}" name="Column407"/>
    <tableColumn id="426" xr3:uid="{165488FD-EB7D-1847-9026-EBF38889E97B}" name="Column408"/>
    <tableColumn id="427" xr3:uid="{8FC8128D-AC28-624A-9160-3C1C0BBE833C}" name="Column409"/>
    <tableColumn id="428" xr3:uid="{C8E2A8A0-A123-4846-821B-17B59CF765D8}" name="Column410"/>
    <tableColumn id="429" xr3:uid="{AB66FC86-DA16-A642-B64E-A73F95020B2C}" name="Column411"/>
    <tableColumn id="430" xr3:uid="{4B7C50ED-D76A-0246-9DFC-E6FF45A25311}" name="Column412"/>
    <tableColumn id="431" xr3:uid="{3CDCAF86-8B99-7A48-A400-722B05221265}" name="Column413"/>
    <tableColumn id="432" xr3:uid="{18B25DE6-9BC1-694F-80CC-735F7DFAB448}" name="Column414"/>
    <tableColumn id="433" xr3:uid="{ED2A1840-27DC-1043-8E29-EE2DD83E3B74}" name="Column415"/>
    <tableColumn id="434" xr3:uid="{863D3880-F58C-2246-B085-092A71C06870}" name="Column416"/>
    <tableColumn id="435" xr3:uid="{883D0417-F93E-7148-9883-38A3D7D3457B}" name="Column417"/>
    <tableColumn id="436" xr3:uid="{E2791BF8-AE3E-8C4B-ADD9-2AE0FF46E03D}" name="Column418"/>
    <tableColumn id="437" xr3:uid="{890D3140-23A8-5745-B7C0-D5A7A011AB7D}" name="Column419"/>
    <tableColumn id="438" xr3:uid="{4641CD63-50FE-7C48-8E2B-8954223DE64A}" name="Column420"/>
    <tableColumn id="439" xr3:uid="{C0ED9D91-1868-124F-8691-C1E10EDCD600}" name="Column421"/>
    <tableColumn id="440" xr3:uid="{100A71E0-21CF-7C4E-B531-D952A029358A}" name="Column422"/>
    <tableColumn id="441" xr3:uid="{2B61CFCB-C8BC-2448-A068-80FBD2522496}" name="Column423"/>
    <tableColumn id="442" xr3:uid="{9A89B34A-340B-EF43-A3B4-C98D22A15439}" name="Column424"/>
    <tableColumn id="443" xr3:uid="{FDABF27B-1EA5-8443-BFD2-914DEA202B11}" name="Column425"/>
    <tableColumn id="444" xr3:uid="{75083E1A-19C7-D740-B34D-6A1354C8CA42}" name="Column426"/>
    <tableColumn id="445" xr3:uid="{2BFA92BD-F9A0-1448-855B-18AEEE30097B}" name="Column427"/>
    <tableColumn id="446" xr3:uid="{44BA820D-4365-A947-848D-3C9751189079}" name="Column428"/>
    <tableColumn id="447" xr3:uid="{3403C79E-723D-F548-A5F4-191379B5291A}" name="Column429"/>
    <tableColumn id="448" xr3:uid="{6AC45204-F0CF-9746-BA82-EFF1203BD50F}" name="Column430"/>
    <tableColumn id="449" xr3:uid="{99458F04-7BE2-0D41-87CB-D3A3C20F5231}" name="Column431"/>
    <tableColumn id="450" xr3:uid="{8AA4433A-87B3-2E4A-AB8D-A22C8CB2BA93}" name="Column432"/>
    <tableColumn id="451" xr3:uid="{46B0B76E-94C0-CF45-B8A9-7A807AB7179D}" name="Column433"/>
    <tableColumn id="452" xr3:uid="{832758C3-1CC4-1A49-9A48-6E7CDEEBBB1A}" name="Column434"/>
    <tableColumn id="453" xr3:uid="{51EFB2C9-A068-F241-8AB5-2DE6949BEDE0}" name="Column435"/>
    <tableColumn id="454" xr3:uid="{3F0DB11C-F26B-2A47-84DD-C736EF854D3B}" name="Column436"/>
    <tableColumn id="455" xr3:uid="{FC15886A-97EB-7B45-ABE3-4E44EF6BC67C}" name="Column437"/>
    <tableColumn id="456" xr3:uid="{5EBB0203-1F44-2642-8155-BF7F0D4F7F8F}" name="Column438"/>
    <tableColumn id="457" xr3:uid="{97D5ABCA-842F-8847-BD1D-8CC9CABB417B}" name="Column439"/>
    <tableColumn id="458" xr3:uid="{DC13C625-3DEE-A54D-87C9-C628C63BC023}" name="Column440"/>
    <tableColumn id="459" xr3:uid="{FCB31749-BA97-6D4F-8F3E-B2D4C2CF4249}" name="Column441"/>
    <tableColumn id="460" xr3:uid="{FEC17F0F-66C1-1447-A07F-ABCC89BA267E}" name="Column442"/>
    <tableColumn id="461" xr3:uid="{CFD944DE-EC91-154E-A5A5-251E585BC326}" name="Column443"/>
    <tableColumn id="462" xr3:uid="{87C7B66C-9521-E04F-BE24-554249B76855}" name="Column444"/>
    <tableColumn id="463" xr3:uid="{D521D3DD-84E9-7747-A60D-219AB5FC1CB7}" name="Column445"/>
    <tableColumn id="464" xr3:uid="{9E5A82E3-3565-3742-B47C-A15B20470689}" name="Column446"/>
    <tableColumn id="465" xr3:uid="{6BAA2E3B-9431-054E-8BA8-38E4F23E2217}" name="Column447"/>
    <tableColumn id="466" xr3:uid="{45F00760-0F2C-044B-95D0-4ABA5CEB1697}" name="Column448"/>
    <tableColumn id="467" xr3:uid="{BC287E8F-48BA-B944-BEA0-635EC6949F05}" name="Column449"/>
    <tableColumn id="468" xr3:uid="{BBD0A0D1-7F78-E648-879B-E895840A7B82}" name="Column450"/>
    <tableColumn id="469" xr3:uid="{567DCE5B-E7A7-BA4D-8B39-A080BA70B121}" name="Column451"/>
    <tableColumn id="470" xr3:uid="{9855C6B6-5D99-954F-9F0D-D0CF97417987}" name="Column452"/>
    <tableColumn id="471" xr3:uid="{37CE4852-9D70-D74D-A28D-8016B98A583C}" name="Column453"/>
    <tableColumn id="472" xr3:uid="{5A8E70AA-5DFC-7D47-9DB1-3D20BA597917}" name="Column454"/>
    <tableColumn id="473" xr3:uid="{07E9DBC4-7997-A946-B634-C9F9FA78B0F9}" name="Column455"/>
    <tableColumn id="474" xr3:uid="{E4F11E72-AF8E-EE4A-AD8D-EF8BCABEE23C}" name="Column456"/>
    <tableColumn id="475" xr3:uid="{CEE6AA25-3193-AC43-B07C-443B5F026562}" name="Column457"/>
    <tableColumn id="476" xr3:uid="{97DD9BB4-FF70-674D-AEDB-821C318BB088}" name="Column458"/>
    <tableColumn id="477" xr3:uid="{33E5FBB0-57AE-2E41-A3FA-D1DE24A19F07}" name="Column459"/>
    <tableColumn id="478" xr3:uid="{22631BB3-7AA9-7141-AA89-F970A6FB4328}" name="Column460"/>
    <tableColumn id="479" xr3:uid="{8DDD5342-8AF8-D04A-AA37-CB84042B2CD8}" name="Column461"/>
    <tableColumn id="480" xr3:uid="{652C2730-5A06-ED48-915E-0CF31409B64F}" name="Column462"/>
    <tableColumn id="481" xr3:uid="{DAF73FF5-7927-CB44-9E24-20ECC61BE3B6}" name="Column463"/>
    <tableColumn id="482" xr3:uid="{5EF35064-C003-8647-BBC2-DAAD4DFC3326}" name="Column464"/>
    <tableColumn id="483" xr3:uid="{D861F26C-AA95-0640-8E43-F6227025D40C}" name="Column465"/>
    <tableColumn id="484" xr3:uid="{84F00B6F-EC3E-9941-9904-5029CA8A116D}" name="Column466"/>
    <tableColumn id="485" xr3:uid="{B30BAAEC-6014-D345-BCB3-B72722D60876}" name="Column467"/>
    <tableColumn id="486" xr3:uid="{7BE73306-ACFD-184D-AB29-AF0C63C112D5}" name="Column468"/>
    <tableColumn id="487" xr3:uid="{E1D2B837-5402-3E4B-8E9D-8578E1761A9A}" name="Column469"/>
    <tableColumn id="488" xr3:uid="{274D2DCA-35A6-D544-B7F7-298AB064310A}" name="Column470"/>
    <tableColumn id="489" xr3:uid="{CB5D80C7-DCA0-3740-AD63-692E9E978E32}" name="Column471"/>
    <tableColumn id="490" xr3:uid="{AB165DF9-2159-EA40-AB59-278781FE1AC1}" name="Column472"/>
    <tableColumn id="491" xr3:uid="{D7545E75-9A84-E74A-BB97-EB5882DC580B}" name="Column473"/>
    <tableColumn id="492" xr3:uid="{178A14C6-99BB-F843-98A1-8CA814D3EF1D}" name="Column474"/>
    <tableColumn id="493" xr3:uid="{C4FD92F1-F2DB-A84F-9F5A-4A6BADAC2FA6}" name="Column475"/>
    <tableColumn id="494" xr3:uid="{0E7A8A33-98F5-CB4E-9F2D-DA5F0F841FB8}" name="Column476"/>
    <tableColumn id="495" xr3:uid="{4A3A0039-996B-8541-9E30-32A5EBCAB017}" name="Column477"/>
    <tableColumn id="496" xr3:uid="{D63C45F9-E53E-5A44-BC6F-BF50F1E28427}" name="Column478"/>
    <tableColumn id="497" xr3:uid="{2928F963-BB9C-194B-817C-0E2C2D79FD09}" name="Column479"/>
    <tableColumn id="498" xr3:uid="{4E7D4D90-BE52-B043-85E5-425CF4D05599}" name="Column480"/>
    <tableColumn id="499" xr3:uid="{B9387C24-DF0A-B046-AEA4-8548E5BE783F}" name="Column481"/>
    <tableColumn id="500" xr3:uid="{559CD033-C010-664A-82D8-A44F79043DB0}" name="Column482"/>
    <tableColumn id="501" xr3:uid="{C9AF4E57-0461-2646-A0A2-AF807323203A}" name="Column483"/>
    <tableColumn id="502" xr3:uid="{91AA4DCC-2504-1E47-A8FD-B1B443313F84}" name="Column484"/>
    <tableColumn id="503" xr3:uid="{E4035E5E-18E7-0C46-9BEF-613ED544C014}" name="Column485"/>
    <tableColumn id="504" xr3:uid="{7EE2632E-07F8-334E-A72A-A12D4B77D707}" name="Column486"/>
    <tableColumn id="505" xr3:uid="{E6F16024-C1B4-6442-9665-A10B5D5026ED}" name="Column487"/>
    <tableColumn id="506" xr3:uid="{68D54745-DE40-AA42-BC92-3A61C88CBAF7}" name="Column488"/>
    <tableColumn id="507" xr3:uid="{8E8126E4-A69A-2447-93D6-E39793CF2C34}" name="Column489"/>
    <tableColumn id="508" xr3:uid="{7C893FBB-D515-744B-AA91-C56AD6EA175F}" name="Column490"/>
    <tableColumn id="509" xr3:uid="{70B5940E-DEBD-2E41-BBCE-F2C9581BC74F}" name="Column491"/>
    <tableColumn id="510" xr3:uid="{B3460A79-B810-3C4F-B281-3751D4232C52}" name="Column492"/>
    <tableColumn id="511" xr3:uid="{9363AA58-F2D5-B246-93E5-E3991569921A}" name="Column493"/>
    <tableColumn id="512" xr3:uid="{F201036E-5CF6-9944-9B35-3C860B7990BE}" name="Column494"/>
    <tableColumn id="513" xr3:uid="{9A15CDDE-90ED-0244-8FAB-539701DD6EE9}" name="Column495"/>
    <tableColumn id="514" xr3:uid="{F4AD8281-8901-234B-8E30-981676620730}" name="Column496"/>
    <tableColumn id="515" xr3:uid="{E65621B9-D9B1-1E4E-A24B-B7DC29C71572}" name="Column497"/>
    <tableColumn id="516" xr3:uid="{53636C4A-E28E-A647-960F-1DF4F3390CC6}" name="Column498"/>
    <tableColumn id="517" xr3:uid="{528E6C44-F724-074D-84D0-5D86B64B703D}" name="Column499"/>
    <tableColumn id="518" xr3:uid="{8601546E-3AA3-5D41-BCD0-E6E6BCA9986E}" name="Column500"/>
    <tableColumn id="519" xr3:uid="{D3B32546-A3FF-8F48-AC26-DAA6F9CB9A4C}" name="Column501"/>
    <tableColumn id="520" xr3:uid="{EBBEC4F2-1C8D-3749-A7F8-4999B703E3C3}" name="Column502"/>
    <tableColumn id="521" xr3:uid="{C0310691-7FDF-4D49-A103-69411CB68F30}" name="Column503"/>
    <tableColumn id="522" xr3:uid="{30413637-E8B6-CA40-959C-595A86EA67BE}" name="Column504"/>
    <tableColumn id="523" xr3:uid="{E6DA2D17-5A08-1349-89AB-5A12D63138FE}" name="Column505"/>
    <tableColumn id="524" xr3:uid="{69EA2AA0-DE91-4A4B-8DFF-A76DEA2BB01C}" name="Column506"/>
    <tableColumn id="525" xr3:uid="{3BA2D3E1-BC43-364D-9E5A-8B1BF39EEDA9}" name="Column507"/>
    <tableColumn id="526" xr3:uid="{50D91064-DC7C-3246-849E-1834FD82C35F}" name="Column508"/>
    <tableColumn id="527" xr3:uid="{AB6AF023-7868-6E43-9FFB-5AB32BC677E2}" name="Column509"/>
    <tableColumn id="528" xr3:uid="{B72A37FE-CD01-BA44-8194-957FE0EE57A7}" name="Column510"/>
    <tableColumn id="529" xr3:uid="{AAAFEA4B-651A-1444-A811-2A26F512772C}" name="Column511"/>
    <tableColumn id="530" xr3:uid="{8EAC6F58-532D-4A4C-9204-2EF3576BF4A8}" name="Column512"/>
    <tableColumn id="531" xr3:uid="{BAAF0C6C-8030-1941-AC34-F317F0903582}" name="Column513"/>
    <tableColumn id="532" xr3:uid="{CBE2F84A-6C27-214E-846E-B2EB6281C2B4}" name="Column514"/>
    <tableColumn id="533" xr3:uid="{898D863A-32A2-E54A-A2D7-33FB3587C766}" name="Column515"/>
    <tableColumn id="534" xr3:uid="{B2B393E7-4523-E34F-9417-EA7FD92C0CF8}" name="Column516"/>
    <tableColumn id="535" xr3:uid="{09C93B6F-2719-DA46-97BF-3945A7A6139F}" name="Column517"/>
    <tableColumn id="536" xr3:uid="{5AB6B7FF-72FE-9945-A304-5BAA04152533}" name="Column518"/>
    <tableColumn id="537" xr3:uid="{BCD6FEA3-B849-D44D-A9D3-3E8B5E1411C1}" name="Column519"/>
    <tableColumn id="538" xr3:uid="{37DA2A37-4850-D74A-A3E3-D792CBF0A8D6}" name="Column520"/>
    <tableColumn id="539" xr3:uid="{4666574E-9757-3248-8C1A-FF599F5C3B01}" name="Column521"/>
    <tableColumn id="540" xr3:uid="{1C9A2463-E717-1C4F-A3DD-F511ECCC9F56}" name="Column522"/>
    <tableColumn id="541" xr3:uid="{9A282E95-28A8-454B-B73A-03A04290A373}" name="Column523"/>
    <tableColumn id="542" xr3:uid="{557B2A61-0BD0-E445-A780-E1743AB7BA47}" name="Column524"/>
    <tableColumn id="543" xr3:uid="{EAF72E96-B686-BF4F-84D9-CF927FE3AA73}" name="Column525"/>
    <tableColumn id="544" xr3:uid="{4816749E-96C1-C746-9238-6F147941DEA4}" name="Column526"/>
    <tableColumn id="545" xr3:uid="{CA2DD614-22A0-224A-A737-E84FE4B537E9}" name="Column527"/>
    <tableColumn id="546" xr3:uid="{2BAA6706-E920-4F48-A290-1117EDD456DB}" name="Column528"/>
    <tableColumn id="547" xr3:uid="{B0FD87A6-2140-5145-BE9D-75EBC5596372}" name="Column529"/>
    <tableColumn id="548" xr3:uid="{99AFE0FC-0B5B-374F-894E-CF082C5484A8}" name="Column530"/>
    <tableColumn id="549" xr3:uid="{53DB796C-8107-F34A-A799-BE572FB70C77}" name="Column531"/>
    <tableColumn id="550" xr3:uid="{835F4488-1A2E-0E41-92EC-EB2BFE7208A0}" name="Column532"/>
    <tableColumn id="551" xr3:uid="{CFB3C800-CEA6-114D-8CE0-30E1246CAEFB}" name="Column533"/>
    <tableColumn id="552" xr3:uid="{01080C89-4042-7543-B83E-54726D85C0AA}" name="Column534"/>
    <tableColumn id="553" xr3:uid="{53704839-17CD-1E41-A3D6-95B2D99A43A9}" name="Column535"/>
    <tableColumn id="554" xr3:uid="{747A7B9D-CD14-C84D-B7AB-6D12A125021A}" name="Column536"/>
    <tableColumn id="555" xr3:uid="{35112FD9-EA45-A744-8AA3-BB8F89FBF946}" name="Column537"/>
    <tableColumn id="556" xr3:uid="{E972B6E2-9CBF-454A-9189-265D0AC2C2A2}" name="Column538"/>
    <tableColumn id="557" xr3:uid="{517A81A9-58B7-9C43-AD92-ED42AE24FCA3}" name="Column539"/>
    <tableColumn id="558" xr3:uid="{8997E7BC-FCFA-8644-A395-BAC584E6EAC4}" name="Column540"/>
    <tableColumn id="559" xr3:uid="{94956A98-EF67-F447-8362-4BFF6976BE2F}" name="Column541"/>
    <tableColumn id="560" xr3:uid="{DAA8E603-0996-D44F-807F-118FB6BC3AA8}" name="Column542"/>
    <tableColumn id="561" xr3:uid="{65803052-3EB9-E84A-9458-A66B52ECB87B}" name="Column543"/>
    <tableColumn id="562" xr3:uid="{AA8C09C7-4A53-ED4B-BEC4-AB31600A57A8}" name="Column544"/>
    <tableColumn id="563" xr3:uid="{4FCF132A-E73B-8247-BB5F-49B80F3173E8}" name="Column545"/>
    <tableColumn id="564" xr3:uid="{FB79F38C-B96A-E241-917A-59D4AD806D22}" name="Column546"/>
    <tableColumn id="565" xr3:uid="{56A41B5B-6BCC-E141-BB69-1C24B914A4BE}" name="Column547"/>
    <tableColumn id="566" xr3:uid="{6DC0A885-110A-AF4A-96B9-23A0DB787B42}" name="Column548"/>
    <tableColumn id="567" xr3:uid="{CDE630ED-0CA0-6849-924C-5DE5EA28B311}" name="Column549"/>
    <tableColumn id="568" xr3:uid="{E1F880B6-A65E-8B4D-A262-F1F48DE802E8}" name="Column550"/>
    <tableColumn id="569" xr3:uid="{9B6981F3-28B6-024A-8D5F-0B131BA8A662}" name="Column551"/>
    <tableColumn id="570" xr3:uid="{98438A3E-5594-DD48-9A48-1B5C13B1FB44}" name="Column552"/>
    <tableColumn id="571" xr3:uid="{11E9CC06-777D-3840-81CD-DC3A704F96BD}" name="Column553"/>
    <tableColumn id="572" xr3:uid="{D1BF727B-6795-4B4B-8CB1-66C60EEC32ED}" name="Column554"/>
    <tableColumn id="573" xr3:uid="{3E9CE45E-01C7-B141-BB00-6DD52B8DEADC}" name="Column555"/>
    <tableColumn id="574" xr3:uid="{114D3995-B970-7844-BA86-6013CA09CDDA}" name="Column556"/>
    <tableColumn id="575" xr3:uid="{D45F397D-B3E5-8948-9697-04B2E9002952}" name="Column557"/>
    <tableColumn id="576" xr3:uid="{9C7E2676-30F5-3F4C-9FCC-CCE6AAB1F679}" name="Column558"/>
    <tableColumn id="577" xr3:uid="{3846BD6E-EE08-EB47-BFAA-505721141831}" name="Column559"/>
    <tableColumn id="578" xr3:uid="{1E9FE3F7-5F94-4B4B-80A5-81068E6B15AD}" name="Column560"/>
    <tableColumn id="579" xr3:uid="{749B86E1-0C4D-F046-8265-E14078B0443D}" name="Column561"/>
    <tableColumn id="580" xr3:uid="{F2413693-5110-9640-8BD7-A5894E653172}" name="Column562"/>
    <tableColumn id="581" xr3:uid="{FFD96897-93FB-6840-B0AD-3191367A04FD}" name="Column563"/>
    <tableColumn id="582" xr3:uid="{DBE1A884-ADCE-F84D-8379-E6B72DC1758E}" name="Column564"/>
    <tableColumn id="583" xr3:uid="{2C9BA862-E229-724C-A5FC-901D59A09725}" name="Column565"/>
    <tableColumn id="584" xr3:uid="{BF541289-AA38-1A4A-AFC9-2F4EAB47D382}" name="Column566"/>
    <tableColumn id="585" xr3:uid="{AA3F9570-E047-054D-B9F6-4A3BD2524FF1}" name="Column567"/>
    <tableColumn id="586" xr3:uid="{71C6E8E0-9488-BA46-9849-B2F67F60C83D}" name="Column568"/>
    <tableColumn id="587" xr3:uid="{7FCAF465-6195-DB44-9D10-5635CCAB453B}" name="Column569"/>
    <tableColumn id="588" xr3:uid="{1659541E-7327-2640-97A4-8B7B3CE25728}" name="Column570"/>
    <tableColumn id="589" xr3:uid="{F074D7AA-BC71-AB43-8840-E139244BDA75}" name="Column571"/>
    <tableColumn id="590" xr3:uid="{69DB2C7F-7481-5749-BB57-87BECF960144}" name="Column572"/>
    <tableColumn id="591" xr3:uid="{5B96D3B6-5F2E-394B-A0EB-92AD214A1294}" name="Column573"/>
    <tableColumn id="592" xr3:uid="{FEA833C9-040B-2646-B12A-584675423956}" name="Column574"/>
    <tableColumn id="593" xr3:uid="{457976AD-0661-0642-833F-807901B2740E}" name="Column575"/>
    <tableColumn id="594" xr3:uid="{246A245C-52B5-174E-B068-A78224936F2F}" name="Column576"/>
    <tableColumn id="595" xr3:uid="{C1FF3C03-2256-3C4A-84B2-853CC1F7ABF0}" name="Column577"/>
    <tableColumn id="596" xr3:uid="{32CABE2E-98DE-5049-AEF0-0716F44A756B}" name="Column578"/>
    <tableColumn id="597" xr3:uid="{BE78B08F-616A-2B46-929D-58DE4F9CD612}" name="Column579"/>
    <tableColumn id="598" xr3:uid="{6106CF65-D8D2-AD48-BAA2-F0BEA91D38ED}" name="Column580"/>
    <tableColumn id="599" xr3:uid="{8165AC97-AC16-474C-B820-5966937A2115}" name="Column581"/>
    <tableColumn id="600" xr3:uid="{82A771F3-05B7-B546-AEEB-393C5C3815B1}" name="Column582"/>
    <tableColumn id="601" xr3:uid="{134E2314-7398-1E41-9F87-E82A9F303535}" name="Column583"/>
    <tableColumn id="602" xr3:uid="{4C0AA17B-73BE-D349-A520-35807DEE5492}" name="Column584"/>
    <tableColumn id="603" xr3:uid="{DE2D3E71-88FD-8F4C-876C-16BCC8E81F9D}" name="Column585"/>
    <tableColumn id="604" xr3:uid="{E000665A-F9C9-C04A-B5BC-F19FA21A23AB}" name="Column586"/>
    <tableColumn id="605" xr3:uid="{8132262A-0DD2-B546-8FE5-9A366140EF31}" name="Column587"/>
    <tableColumn id="606" xr3:uid="{5B063F64-A002-C449-9546-1FEB24110477}" name="Column588"/>
    <tableColumn id="607" xr3:uid="{6CF39992-5C8B-A24D-910D-A3A66B834BDD}" name="Column589"/>
    <tableColumn id="608" xr3:uid="{097B42A3-CA31-B746-9A07-776DEE6EEF68}" name="Column590"/>
    <tableColumn id="609" xr3:uid="{F7426B79-3401-484A-AC7B-FE6CA3DDF493}" name="Column591"/>
    <tableColumn id="610" xr3:uid="{D015797E-FB79-4443-ACC5-BB96C814D252}" name="Column592"/>
    <tableColumn id="611" xr3:uid="{EFE0124D-9E22-D34B-8FD4-C6FC11ECA7BA}" name="Column593"/>
    <tableColumn id="612" xr3:uid="{339BC191-0EA1-994E-BFBB-0D4B22EABC26}" name="Column594"/>
    <tableColumn id="613" xr3:uid="{A5FD3AA8-BEB4-7246-AED8-B0154FA275C9}" name="Column595"/>
    <tableColumn id="614" xr3:uid="{C0A06AD1-05FC-8644-9DB3-23E83ED5EB2B}" name="Column596"/>
    <tableColumn id="615" xr3:uid="{02BA6D2B-8C3E-8D4C-A4D0-063FD53056FB}" name="Column597"/>
    <tableColumn id="616" xr3:uid="{21624E15-4CEE-B841-97F5-B059A8E5F4D0}" name="Column598"/>
    <tableColumn id="617" xr3:uid="{FE584F0B-A784-554A-9EAA-176D13052F43}" name="Column599"/>
    <tableColumn id="618" xr3:uid="{9EBE75D8-D1A7-4F4F-A4B0-14C2BA0AF4E3}" name="Column600"/>
    <tableColumn id="619" xr3:uid="{4E71ADF6-52F9-8046-AE86-970B82642FD1}" name="Column601"/>
    <tableColumn id="620" xr3:uid="{C0A396EC-701C-A945-AC1E-DC6FDB65C45E}" name="Column602"/>
    <tableColumn id="621" xr3:uid="{B285CEF3-B78C-F644-BE6B-7C886AB4CCCF}" name="Column603"/>
    <tableColumn id="622" xr3:uid="{6658B7F6-38EE-9C4F-9422-8B3E218D6B7D}" name="Column604"/>
    <tableColumn id="623" xr3:uid="{25F6FB28-0488-2B47-BADD-30B1BEC01B29}" name="Column605"/>
    <tableColumn id="624" xr3:uid="{FBFCE20E-4925-4546-933C-2FB342E82764}" name="Column606"/>
    <tableColumn id="625" xr3:uid="{B4BA721E-F2E0-074C-A94C-378FA2AC8D4C}" name="Column607"/>
    <tableColumn id="626" xr3:uid="{44BFCF43-2672-9549-900E-BE89247907A1}" name="Column608"/>
    <tableColumn id="627" xr3:uid="{C2634D0E-F198-624D-9167-32585F38DB0A}" name="Column609"/>
    <tableColumn id="628" xr3:uid="{2179AC82-E607-7A4C-A520-BD69843083E3}" name="Column610"/>
    <tableColumn id="629" xr3:uid="{B2EF792C-FED1-1946-BAC3-F395495515D8}" name="Column611"/>
    <tableColumn id="630" xr3:uid="{7EE0B156-549D-6347-BBF0-D7256779D102}" name="Column612"/>
    <tableColumn id="631" xr3:uid="{C7035C1F-4EE2-C144-8C26-F8D4321034E3}" name="Column613"/>
    <tableColumn id="632" xr3:uid="{DB05C860-B281-3243-8096-02B6770A7F55}" name="Column614"/>
    <tableColumn id="633" xr3:uid="{7BD1D283-967D-8747-946E-F4C681C202C8}" name="Column615"/>
    <tableColumn id="634" xr3:uid="{3890316B-FC43-1E44-9ABE-0B2F0F8C7DB0}" name="Column616"/>
    <tableColumn id="635" xr3:uid="{03682BE6-E969-2C4C-91E1-796E82B3DFA6}" name="Column617"/>
    <tableColumn id="636" xr3:uid="{D82EF9EE-DD78-2947-8379-6C57EE8B58EF}" name="Column618"/>
    <tableColumn id="637" xr3:uid="{484E0BCA-4D57-E34E-8306-8227575DBB74}" name="Column619"/>
    <tableColumn id="638" xr3:uid="{F0903916-C5F5-7C40-9910-4702EA165480}" name="Column620"/>
    <tableColumn id="639" xr3:uid="{3C326D4D-D7C8-3647-93DA-733626AAA651}" name="Column621"/>
    <tableColumn id="640" xr3:uid="{FD595F0A-1DBC-FB41-B5EC-764184A2CAA0}" name="Column622"/>
    <tableColumn id="641" xr3:uid="{D71A1FB3-210A-A54B-ADE8-41E8A480171F}" name="Column623"/>
    <tableColumn id="642" xr3:uid="{FFD342A7-1E49-F24C-A4C5-2FB6392A6D84}" name="Column624"/>
    <tableColumn id="643" xr3:uid="{089362E7-F874-6D47-AFCB-7AEE1C042F8F}" name="Column625"/>
    <tableColumn id="644" xr3:uid="{7F1A3B90-B422-3044-A484-29638DE29868}" name="Column626"/>
    <tableColumn id="645" xr3:uid="{156E855A-2B3E-5346-A5A2-A9B4FA63ADBD}" name="Column627"/>
    <tableColumn id="646" xr3:uid="{CC92B65C-1AD9-8E41-A24A-AAA43EB7FA1D}" name="Column628"/>
    <tableColumn id="647" xr3:uid="{CB0A5307-6AFA-6D49-8D10-2C3B2CADF863}" name="Column629"/>
    <tableColumn id="648" xr3:uid="{DEF418B7-3D5D-3743-853A-670E784C0403}" name="Column630"/>
    <tableColumn id="649" xr3:uid="{E6A31784-FC03-A348-988B-F183A361AFE2}" name="Column631"/>
    <tableColumn id="650" xr3:uid="{E5F2B942-019B-E943-BCA3-093D653313C1}" name="Column632"/>
    <tableColumn id="651" xr3:uid="{52AE9251-124B-0B46-8637-4BD811C6605E}" name="Column633"/>
    <tableColumn id="652" xr3:uid="{114BFCBA-6786-A148-BCEB-B743D6B213AA}" name="Column634"/>
    <tableColumn id="653" xr3:uid="{11F830A9-79E7-5B49-9824-B52724C290AE}" name="Column635"/>
    <tableColumn id="654" xr3:uid="{AE628D09-CCB4-D843-93D0-553913AD0A17}" name="Column636"/>
    <tableColumn id="655" xr3:uid="{D9CAB980-A44D-3348-A2D0-52D6F5D269AD}" name="Column637"/>
    <tableColumn id="656" xr3:uid="{234DDCCD-5204-D641-9317-1CB3379ACE72}" name="Column638"/>
    <tableColumn id="657" xr3:uid="{F03002EF-88FE-4F48-92B2-27594C0BB0D4}" name="Column639"/>
    <tableColumn id="658" xr3:uid="{84C19C8F-50BD-394A-8D32-C881AD3E103B}" name="Column640"/>
    <tableColumn id="659" xr3:uid="{07F566CE-028D-6F4F-A064-3214C46A57A4}" name="Column641"/>
    <tableColumn id="660" xr3:uid="{45DF7C32-23EB-AD4E-8EA9-7BB07EAEFA32}" name="Column642"/>
    <tableColumn id="661" xr3:uid="{41885EAE-6559-2E4F-B4D1-D7C5A47CCB0A}" name="Column643"/>
    <tableColumn id="662" xr3:uid="{3586A35E-C59D-8D4C-AB8C-A2981AF47BF6}" name="Column644"/>
    <tableColumn id="663" xr3:uid="{27502595-087B-A340-A813-C91FBA1F912B}" name="Column645"/>
    <tableColumn id="664" xr3:uid="{E32EBCE6-9AAE-F44B-9256-BE09C03C0971}" name="Column646"/>
    <tableColumn id="665" xr3:uid="{ADF6CD06-393E-3241-84BD-7F5B0BEA7742}" name="Column647"/>
    <tableColumn id="666" xr3:uid="{F78B37E0-91E8-334F-9237-3FD703FA720A}" name="Column648"/>
    <tableColumn id="667" xr3:uid="{9AEB79AE-6D5F-334A-BC5E-679D3444F25F}" name="Column649"/>
    <tableColumn id="668" xr3:uid="{BA68789C-62AC-2B4F-AB90-527B50956690}" name="Column650"/>
    <tableColumn id="669" xr3:uid="{0A63C60E-7995-6D45-931B-42375D0A2A3C}" name="Column651"/>
    <tableColumn id="670" xr3:uid="{EEA71A61-8F41-1B41-A282-EB653201A14B}" name="Column652"/>
    <tableColumn id="671" xr3:uid="{C97FB934-CF60-6B41-AE83-892EFB98F270}" name="Column653"/>
    <tableColumn id="672" xr3:uid="{56E45CD2-84A8-174A-A0F6-092981782962}" name="Column654"/>
    <tableColumn id="673" xr3:uid="{22BCE3EB-AB06-B245-9894-DFF2A031964B}" name="Column655"/>
    <tableColumn id="674" xr3:uid="{2CF557F3-1A4D-3248-8DD8-075EC8B070A0}" name="Column656"/>
    <tableColumn id="675" xr3:uid="{F980C1E7-5375-FD48-A875-7A15AFA8FFF2}" name="Column657"/>
    <tableColumn id="676" xr3:uid="{89ECDDED-043E-F141-A879-87DDD21C85E1}" name="Column658"/>
    <tableColumn id="677" xr3:uid="{4BF4425D-88FC-CF42-B02D-B8472F335B70}" name="Column659"/>
    <tableColumn id="678" xr3:uid="{50194E9B-0FC8-E24C-BB5D-8B0EE9D5537A}" name="Column660"/>
    <tableColumn id="679" xr3:uid="{7B9D8658-536C-C540-900C-0BFAE01939AC}" name="Column661"/>
    <tableColumn id="680" xr3:uid="{453B6274-D76A-0642-9CAC-050A4B3BE50C}" name="Column662"/>
    <tableColumn id="681" xr3:uid="{41A240C2-6CC3-294B-A150-09C7666B7432}" name="Column663"/>
    <tableColumn id="682" xr3:uid="{832715A9-344E-0D49-9312-9C5EDA463B3A}" name="Column664"/>
    <tableColumn id="683" xr3:uid="{7CE09BC0-93F5-9846-A82D-5C82DE7D7890}" name="Column665"/>
    <tableColumn id="684" xr3:uid="{3A3A54E4-ADA9-7E44-A347-EC3E49EB416A}" name="Column666"/>
    <tableColumn id="685" xr3:uid="{BC603925-DED7-9740-AB74-3672838787B7}" name="Column667"/>
    <tableColumn id="686" xr3:uid="{F569D462-A546-AC41-8962-6ECDCCDB8E8C}" name="Column668"/>
    <tableColumn id="687" xr3:uid="{88603E46-77B7-7742-B2EB-296F5857FBE1}" name="Column669"/>
    <tableColumn id="688" xr3:uid="{6497DE30-ADC9-E249-BFC9-2233D8EC08DF}" name="Column670"/>
    <tableColumn id="689" xr3:uid="{98CD7107-3853-5B47-A5C7-9AEA044DDA5D}" name="Column671"/>
    <tableColumn id="690" xr3:uid="{401574BC-CF59-DD4F-A9D4-B9F2C7415544}" name="Column672"/>
    <tableColumn id="691" xr3:uid="{1D17F7F6-34F2-4F47-AAB0-9CA31AF001EB}" name="Column673"/>
    <tableColumn id="692" xr3:uid="{13495636-14B1-C14B-A15F-E3EA588C5625}" name="Column674"/>
    <tableColumn id="693" xr3:uid="{78FC51B6-048B-AB48-BA00-6F7E8E119E19}" name="Column675"/>
    <tableColumn id="694" xr3:uid="{0B3E2281-8D33-B249-9071-3161379215EC}" name="Column676"/>
    <tableColumn id="695" xr3:uid="{65A615D2-2E7D-D046-B850-E5F86D0D6D1E}" name="Column677"/>
    <tableColumn id="696" xr3:uid="{5684D5AB-302E-D74B-80F6-7EB0DE6954EC}" name="Column678"/>
    <tableColumn id="697" xr3:uid="{2360B737-9187-D643-8625-B62A9F932967}" name="Column679"/>
    <tableColumn id="698" xr3:uid="{51927614-F887-9C4D-BAEA-69AC3BDE773D}" name="Column680"/>
    <tableColumn id="699" xr3:uid="{A7A38E4E-FB25-4948-A231-379BF230E945}" name="Column681"/>
    <tableColumn id="700" xr3:uid="{FC130D67-AFFB-FA4C-8F4C-5671ABFD82C8}" name="Column682"/>
    <tableColumn id="701" xr3:uid="{67FD2C5B-035D-8F44-A5C8-8ECBCA5DAE39}" name="Column683"/>
    <tableColumn id="702" xr3:uid="{2B61760F-8AE8-3F4D-AF8D-FDE93230036E}" name="Column684"/>
    <tableColumn id="703" xr3:uid="{1F1EDAFD-FE5F-524E-87AA-A4F40D34FBF8}" name="Column685"/>
    <tableColumn id="704" xr3:uid="{0863CC8E-FA5D-2148-BDE1-A2B72F590D58}" name="Column686"/>
    <tableColumn id="705" xr3:uid="{90C38C06-1B01-A64B-9114-AA096ED0EC81}" name="Column687"/>
    <tableColumn id="706" xr3:uid="{F1D0704F-3589-BE4E-B392-523BFF6E62E1}" name="Column688"/>
    <tableColumn id="707" xr3:uid="{C95C3785-13E0-0A42-8325-FAC09C18647E}" name="Column689"/>
    <tableColumn id="708" xr3:uid="{39C5E185-238D-D844-9855-AECAD847B130}" name="Column690"/>
    <tableColumn id="709" xr3:uid="{DAD7F108-C2D7-094F-A1E7-C6C532BB2255}" name="Column691"/>
    <tableColumn id="710" xr3:uid="{135C4345-59FE-0C44-A6AF-3059D268E548}" name="Column692"/>
    <tableColumn id="711" xr3:uid="{8432D5D7-A90D-624A-9368-6DB11B61F5BF}" name="Column693"/>
    <tableColumn id="712" xr3:uid="{7DE15C20-040F-D84D-94F8-3740569FDA8D}" name="Column694"/>
    <tableColumn id="713" xr3:uid="{621E6422-C754-604E-AFAF-0187795627F9}" name="Column695"/>
    <tableColumn id="714" xr3:uid="{1CBEC130-7CE8-9D47-B788-CF44047C5E0A}" name="Column696"/>
    <tableColumn id="715" xr3:uid="{69F8E989-8F73-6744-81AB-D0AEB3B605BD}" name="Column697"/>
    <tableColumn id="716" xr3:uid="{DCB3A0BE-4B72-3A4B-BD73-017ED6B3207E}" name="Column698"/>
    <tableColumn id="717" xr3:uid="{F968805A-A4C9-944E-9CF3-CBE4CEBC126B}" name="Column699"/>
    <tableColumn id="718" xr3:uid="{7C5A1E96-321C-5040-9449-835FCA6594E5}" name="Column700"/>
    <tableColumn id="719" xr3:uid="{A4A3A4BC-4329-694A-B7A8-5EB742FD0635}" name="Column701"/>
    <tableColumn id="720" xr3:uid="{0C6627D2-0A7F-904B-BE27-0272E1C09D22}" name="Column702"/>
    <tableColumn id="721" xr3:uid="{CB3BCA0A-32F9-C54E-A64B-1E787A0472B8}" name="Column703"/>
    <tableColumn id="722" xr3:uid="{E71451FD-FADD-5E4D-9A29-343C56A8AEB2}" name="Column704"/>
    <tableColumn id="723" xr3:uid="{BFDF4663-C1CE-6F4B-895A-47A510C2E3C8}" name="Column705"/>
    <tableColumn id="724" xr3:uid="{8422F856-28AC-054C-982A-ED128C7CD3C3}" name="Column706"/>
    <tableColumn id="725" xr3:uid="{027A0F65-7AE0-B24C-AB1A-760F25256ED8}" name="Column707"/>
    <tableColumn id="726" xr3:uid="{0B9D613D-8026-D04B-812C-456E7360FABE}" name="Column708"/>
    <tableColumn id="727" xr3:uid="{31D963E4-ABDD-8543-8116-B39667994D48}" name="Column709"/>
    <tableColumn id="728" xr3:uid="{F600ED94-4E8A-AD49-B1E7-681CBB081752}" name="Column710"/>
    <tableColumn id="729" xr3:uid="{F2DC577F-32CB-664D-B818-36187D948464}" name="Column711"/>
    <tableColumn id="730" xr3:uid="{A22490C3-A623-3945-A954-282E91E047DC}" name="Column712"/>
    <tableColumn id="731" xr3:uid="{C84318AA-A5DC-CA41-99A8-5FE4B2722708}" name="Column713"/>
    <tableColumn id="732" xr3:uid="{0F992F60-B8F5-AC41-BADA-DA3DA6AC25CC}" name="Column714"/>
    <tableColumn id="733" xr3:uid="{10ED176F-3503-8949-894F-65A161C9BCE8}" name="Column715"/>
    <tableColumn id="734" xr3:uid="{917E20AC-FA77-734E-BC29-E3FC6621ACF1}" name="Column716"/>
    <tableColumn id="735" xr3:uid="{881A1716-63CD-714F-B821-24E850D67C1A}" name="Column717"/>
    <tableColumn id="736" xr3:uid="{1393C03A-4160-FE49-A5FC-77E2331D5445}" name="Column718"/>
    <tableColumn id="737" xr3:uid="{D082EF8F-6BC0-D644-A2ED-F08E0EC889A4}" name="Column719"/>
    <tableColumn id="738" xr3:uid="{0466EB55-03A2-B346-B566-CBFFE553504A}" name="Column720"/>
    <tableColumn id="739" xr3:uid="{D79B5E3D-84AA-F34F-A985-F0B231EC1E47}" name="Column721"/>
    <tableColumn id="740" xr3:uid="{B33055D3-2A9C-8847-9D07-C9654E8D9092}" name="Column722"/>
    <tableColumn id="741" xr3:uid="{FEE51CE3-3A16-1D45-AC07-1266E0E07F75}" name="Column723"/>
    <tableColumn id="742" xr3:uid="{2DF60FC9-A6A3-5F4C-82D2-B4763E6F1720}" name="Column724"/>
    <tableColumn id="743" xr3:uid="{5C540B2F-F471-4543-9D92-D7D3E3975A78}" name="Column725"/>
    <tableColumn id="744" xr3:uid="{B6F2F693-AB24-5E4A-AA03-5824E5E85890}" name="Column726"/>
    <tableColumn id="745" xr3:uid="{36D86858-F000-6743-BB9F-AC502A69E684}" name="Column727"/>
    <tableColumn id="746" xr3:uid="{94CD1A0B-D6E5-114A-90CF-AABDE7C5A5B2}" name="Column728"/>
    <tableColumn id="747" xr3:uid="{DF4D43CD-75EE-5944-9B20-CB77701D2643}" name="Column729"/>
    <tableColumn id="748" xr3:uid="{0057E539-633D-5747-9A2B-DE206AAFC6D5}" name="Column730"/>
    <tableColumn id="749" xr3:uid="{B8AAFFB4-77E1-754A-A1BA-9B2AF12E36AD}" name="Column731"/>
    <tableColumn id="750" xr3:uid="{92EE272F-A66B-B047-BEC7-E5C893E6D840}" name="Column732"/>
    <tableColumn id="751" xr3:uid="{C790F140-320B-234D-95D9-953DC7D66B04}" name="Column733"/>
    <tableColumn id="752" xr3:uid="{A0F6DB54-5524-D042-8F8C-5E0246C4A74C}" name="Column734"/>
    <tableColumn id="753" xr3:uid="{A51048B6-BA82-9141-96A3-867FFA0CC0F7}" name="Column735"/>
    <tableColumn id="754" xr3:uid="{8EB426FC-3050-C246-BA20-8711D6EA48A1}" name="Column736"/>
    <tableColumn id="755" xr3:uid="{D982DFF6-FF1F-864B-919D-FCC866865FA9}" name="Column737"/>
    <tableColumn id="756" xr3:uid="{540E2285-166D-954A-B443-C927DB97D883}" name="Column738"/>
    <tableColumn id="757" xr3:uid="{9933E153-CE0F-0B4E-9F26-33A3CA19BBD8}" name="Column739"/>
    <tableColumn id="758" xr3:uid="{C29CA5CE-4329-4543-89D6-889894F418AE}" name="Column740"/>
    <tableColumn id="759" xr3:uid="{6E481D30-E479-3746-A92E-3A7DF3ED7C7B}" name="Column741"/>
    <tableColumn id="760" xr3:uid="{C5B7B4F3-5796-5546-A15D-3FD3610F1783}" name="Column742"/>
    <tableColumn id="761" xr3:uid="{941251B9-02C8-2544-A942-E384CA4511EB}" name="Column743"/>
    <tableColumn id="762" xr3:uid="{AAA0E062-47AB-CF45-BBB7-10941552668F}" name="Column744"/>
    <tableColumn id="763" xr3:uid="{63B0C640-1E95-F64A-9C1B-1438302DD80F}" name="Column745"/>
    <tableColumn id="764" xr3:uid="{10CEACCB-C208-BC4F-AAF9-9304964B1151}" name="Column746"/>
    <tableColumn id="765" xr3:uid="{0712E630-9131-464A-947E-5FF9A2305FF7}" name="Column747"/>
    <tableColumn id="766" xr3:uid="{2D6DDCC1-73B7-454D-9513-77226358BB3F}" name="Column748"/>
    <tableColumn id="767" xr3:uid="{CF68B37C-F50F-F44E-ACF2-E1FF7C4A5FCC}" name="Column749"/>
    <tableColumn id="768" xr3:uid="{59370040-8A24-A445-8670-9960F1F83C14}" name="Column750"/>
    <tableColumn id="769" xr3:uid="{1E723757-0C41-304B-A980-2FC2CC6784EA}" name="Column751"/>
    <tableColumn id="770" xr3:uid="{42067283-EB2C-BF49-992B-1A0E4CBF64E9}" name="Column752"/>
    <tableColumn id="771" xr3:uid="{C05D1114-19C3-BE4E-A7A1-2E867AEDDA3B}" name="Column753"/>
    <tableColumn id="772" xr3:uid="{8A8DBCDC-1FF3-E344-9C1B-FD372D550A79}" name="Column754"/>
    <tableColumn id="773" xr3:uid="{66812055-AE73-4546-836E-F80188315C3E}" name="Column755"/>
    <tableColumn id="774" xr3:uid="{D0DDD272-290B-454D-BBC4-A48852A47378}" name="Column756"/>
    <tableColumn id="775" xr3:uid="{7D1E6AC4-25A0-2C49-8A33-4D884AC81F43}" name="Column757"/>
    <tableColumn id="776" xr3:uid="{76797DA7-A829-6D48-B77A-DDA6EE8EEBD4}" name="Column758"/>
    <tableColumn id="777" xr3:uid="{2AF94FCF-2B84-A943-B75F-4939072F66CF}" name="Column759"/>
    <tableColumn id="778" xr3:uid="{8471D50B-F47E-0A48-8C74-A922F812A886}" name="Column760"/>
    <tableColumn id="779" xr3:uid="{B120F10E-BFE4-3A46-8B43-5B4BF37BE562}" name="Column761"/>
    <tableColumn id="780" xr3:uid="{203DAEAC-025E-C54A-BBBE-47A01AE52D6D}" name="Column762"/>
    <tableColumn id="781" xr3:uid="{B1477711-9949-1347-913F-C9FE37C4A865}" name="Column763"/>
    <tableColumn id="782" xr3:uid="{2D08A910-FEE8-F744-A50B-9607F4865966}" name="Column764"/>
    <tableColumn id="783" xr3:uid="{9129C585-6E4F-A94D-8E9B-CDE73DC08037}" name="Column765"/>
    <tableColumn id="784" xr3:uid="{0F317AE6-154A-2344-9AD9-37B3AE2DA612}" name="Column766"/>
    <tableColumn id="785" xr3:uid="{E6C67348-FAE8-5A49-B6C1-8F7E4167518D}" name="Column767"/>
    <tableColumn id="786" xr3:uid="{EF89C0B5-BA91-9349-80CB-E5C0B1D305D9}" name="Column768"/>
    <tableColumn id="787" xr3:uid="{6495F72A-E094-C141-953F-01A52709BD8B}" name="Column769"/>
    <tableColumn id="788" xr3:uid="{7D3F7D4D-8828-0F48-9CFF-DBFCA3896422}" name="Column770"/>
    <tableColumn id="789" xr3:uid="{6212F1B0-088F-5445-8919-166CAA689564}" name="Column771"/>
    <tableColumn id="790" xr3:uid="{4907176B-1EAC-AF4E-B251-5112CCA89CAA}" name="Column772"/>
    <tableColumn id="791" xr3:uid="{E7700358-D397-1041-B22B-1BB5C760FC84}" name="Column773"/>
    <tableColumn id="792" xr3:uid="{110AECED-6232-8F47-A683-D13AC3724509}" name="Column774"/>
    <tableColumn id="793" xr3:uid="{17A8922C-3F26-5546-89F8-309ED81FF736}" name="Column775"/>
    <tableColumn id="794" xr3:uid="{BA99BCEE-167B-CC4C-8981-ECC761DDC3BE}" name="Column776"/>
    <tableColumn id="795" xr3:uid="{EC180A99-27E8-F242-9876-4A7197B55B2A}" name="Column777"/>
    <tableColumn id="796" xr3:uid="{4A1DAB5D-100F-9244-8AB6-747484689EC9}" name="Column778"/>
    <tableColumn id="797" xr3:uid="{C91294CE-5CB5-2E47-9BD8-D1ABFAE19443}" name="Column779"/>
    <tableColumn id="798" xr3:uid="{AE145D8B-5B03-CA4D-B56E-8829B5025509}" name="Column780"/>
    <tableColumn id="799" xr3:uid="{641BC0C1-FFD5-DF43-8EF1-C6D77300A184}" name="Column781"/>
    <tableColumn id="800" xr3:uid="{07665ABF-E6AB-6847-8DB0-A80EF8A86A4A}" name="Column782"/>
    <tableColumn id="801" xr3:uid="{F7CEE3D2-86CB-7B42-882B-06288D93DC7E}" name="Column783"/>
    <tableColumn id="802" xr3:uid="{15630BDE-6D4A-6B4E-A741-8DEE2EB2AA79}" name="Column784"/>
    <tableColumn id="803" xr3:uid="{67597573-B2E4-494E-90A4-C53FF47419D8}" name="Column785"/>
    <tableColumn id="804" xr3:uid="{4F0966C7-7304-294C-A708-4F221111CD29}" name="Column786"/>
    <tableColumn id="805" xr3:uid="{AC6C3985-0D83-084B-84C2-74BC61CEFAB1}" name="Column787"/>
    <tableColumn id="806" xr3:uid="{C0D4753D-FA4A-154D-89AA-F9037A133E9E}" name="Column788"/>
    <tableColumn id="807" xr3:uid="{87FCF14F-D535-0048-8E3B-ECB4A0DD5ED5}" name="Column789"/>
    <tableColumn id="808" xr3:uid="{BEA80826-7C4F-BB44-8D0F-B6A02B4EFA23}" name="Column790"/>
    <tableColumn id="809" xr3:uid="{EDBEB726-CAEF-EA42-AE6F-FF370F89E001}" name="Column791"/>
    <tableColumn id="810" xr3:uid="{61D970C5-BE15-0448-8C71-F179071880C5}" name="Column792"/>
    <tableColumn id="811" xr3:uid="{224A442E-8B9B-D942-A1C2-B4694D82D6E3}" name="Column793"/>
    <tableColumn id="812" xr3:uid="{64344EE7-9CEC-2745-8552-F0ED5316626D}" name="Column794"/>
    <tableColumn id="813" xr3:uid="{9387797E-78BE-9741-A6AE-FF26FE29C5FC}" name="Column795"/>
    <tableColumn id="814" xr3:uid="{D03FE4CA-3BC5-6442-973F-567B6669F180}" name="Column796"/>
    <tableColumn id="815" xr3:uid="{5293063F-4934-254E-8836-4A3295F6857E}" name="Column797"/>
    <tableColumn id="816" xr3:uid="{38A2AB92-80F9-804B-A060-7337843C9427}" name="Column798"/>
    <tableColumn id="817" xr3:uid="{3294B9D0-09B1-DE4B-A4B5-2818144D6E54}" name="Column799"/>
    <tableColumn id="818" xr3:uid="{B496B072-9C32-1642-9001-9578251810BC}" name="Column800"/>
    <tableColumn id="819" xr3:uid="{81B13F11-C8BC-5F4D-953A-2162E4718859}" name="Column801"/>
    <tableColumn id="820" xr3:uid="{C0BB5164-1B41-B14F-A67C-993236E24509}" name="Column802"/>
    <tableColumn id="821" xr3:uid="{92514C47-4EC0-784A-80AC-8E64CFDBBE56}" name="Column803"/>
    <tableColumn id="822" xr3:uid="{33A91046-9B3B-9E4A-97DC-80E930FE859E}" name="Column804"/>
    <tableColumn id="823" xr3:uid="{3461342C-031C-9646-BBA0-4E10FFC69D15}" name="Column805"/>
    <tableColumn id="824" xr3:uid="{79A8AFBB-3E8E-9849-AC99-8BA4D83E3CBF}" name="Column806"/>
    <tableColumn id="825" xr3:uid="{E2AD5B2E-F9BA-BE4C-ACAA-464038669AF9}" name="Column807"/>
    <tableColumn id="826" xr3:uid="{134F213B-E565-D241-AAAD-60B7F168A62D}" name="Column808"/>
    <tableColumn id="827" xr3:uid="{3DA3AAAC-48F7-9E45-8140-2548DF7FAAB3}" name="Column809"/>
    <tableColumn id="828" xr3:uid="{87CF9BC8-BC40-3A48-B0EB-A72AB3906B6A}" name="Column810"/>
    <tableColumn id="829" xr3:uid="{1F7CC545-0244-8D48-95BA-A9E2559172B9}" name="Column811"/>
    <tableColumn id="830" xr3:uid="{7544535D-3740-F448-952F-B5E3F219B409}" name="Column812"/>
    <tableColumn id="831" xr3:uid="{6294BF43-836F-1343-8A3C-8B98E02F2361}" name="Column813"/>
    <tableColumn id="832" xr3:uid="{C287C6FE-D3A8-E641-8CBC-3D04EBF02E89}" name="Column814"/>
    <tableColumn id="833" xr3:uid="{55EBDB86-A66D-F546-87CE-97E500D8AC32}" name="Column815"/>
    <tableColumn id="834" xr3:uid="{B42A1303-044D-F74F-9FBB-56D4BD34C80B}" name="Column816"/>
    <tableColumn id="835" xr3:uid="{3E0FF0D1-F69E-374A-8B18-A911A61DA177}" name="Column817"/>
    <tableColumn id="836" xr3:uid="{42CBB4FC-9E00-614E-9B99-9BCB7BF162EE}" name="Column818"/>
    <tableColumn id="837" xr3:uid="{D88C2B3E-0D2A-6C4B-A1C5-5EBF9A55E03F}" name="Column819"/>
    <tableColumn id="838" xr3:uid="{C7D29E44-8BCB-B948-9800-5EA96A5EF76B}" name="Column820"/>
    <tableColumn id="839" xr3:uid="{7C45C038-B077-9B40-A86C-FCCFC7D6365B}" name="Column821"/>
    <tableColumn id="840" xr3:uid="{338E7C73-0DBA-3F4A-A130-AF7522911B17}" name="Column822"/>
    <tableColumn id="841" xr3:uid="{01781CDC-6619-C247-B112-01740E0E071A}" name="Column823"/>
    <tableColumn id="842" xr3:uid="{A58B62BF-65EF-2D43-86B8-6A04D04956A7}" name="Column824"/>
    <tableColumn id="843" xr3:uid="{AAF9348A-A0B9-2F4A-B156-8BD908353237}" name="Column825"/>
    <tableColumn id="844" xr3:uid="{9FCABCE3-0D2F-B846-B266-23665EF40D3E}" name="Column826"/>
    <tableColumn id="845" xr3:uid="{E624E15C-BFEB-4C4D-8D2C-E016DD87E5E5}" name="Column827"/>
    <tableColumn id="846" xr3:uid="{7B9A4E21-0B1B-F640-A58D-616855506BFD}" name="Column828"/>
    <tableColumn id="847" xr3:uid="{D831E51C-4AF6-2D45-BCF9-6D98B07A2EB5}" name="Column829"/>
    <tableColumn id="848" xr3:uid="{C310BCAD-5551-484F-95DC-C3FE2605AEE4}" name="Column830"/>
    <tableColumn id="849" xr3:uid="{C793CEB5-66AF-FE49-818B-6508CE3F9EDA}" name="Column831"/>
    <tableColumn id="850" xr3:uid="{37EC16F2-574E-E54C-8C8A-E57EC81E1902}" name="Column832"/>
    <tableColumn id="851" xr3:uid="{9B97507C-984A-7348-BA96-5109E59ABF5B}" name="Column833"/>
    <tableColumn id="852" xr3:uid="{AA6D073E-DACA-794B-A824-32B615034094}" name="Column834"/>
    <tableColumn id="853" xr3:uid="{61B21768-2F38-1644-882F-5D52111D709F}" name="Column835"/>
    <tableColumn id="854" xr3:uid="{77F915CE-6825-5949-9E1F-E4004846A8F3}" name="Column836"/>
    <tableColumn id="855" xr3:uid="{1AD8BB6A-845B-FF42-AE7C-9D0D3A215A0B}" name="Column837"/>
    <tableColumn id="856" xr3:uid="{0A69F467-25D0-2143-8A2B-81357CDFCF61}" name="Column838"/>
    <tableColumn id="857" xr3:uid="{FDFDD8EB-AF4A-C34B-B874-EF89948203B2}" name="Column839"/>
    <tableColumn id="858" xr3:uid="{1C1E17E8-12BA-6C40-BA10-575805B88183}" name="Column840"/>
    <tableColumn id="859" xr3:uid="{27E615F5-5E47-5F42-82E4-62C0A9992128}" name="Column841"/>
    <tableColumn id="860" xr3:uid="{A402EED0-FA7B-9C48-9876-6546D5ED08B1}" name="Column842"/>
    <tableColumn id="861" xr3:uid="{4EC767FB-02C9-B74D-9C1A-3DBD00A668E6}" name="Column843"/>
    <tableColumn id="862" xr3:uid="{90BB49B2-58A4-9342-938D-ED3C2C7A54FA}" name="Column844"/>
    <tableColumn id="863" xr3:uid="{9784EF0B-156E-CB40-AD19-046A6BB94B8B}" name="Column845"/>
    <tableColumn id="864" xr3:uid="{5167245D-40F6-1543-9401-DB52CC5F6266}" name="Column846"/>
    <tableColumn id="865" xr3:uid="{453B16E8-49BD-A543-9F8B-1F3510AC4E19}" name="Column847"/>
    <tableColumn id="866" xr3:uid="{29B8C4EB-AE6F-BD45-B0A3-0277826A9846}" name="Column848"/>
    <tableColumn id="867" xr3:uid="{1A8BDF0F-BB6F-CA46-B2F9-A77A2831D964}" name="Column849"/>
    <tableColumn id="868" xr3:uid="{8EE4FB2C-01AE-1D48-9A5D-237DECA8AC08}" name="Column850"/>
    <tableColumn id="869" xr3:uid="{DC869094-702D-8245-ADD8-B090C8156CD2}" name="Column851"/>
    <tableColumn id="870" xr3:uid="{6375ACF7-728D-3248-907C-049F142E118C}" name="Column852"/>
    <tableColumn id="871" xr3:uid="{2219D0D5-A027-1644-9076-CB273AB8A3BE}" name="Column853"/>
    <tableColumn id="872" xr3:uid="{EC4076A4-50A1-9C43-B9E9-5C6C1F0964D0}" name="Column854"/>
    <tableColumn id="873" xr3:uid="{3224DF6D-335D-A749-8DF9-06CC5AB3B186}" name="Column855"/>
    <tableColumn id="874" xr3:uid="{0A71BD33-2E58-F644-8695-995C4F445019}" name="Column856"/>
    <tableColumn id="875" xr3:uid="{0010185C-47BC-094E-9D42-C5CBBE08CE54}" name="Column857"/>
    <tableColumn id="876" xr3:uid="{88712BF2-AD30-6647-8B2C-5FF3E12D210A}" name="Column858"/>
    <tableColumn id="877" xr3:uid="{6F569BB4-9EF8-EF4F-9D0B-E5C7BB31344C}" name="Column859"/>
    <tableColumn id="878" xr3:uid="{95EE39A8-74FD-2244-A493-338EA8714D42}" name="Column860"/>
    <tableColumn id="879" xr3:uid="{666F02FE-2309-A74B-9E65-DC3B3FB38100}" name="Column861"/>
    <tableColumn id="880" xr3:uid="{80F2AEC1-8B34-7741-B4E8-119D1AFE3803}" name="Column862"/>
    <tableColumn id="881" xr3:uid="{657C4143-65A9-0848-8DC0-FAAEEE50D32A}" name="Column863"/>
    <tableColumn id="882" xr3:uid="{F64AF694-D838-0D4C-91A5-7934DFEFDEFD}" name="Column864"/>
    <tableColumn id="883" xr3:uid="{3DD34A3B-535F-344D-95FC-B1EABF94EE02}" name="Column865"/>
    <tableColumn id="884" xr3:uid="{594B2A07-11D1-5047-A2BA-74D76667C1B0}" name="Column866"/>
    <tableColumn id="885" xr3:uid="{3A9A583E-12C4-C044-BD43-5314F3CA20D4}" name="Column867"/>
    <tableColumn id="886" xr3:uid="{C69A87A5-A2A9-B449-83FC-8224F67AA3C5}" name="Column868"/>
    <tableColumn id="887" xr3:uid="{D77C8B20-92DF-BE4B-9CD4-93994302194B}" name="Column869"/>
    <tableColumn id="888" xr3:uid="{473D69CA-E106-AC42-8D15-8424B83D38AB}" name="Column870"/>
    <tableColumn id="889" xr3:uid="{A66206CA-87AB-AB46-9524-5C186ECD4FB2}" name="Column871"/>
    <tableColumn id="890" xr3:uid="{438F42A7-78F5-8F4D-8351-E8D45FB66C83}" name="Column872"/>
    <tableColumn id="891" xr3:uid="{03C75296-A223-2C46-85F3-4E16B80A7787}" name="Column873"/>
    <tableColumn id="892" xr3:uid="{5F1DD753-0BEE-7F4D-BE7A-E0A45EF3F61B}" name="Column874"/>
    <tableColumn id="893" xr3:uid="{B2547800-E0CE-E946-AA75-F4FE3496DF49}" name="Column875"/>
    <tableColumn id="894" xr3:uid="{AF0AACDF-ACD9-894F-A8FA-0AC3AC8D4A6C}" name="Column876"/>
    <tableColumn id="895" xr3:uid="{F893675E-AF55-F347-84B7-8483093A1FA8}" name="Column877"/>
    <tableColumn id="896" xr3:uid="{0CA59AC9-CC17-8F45-9358-3067CA3AFA68}" name="Column878"/>
    <tableColumn id="897" xr3:uid="{80D9A0EC-CAE2-F242-8E2B-129B9CF5C74D}" name="Column879"/>
    <tableColumn id="898" xr3:uid="{2283E8F5-AF92-BB49-AF8F-B0F870847CFC}" name="Column880"/>
    <tableColumn id="899" xr3:uid="{6064FE5D-FE31-3D47-A05A-2F14E60EBE99}" name="Column881"/>
    <tableColumn id="900" xr3:uid="{42EA77D5-04DC-8942-A7E7-E986CBF69726}" name="Column882"/>
    <tableColumn id="901" xr3:uid="{859C7540-03DB-9F4A-9F0A-F269402B4509}" name="Column883"/>
    <tableColumn id="902" xr3:uid="{3BA84CF1-7AFC-7A40-9378-C20CF5DAE4F3}" name="Column884"/>
    <tableColumn id="903" xr3:uid="{3D8EF22A-BE36-E946-AD45-635BB7D899AE}" name="Column885"/>
    <tableColumn id="904" xr3:uid="{86600498-8804-1F4E-872B-32ED977965FC}" name="Column886"/>
    <tableColumn id="905" xr3:uid="{03B773A2-95A4-1E4E-9476-605DC499C1EE}" name="Column887"/>
    <tableColumn id="906" xr3:uid="{0701A749-1500-5042-8C19-68F3875636DA}" name="Column888"/>
    <tableColumn id="907" xr3:uid="{47007F8E-4C46-6E40-8A3A-1942B1A8547E}" name="Column889"/>
    <tableColumn id="908" xr3:uid="{A128D839-597E-884A-8A8D-19E83E6D4E11}" name="Column890"/>
    <tableColumn id="909" xr3:uid="{0D828D87-ADB4-454A-BF08-81A223DEA69A}" name="Column891"/>
    <tableColumn id="910" xr3:uid="{84DD0A62-892C-D24D-890E-FC5F1D0655A7}" name="Column892"/>
    <tableColumn id="911" xr3:uid="{B6C966A0-0943-8444-B86C-6531F073AA74}" name="Column893"/>
    <tableColumn id="912" xr3:uid="{CF300284-557B-FC4A-8C92-07DD50DB3B08}" name="Column894"/>
    <tableColumn id="913" xr3:uid="{3B915B6F-2E00-5D48-8894-4C8DBD285F18}" name="Column895"/>
    <tableColumn id="914" xr3:uid="{34CD6F38-8552-894C-A155-12F74DD2F484}" name="Column896"/>
    <tableColumn id="915" xr3:uid="{878F3597-3A5C-BA41-835F-CAEEB2187A96}" name="Column897"/>
    <tableColumn id="916" xr3:uid="{950B9A65-FDE7-424F-82F7-CC41130FF684}" name="Column898"/>
    <tableColumn id="917" xr3:uid="{DEC62F6B-BE41-6A48-93FA-D695F4F3B355}" name="Column899"/>
    <tableColumn id="918" xr3:uid="{8AC2A03F-2135-5342-966D-49101AF5FED1}" name="Column900"/>
    <tableColumn id="919" xr3:uid="{77EB86F3-A29E-4548-92F4-FAFC5A4D63D6}" name="Column901"/>
    <tableColumn id="920" xr3:uid="{CAE439CE-6C43-CD49-BD07-ED1A6DDF41BB}" name="Column902"/>
    <tableColumn id="921" xr3:uid="{1260C6CC-925D-404D-8D9E-CF67495174E0}" name="Column903"/>
    <tableColumn id="922" xr3:uid="{C77488C0-F937-214A-8999-DD68BC95F365}" name="Column904"/>
    <tableColumn id="923" xr3:uid="{12038490-C5A8-DB44-8987-81FDD04FF866}" name="Column905"/>
    <tableColumn id="924" xr3:uid="{B5E9AF61-0187-CB47-B1E5-4477F35530D1}" name="Column906"/>
    <tableColumn id="925" xr3:uid="{1D0BC843-B8B5-2442-A885-6466923326E3}" name="Column907"/>
    <tableColumn id="926" xr3:uid="{1820FD09-5E9F-B546-BC32-E8157C774DBB}" name="Column908"/>
    <tableColumn id="927" xr3:uid="{81A954ED-4F6D-394C-B7C3-46AFA3BCDFB9}" name="Column909"/>
    <tableColumn id="928" xr3:uid="{E52DB374-A9A4-6848-B4FB-19B603F15EE8}" name="Column910"/>
    <tableColumn id="929" xr3:uid="{3C83C3CD-D174-5449-BC74-E8865FB97D39}" name="Column911"/>
    <tableColumn id="930" xr3:uid="{17C47D26-06ED-CE4B-912E-072C0733BEC3}" name="Column912"/>
    <tableColumn id="931" xr3:uid="{9D1C158C-03E0-4C4D-B2D1-9EB3618D12F3}" name="Column913"/>
    <tableColumn id="932" xr3:uid="{FC0683D6-C544-7942-9979-835FDE90D1D9}" name="Column914"/>
    <tableColumn id="933" xr3:uid="{DDC070F7-5F2F-DE4C-A6CE-D1EDBE1C7487}" name="Column915"/>
    <tableColumn id="934" xr3:uid="{6FB98A63-20F0-5746-B530-2E615F78FDB5}" name="Column916"/>
    <tableColumn id="935" xr3:uid="{C78B1BCA-7C86-AF45-8B7E-9EE2928FDF78}" name="Column917"/>
    <tableColumn id="936" xr3:uid="{C946F83F-C0F8-D449-8ECB-D277C46EF27B}" name="Column918"/>
    <tableColumn id="937" xr3:uid="{79EF7479-0168-5E49-BB90-13EA18674DF2}" name="Column919"/>
    <tableColumn id="938" xr3:uid="{315B580D-D9C9-334F-B5A1-829E4617AE34}" name="Column920"/>
    <tableColumn id="939" xr3:uid="{26C2D188-46DA-5840-AC6D-592808E8BC1D}" name="Column921"/>
    <tableColumn id="940" xr3:uid="{6F5E0528-DCC3-AF45-85FE-9D4993885EEE}" name="Column922"/>
    <tableColumn id="941" xr3:uid="{C2CD464C-3101-3A43-BABB-30EB2055EC6A}" name="Column923"/>
    <tableColumn id="942" xr3:uid="{C76EC015-939B-4E47-A73D-792CB355FFB1}" name="Column924"/>
    <tableColumn id="943" xr3:uid="{3199F059-3822-F047-B93F-7A4C6A73562F}" name="Column925"/>
    <tableColumn id="944" xr3:uid="{F3848448-1C2C-434E-8372-F8717E1A0BF2}" name="Column926"/>
    <tableColumn id="945" xr3:uid="{560DE240-46A5-6646-980A-56F8CC080A58}" name="Column927"/>
    <tableColumn id="946" xr3:uid="{CB5474BA-573D-F546-A118-D6D615BC235E}" name="Column928"/>
    <tableColumn id="947" xr3:uid="{88FCF7C2-9647-304B-8EB3-4EE7B0B2FC12}" name="Column929"/>
    <tableColumn id="948" xr3:uid="{C664E389-2685-C046-B321-5BD0453EBEE4}" name="Column930"/>
    <tableColumn id="949" xr3:uid="{DD987AF4-2F40-D845-897C-A09721021966}" name="Column931"/>
    <tableColumn id="950" xr3:uid="{0E56F947-9532-AB4C-95AE-AFD9623377F0}" name="Column932"/>
    <tableColumn id="951" xr3:uid="{635AD755-93F4-EF4A-8DBB-407AC0BBE78D}" name="Column933"/>
    <tableColumn id="952" xr3:uid="{2197502B-24C9-8445-91A6-4D41502F8900}" name="Column934"/>
    <tableColumn id="953" xr3:uid="{F98D1728-4F64-BC4F-9B15-BACF31DDE912}" name="Column935"/>
    <tableColumn id="954" xr3:uid="{75A1F09D-A32A-4049-8D02-61CF8B0EC6F9}" name="Column936"/>
    <tableColumn id="955" xr3:uid="{3A4BE2E2-F083-5E45-8211-0DE14F65FBCA}" name="Column937"/>
    <tableColumn id="956" xr3:uid="{7E82C60E-7F54-8F4E-965C-E24CAC4B86A8}" name="Column938"/>
    <tableColumn id="957" xr3:uid="{B4DA3944-AA17-5E40-8EC7-1CF925ED7699}" name="Column939"/>
    <tableColumn id="958" xr3:uid="{9E23A9D1-E04A-A344-9C7E-4B898C7F99B0}" name="Column940"/>
    <tableColumn id="959" xr3:uid="{954A6D2A-C126-1045-B85B-9C3915E48E8B}" name="Column941"/>
    <tableColumn id="960" xr3:uid="{0FE5DFCD-94BE-7E47-BADD-1D45A56F3F7E}" name="Column942"/>
    <tableColumn id="961" xr3:uid="{6C28DCEF-748C-A745-BB63-BA222AE714A1}" name="Column943"/>
    <tableColumn id="962" xr3:uid="{F4FE1CE6-35CD-1346-8AB2-2874F9DA4556}" name="Column944"/>
    <tableColumn id="963" xr3:uid="{B7600BC2-6032-E848-BE11-28195D277970}" name="Column945"/>
    <tableColumn id="964" xr3:uid="{CA080361-C5ED-8C44-B9AE-5A318EB983C5}" name="Column946"/>
    <tableColumn id="965" xr3:uid="{BFE3BED1-0F83-2543-8300-F8F6B6445519}" name="Column947"/>
    <tableColumn id="966" xr3:uid="{97487259-827A-8C47-8DCF-4E99A434570A}" name="Column948"/>
    <tableColumn id="967" xr3:uid="{FC075BF8-C41B-8B43-A20E-F7FB35669712}" name="Column949"/>
    <tableColumn id="968" xr3:uid="{64C69BDF-FB78-7E41-8357-A5403F94C297}" name="Column950"/>
    <tableColumn id="969" xr3:uid="{B18B128D-3B9D-5E49-9732-12A75C2A1E33}" name="Column951"/>
    <tableColumn id="970" xr3:uid="{35FB9ABA-64C4-6247-87D9-E325E32501B4}" name="Column952"/>
    <tableColumn id="971" xr3:uid="{06BBE1DB-D760-4C48-AC25-DD591295C5FC}" name="Column953"/>
    <tableColumn id="972" xr3:uid="{B9B52F10-E607-1345-B756-C30BE330C195}" name="Column954"/>
    <tableColumn id="973" xr3:uid="{28D5466C-C31C-624F-9B6C-46D6BE764451}" name="Column955"/>
    <tableColumn id="974" xr3:uid="{E0F84834-0F6F-6349-996B-1360FA54D3EE}" name="Column956"/>
    <tableColumn id="975" xr3:uid="{3757DC1E-E113-FF44-BBF0-0281ADFA7D7F}" name="Column957"/>
    <tableColumn id="976" xr3:uid="{0DF6BE48-F82B-D74C-BF7C-A7EC97F915CE}" name="Column958"/>
    <tableColumn id="977" xr3:uid="{2E0D7857-2241-C348-A185-3F3860DA515A}" name="Column959"/>
    <tableColumn id="978" xr3:uid="{95484B34-CE67-904E-84E2-7B20F0BEC121}" name="Column960"/>
    <tableColumn id="979" xr3:uid="{A7BADF3F-B0D3-F84D-B322-011A0B9E034A}" name="Column961"/>
    <tableColumn id="980" xr3:uid="{7B041B3E-DD28-4E42-9713-E7133DF8BB61}" name="Column962"/>
    <tableColumn id="981" xr3:uid="{4F099E3C-73E8-744B-9E88-D47BDA87B98D}" name="Column963"/>
    <tableColumn id="982" xr3:uid="{83AB6DFD-DA7F-F54E-AB03-9E674DADCCF0}" name="Column964"/>
    <tableColumn id="983" xr3:uid="{D6779BB4-6883-9640-929D-A1683A121B97}" name="Column965"/>
    <tableColumn id="984" xr3:uid="{48EA6FC8-F58E-F54F-841D-41E57B990D89}" name="Column966"/>
    <tableColumn id="985" xr3:uid="{C4869981-441A-8D43-89CA-6C0C3A673088}" name="Column967"/>
    <tableColumn id="986" xr3:uid="{063482BC-5C08-964B-9CA4-8A1761310349}" name="Column968"/>
    <tableColumn id="987" xr3:uid="{33E53FBC-7225-6744-86E9-A4D3169231CE}" name="Column969"/>
    <tableColumn id="988" xr3:uid="{CCA3325D-E2F3-394F-A345-DCD1835737AE}" name="Column970"/>
    <tableColumn id="989" xr3:uid="{A05B0C5A-F287-B941-B68F-C23951E3F383}" name="Column971"/>
    <tableColumn id="990" xr3:uid="{88376CC6-F4A5-694E-82FB-C179EEE4340E}" name="Column972"/>
    <tableColumn id="991" xr3:uid="{7D91F37F-E700-2F4C-BFA4-E38F07EFF521}" name="Column973"/>
    <tableColumn id="992" xr3:uid="{9D45DB8B-D7E7-2346-AE2E-94E7B3582407}" name="Column974"/>
    <tableColumn id="993" xr3:uid="{C4848F8D-C202-CC45-B4C9-0181708293A1}" name="Column975"/>
    <tableColumn id="994" xr3:uid="{7EB1FC67-0DC0-2C49-BC83-5D0FB63C9D49}" name="Column976"/>
    <tableColumn id="995" xr3:uid="{C557B234-E169-E041-A844-551D574C4341}" name="Column977"/>
    <tableColumn id="996" xr3:uid="{EFEAC37A-BB59-F94E-8B86-6B52F89D1F4B}" name="Column978"/>
    <tableColumn id="997" xr3:uid="{4C8FAD2F-C6E3-9F4B-B671-DE7931376E94}" name="Column979"/>
    <tableColumn id="998" xr3:uid="{B1514489-3DBA-024D-9609-E4CEDB9EC42D}" name="Column980"/>
    <tableColumn id="999" xr3:uid="{A1429925-E550-2E42-86F9-BB6BDDBB85CD}" name="Column981"/>
    <tableColumn id="1000" xr3:uid="{BE11573D-C59F-764B-8810-029C44A68A02}" name="Column982"/>
    <tableColumn id="1001" xr3:uid="{FB1712D7-89CE-6342-AE58-B29C5DAE9B1A}" name="Column983"/>
    <tableColumn id="1002" xr3:uid="{1B76ED60-D9C7-0E4F-8F34-7F59FDEAB87A}" name="Column984"/>
    <tableColumn id="1003" xr3:uid="{82EB3393-72CB-F644-940A-4C9DD2DBDF65}" name="Column985"/>
    <tableColumn id="1004" xr3:uid="{EA7C155F-B6D7-9A40-A4E8-12AE0A726582}" name="Column986"/>
    <tableColumn id="1005" xr3:uid="{59CD4BB6-A1F9-D942-B6C1-46BB3FCDC180}" name="Column987"/>
    <tableColumn id="1006" xr3:uid="{59FD3A2B-3C51-DF4A-9D1F-394C20BDA3F0}" name="Column988"/>
    <tableColumn id="1007" xr3:uid="{23AFADDC-40BE-C843-A95C-DA0333EB2457}" name="Column989"/>
    <tableColumn id="1008" xr3:uid="{C97F8546-FC48-024D-905E-C248CA2E864B}" name="Column990"/>
    <tableColumn id="1009" xr3:uid="{26ED7959-445A-354A-80BB-76950A0CAC1E}" name="Column991"/>
    <tableColumn id="1010" xr3:uid="{2E5815EE-6DD5-CB4E-81B7-3C75A54EED34}" name="Column992"/>
    <tableColumn id="1011" xr3:uid="{956D874B-4C00-FA4B-A5B2-ABD5A783653E}" name="Column993"/>
    <tableColumn id="1012" xr3:uid="{1ED857A4-F65C-5045-9D10-1144DFBB9693}" name="Column994"/>
    <tableColumn id="1013" xr3:uid="{878D94F8-2FA7-764C-BCD3-52077D5B456E}" name="Column995"/>
    <tableColumn id="1014" xr3:uid="{988AA3E4-0E1B-F140-AF58-940E3B6F4CA1}" name="Column996"/>
    <tableColumn id="1015" xr3:uid="{DBEB5E12-1B3A-594A-9765-3D1453482738}" name="Column997"/>
    <tableColumn id="1016" xr3:uid="{E30F6513-937B-4242-96D2-FC172E88BDF5}" name="Column998"/>
    <tableColumn id="1017" xr3:uid="{C3C89FED-919E-4B4F-91B2-377D03DF561E}" name="Column999"/>
    <tableColumn id="1018" xr3:uid="{B35D6A11-3469-A049-889C-7AFCA5A66865}" name="Column1000"/>
    <tableColumn id="1019" xr3:uid="{27E1106D-0B7C-1449-8C3B-372948968538}" name="Column1001"/>
    <tableColumn id="1020" xr3:uid="{CEB34E2F-2FAD-3949-AE7D-F3711D1A91C5}" name="Column1002"/>
    <tableColumn id="1021" xr3:uid="{7C03F76B-30D3-B340-8267-D4494DCD2E3A}" name="Column1003"/>
    <tableColumn id="1022" xr3:uid="{DBF83686-3C89-3C42-81D3-476D2F33EC57}" name="Column1004"/>
    <tableColumn id="1023" xr3:uid="{CAF0D659-F875-E141-82E0-D60100D83113}" name="Column1005"/>
    <tableColumn id="1024" xr3:uid="{0AADB258-01AA-D245-ADCB-E2BDC4C17E1A}" name="Column1006"/>
    <tableColumn id="1025" xr3:uid="{ECDAAD50-7162-BC42-9341-C39E791FA79D}" name="Column1007"/>
    <tableColumn id="1026" xr3:uid="{D80D1831-27CB-B14D-AD2E-74E0A3D11DA1}" name="Column1008"/>
    <tableColumn id="1027" xr3:uid="{6662CD54-A764-B64F-B524-15F0C0A75419}" name="Column1009"/>
    <tableColumn id="1028" xr3:uid="{059D7704-E62B-494E-B30B-50F1A6D25A2E}" name="Column1010"/>
    <tableColumn id="1029" xr3:uid="{FF227C5E-55A6-874D-A4F1-EEDD4B547DE9}" name="Column1011"/>
    <tableColumn id="1030" xr3:uid="{AC47A3A8-5949-2F40-95D4-2B72D84B1400}" name="Column1012"/>
    <tableColumn id="1031" xr3:uid="{D36810CA-4FB3-B14E-859F-8E39B4731E23}" name="Column1013"/>
    <tableColumn id="1032" xr3:uid="{9141D2C9-E706-4549-BFE3-53A8769F95AE}" name="Column1014"/>
    <tableColumn id="1033" xr3:uid="{ED5D63FA-8C05-BF41-B1E9-26FC539ADA64}" name="Column1015"/>
    <tableColumn id="1034" xr3:uid="{C62C8922-6AA9-6F43-936F-EBDA28A04D74}" name="Column1016"/>
    <tableColumn id="1035" xr3:uid="{83F96915-6D22-DE4B-90FA-DD0F9A08A00B}" name="Column1017"/>
    <tableColumn id="1036" xr3:uid="{5A7BD465-E278-4D44-B6BE-F82C9FB99E7F}" name="Column1018"/>
    <tableColumn id="1037" xr3:uid="{51ED40ED-ABE3-E844-BF75-2E512F7087A6}" name="Column1019"/>
    <tableColumn id="1038" xr3:uid="{2506C161-DABF-7D48-8B77-56F4E08832C3}" name="Column1020"/>
    <tableColumn id="1039" xr3:uid="{7706A495-A7B1-E941-8992-08BE8A8B7697}" name="Column1021"/>
    <tableColumn id="1040" xr3:uid="{AB852778-5607-DF4B-87BE-33DFD60C611C}" name="Column1022"/>
    <tableColumn id="1041" xr3:uid="{76CF570E-3EDC-4945-A4D1-84C5473B0A0A}" name="Column1023"/>
    <tableColumn id="1042" xr3:uid="{4707369D-A7B7-2D40-B228-8431DB531AB1}" name="Column1024"/>
    <tableColumn id="1043" xr3:uid="{30534C21-2DB8-B04A-8ED1-C0EC28E11FAD}" name="Column1025"/>
    <tableColumn id="1044" xr3:uid="{4C1395EF-62B0-D741-8DF4-B4939F61B181}" name="Column1026"/>
    <tableColumn id="1045" xr3:uid="{B953698F-5487-4E44-BFDC-72086188D45D}" name="Column1027"/>
    <tableColumn id="1046" xr3:uid="{3C59CC4C-4C85-B24B-B608-BDA840734A3E}" name="Column1028"/>
    <tableColumn id="1047" xr3:uid="{6416BD96-F1C7-D64E-8B0C-14563647DA6F}" name="Column1029"/>
    <tableColumn id="1048" xr3:uid="{E66A457F-8DEA-004A-BDAF-D1B9352BB345}" name="Column1030"/>
    <tableColumn id="1049" xr3:uid="{3D6FF866-C746-DF42-A9BF-A8A2974F679D}" name="Column1031"/>
    <tableColumn id="1050" xr3:uid="{FD09ABA0-9009-014E-904B-360A0259B0F6}" name="Column1032"/>
    <tableColumn id="1051" xr3:uid="{6C4859B2-C347-5543-8D59-DE92E1426648}" name="Column1033"/>
    <tableColumn id="1052" xr3:uid="{C68CF0EB-E705-AB44-80C5-E8279A12505F}" name="Column1034"/>
    <tableColumn id="1053" xr3:uid="{CCF319FD-6793-6B4C-8A9B-147F5A306B31}" name="Column1035"/>
    <tableColumn id="1054" xr3:uid="{596285A3-370C-2A4A-9877-AE094C442454}" name="Column1036"/>
    <tableColumn id="1055" xr3:uid="{FDA46D01-D90B-3C47-B6B8-F3DB67EE3F35}" name="Column1037"/>
    <tableColumn id="1056" xr3:uid="{9A96FDC9-06A9-5347-927D-C27B8A5C28D9}" name="Column1038"/>
    <tableColumn id="1057" xr3:uid="{BAC10F9E-3641-694F-BE83-F7F21CC2B600}" name="Column1039"/>
    <tableColumn id="1058" xr3:uid="{50AA0DCD-F4C4-724D-A353-F69460629D5B}" name="Column1040"/>
    <tableColumn id="1059" xr3:uid="{44240D1F-CC02-C341-8A18-BB374011725A}" name="Column1041"/>
    <tableColumn id="1060" xr3:uid="{F5EF03BF-5FD1-6E46-9D4B-A2AD3AFF6885}" name="Column1042"/>
    <tableColumn id="1061" xr3:uid="{F2F1901C-3298-E447-A32C-41E3CABA6672}" name="Column1043"/>
    <tableColumn id="1062" xr3:uid="{B22B3416-4C9A-0845-ADDA-29CC8C2E35EA}" name="Column1044"/>
    <tableColumn id="1063" xr3:uid="{279182AA-47D7-EA49-A9D3-FF0D17C26512}" name="Column1045"/>
    <tableColumn id="1064" xr3:uid="{6BDD51D8-844B-A64B-8308-EED7DF701C8B}" name="Column1046"/>
    <tableColumn id="1065" xr3:uid="{FE5142DC-0A71-6848-9DC0-E93F91D4A3DA}" name="Column1047"/>
    <tableColumn id="1066" xr3:uid="{D668DC98-E7A1-C54E-B2CB-226C95BEE5CC}" name="Column1048"/>
    <tableColumn id="1067" xr3:uid="{C263C994-4692-B844-8F5B-778DC283B2B1}" name="Column1049"/>
    <tableColumn id="1068" xr3:uid="{2DBD19E0-8D9A-BF41-BF91-E387168E841A}" name="Column1050"/>
    <tableColumn id="1069" xr3:uid="{BAB9B487-A375-1542-B9F2-26B79AF89BAC}" name="Column1051"/>
    <tableColumn id="1070" xr3:uid="{BB05023F-CAC6-A343-AAD3-840D4D5AD9E9}" name="Column1052"/>
    <tableColumn id="1071" xr3:uid="{B7F224C5-AA17-4246-B3B7-9BAB19069AA3}" name="Column1053"/>
    <tableColumn id="1072" xr3:uid="{962BB11F-CC1D-A247-9F15-997D0171CCD5}" name="Column1054"/>
    <tableColumn id="1073" xr3:uid="{25ADE4C4-63B5-E349-B872-895981DA0916}" name="Column1055"/>
    <tableColumn id="1074" xr3:uid="{1015EF19-E768-2042-91E4-D09645A43FF3}" name="Column1056"/>
    <tableColumn id="1075" xr3:uid="{5E0D9C94-B279-4248-99BE-98E141D2D148}" name="Column1057"/>
    <tableColumn id="1076" xr3:uid="{CA3F8367-C72A-CA4C-9941-3A1C25BB1C55}" name="Column1058"/>
    <tableColumn id="1077" xr3:uid="{FE3E6E22-D1C6-1041-85AE-C1089CB42012}" name="Column1059"/>
    <tableColumn id="1078" xr3:uid="{46EF057C-616E-2D4B-99C7-121A232869CC}" name="Column1060"/>
    <tableColumn id="1079" xr3:uid="{2F8654F9-DC47-A442-9780-A5D07F6E0123}" name="Column1061"/>
    <tableColumn id="1080" xr3:uid="{FEEE5B05-AF3E-554F-9408-CAF9E5456458}" name="Column1062"/>
    <tableColumn id="1081" xr3:uid="{EBC2A6C8-D980-4D4A-9F16-E6DF0268E9D3}" name="Column1063"/>
    <tableColumn id="1082" xr3:uid="{99FE89BA-DEDD-2942-A5D2-7FBCAAC76028}" name="Column1064"/>
    <tableColumn id="1083" xr3:uid="{AE0F0BDC-78D9-3841-9EE3-3109E6548A6E}" name="Column1065"/>
    <tableColumn id="1084" xr3:uid="{644A7C5E-7771-C04F-80D6-4DC646548608}" name="Column1066"/>
    <tableColumn id="1085" xr3:uid="{04B08E9B-9F1B-8B4D-AADA-3E72BEA0DF17}" name="Column1067"/>
    <tableColumn id="1086" xr3:uid="{4DD7C345-0B1A-6141-8CE2-30C80E699DC1}" name="Column1068"/>
    <tableColumn id="1087" xr3:uid="{5F08AE3F-C62C-124B-B689-AC0D57E87684}" name="Column1069"/>
    <tableColumn id="1088" xr3:uid="{257EEFAB-5E0E-8048-BFAD-03BCEA827579}" name="Column1070"/>
    <tableColumn id="1089" xr3:uid="{BD819CCF-B57A-9348-8F19-4ECDFFB71923}" name="Column1071"/>
    <tableColumn id="1090" xr3:uid="{2E311DFF-E750-5449-8DC2-39D50A526970}" name="Column1072"/>
    <tableColumn id="1091" xr3:uid="{3F51D549-8447-5546-B318-6A15DD922BEC}" name="Column1073"/>
    <tableColumn id="1092" xr3:uid="{DD0DF91F-FBC1-B24B-846C-07F8B529BF35}" name="Column1074"/>
    <tableColumn id="1093" xr3:uid="{7119F1C9-C147-D447-A94C-FD49D18FD1CF}" name="Column1075"/>
    <tableColumn id="1094" xr3:uid="{1CFC474B-48A8-964E-B2C7-399E0DE4A2D9}" name="Column1076"/>
    <tableColumn id="1095" xr3:uid="{07746B1B-26F7-2C48-AC83-9E990FFCE837}" name="Column1077"/>
    <tableColumn id="1096" xr3:uid="{1592DA62-7BE1-7F4B-BA1A-D21D82BB1FAB}" name="Column1078"/>
    <tableColumn id="1097" xr3:uid="{DDDAB5AF-49E3-CF48-941A-5E1717BAD86D}" name="Column1079"/>
    <tableColumn id="1098" xr3:uid="{7C8EEB8D-3B74-914C-9A77-E4F4C9FCD8E7}" name="Column1080"/>
    <tableColumn id="1099" xr3:uid="{C03CD4F4-FB76-A04E-80E4-180D4609562E}" name="Column1081"/>
    <tableColumn id="1100" xr3:uid="{2D97EF0F-ECC2-9A41-87E7-1B4D1110F6F3}" name="Column1082"/>
    <tableColumn id="1101" xr3:uid="{280B6BE2-B64A-3847-9263-42504E515348}" name="Column1083"/>
    <tableColumn id="1102" xr3:uid="{A1031633-CB9B-7447-8489-3EA1C3B5491C}" name="Column1084"/>
    <tableColumn id="1103" xr3:uid="{C2F77A9E-D697-6B47-AC62-650B2591B417}" name="Column1085"/>
    <tableColumn id="1104" xr3:uid="{4936A48B-75F4-EC44-808B-8D8EB3A14848}" name="Column1086"/>
    <tableColumn id="1105" xr3:uid="{7AFD69E8-F52E-D548-9099-4FCDC07EEB6F}" name="Column1087"/>
    <tableColumn id="1106" xr3:uid="{5E265278-AF98-7547-9B05-E4C507C02484}" name="Column1088"/>
    <tableColumn id="1107" xr3:uid="{375949B1-7BBC-7346-8D58-9E1106ACCC4C}" name="Column1089"/>
    <tableColumn id="1108" xr3:uid="{C3A7B7C0-8B5D-ED43-AFBC-8A5678353148}" name="Column1090"/>
    <tableColumn id="1109" xr3:uid="{9438F8A9-C7CD-094E-A586-41F1F47C2BD8}" name="Column1091"/>
    <tableColumn id="1110" xr3:uid="{28A6E52D-9355-304A-8076-C49A6E3F9848}" name="Column1092"/>
    <tableColumn id="1111" xr3:uid="{8410FE8B-AA29-8D44-8E63-CE1CB7E12524}" name="Column1093"/>
    <tableColumn id="1112" xr3:uid="{61DE0846-7669-1D45-9214-ACED91494930}" name="Column1094"/>
    <tableColumn id="1113" xr3:uid="{05E0D9D2-3859-7C4E-9487-3C4E46D173B1}" name="Column1095"/>
    <tableColumn id="1114" xr3:uid="{782668E6-D7B8-A349-BFBD-AE0F892182EC}" name="Column1096"/>
    <tableColumn id="1115" xr3:uid="{5A82F923-9EF0-1447-A8E9-987AD51C43E0}" name="Column1097"/>
    <tableColumn id="1116" xr3:uid="{862828E8-0F81-CC4D-823F-06F72F8D6B71}" name="Column1098"/>
    <tableColumn id="1117" xr3:uid="{EA19E2FE-9C28-5B41-9053-8BE565264D30}" name="Column1099"/>
    <tableColumn id="1118" xr3:uid="{2F3C9A6F-5734-6F43-8FD0-259C3F62A488}" name="Column1100"/>
    <tableColumn id="1119" xr3:uid="{6492D2CE-8BC9-214A-9481-455B934ED1CC}" name="Column1101"/>
    <tableColumn id="1120" xr3:uid="{A66F9146-9389-D34A-89DB-C8332C78BD9C}" name="Column1102"/>
    <tableColumn id="1121" xr3:uid="{3268E067-E7D1-9C41-B1A3-EC7E2744CDA6}" name="Column1103"/>
    <tableColumn id="1122" xr3:uid="{7C3A8AE6-ABFC-E24D-ABEF-C714A9089A35}" name="Column1104"/>
    <tableColumn id="1123" xr3:uid="{D0B8C226-F003-694E-800C-27FC97A57341}" name="Column1105"/>
    <tableColumn id="1124" xr3:uid="{C7D3A45F-E5B6-2141-87F9-B4EDD2E3B57A}" name="Column1106"/>
    <tableColumn id="1125" xr3:uid="{8466860C-3637-0449-AF3B-257614110C6D}" name="Column1107"/>
    <tableColumn id="1126" xr3:uid="{E661C39E-3ECD-D44C-ADD5-352459455B0F}" name="Column1108"/>
    <tableColumn id="1127" xr3:uid="{238CFB7E-D9C0-1541-B81B-900928AF9B8D}" name="Column1109"/>
    <tableColumn id="1128" xr3:uid="{393CC409-3E8E-7E43-AB19-99B380266091}" name="Column1110"/>
    <tableColumn id="1129" xr3:uid="{87E51106-AF40-144E-8FC7-D5AAE67E4B72}" name="Column1111"/>
    <tableColumn id="1130" xr3:uid="{FBD51B81-E436-9749-8459-BE997FB5F25E}" name="Column1112"/>
    <tableColumn id="1131" xr3:uid="{848D5D69-A492-504B-9599-721AB17C8BF8}" name="Column1113"/>
    <tableColumn id="1132" xr3:uid="{0367DC5E-D65A-C746-9772-178CCA64EB38}" name="Column1114"/>
    <tableColumn id="1133" xr3:uid="{3B0CE0E6-31E4-C246-8215-6542F90E5278}" name="Column1115"/>
    <tableColumn id="1134" xr3:uid="{6F27B591-CF3A-F748-98DB-1A12CA321382}" name="Column1116"/>
    <tableColumn id="1135" xr3:uid="{F200592C-D7B9-6D41-AB18-609527F19203}" name="Column1117"/>
    <tableColumn id="1136" xr3:uid="{000EE655-9C14-DA42-892E-FD3D42AB7D2F}" name="Column1118"/>
    <tableColumn id="1137" xr3:uid="{80D5DDBE-126E-E240-9836-17D168450A3E}" name="Column1119"/>
    <tableColumn id="1138" xr3:uid="{F65BF02E-5FEA-5546-B135-DD458702991B}" name="Column1120"/>
    <tableColumn id="1139" xr3:uid="{71C716A1-16A3-494C-93CE-17B2DBCCB6BB}" name="Column1121"/>
    <tableColumn id="1140" xr3:uid="{B49C5F8D-9FC1-6F4D-9E0E-86E292D4573E}" name="Column1122"/>
    <tableColumn id="1141" xr3:uid="{B6120C42-DA8A-E044-9A4C-7A3E866D994F}" name="Column1123"/>
    <tableColumn id="1142" xr3:uid="{FD3F6BE4-0379-5743-A171-D7C501EE0C61}" name="Column1124"/>
    <tableColumn id="1143" xr3:uid="{D29A4B4B-48CF-714F-80D3-67246CEE6711}" name="Column1125"/>
    <tableColumn id="1144" xr3:uid="{1F759B7B-A091-EB48-A37C-4BB732177185}" name="Column1126"/>
    <tableColumn id="1145" xr3:uid="{25B7CD9E-6697-1541-B880-C9E276A6BF06}" name="Column1127"/>
    <tableColumn id="1146" xr3:uid="{21FAE9B9-FD90-7B4C-9FD0-51214A26C703}" name="Column1128"/>
    <tableColumn id="1147" xr3:uid="{307CE341-7717-9543-A1D2-AD28F4793969}" name="Column1129"/>
    <tableColumn id="1148" xr3:uid="{C133A514-1F16-DC45-B916-837F36B5BEBC}" name="Column1130"/>
    <tableColumn id="1149" xr3:uid="{5787D8D0-7029-1E42-9E3D-93E6BA06C200}" name="Column1131"/>
    <tableColumn id="1150" xr3:uid="{FDD44ED5-0E0B-1643-B7CD-FEE3CA2DE5DD}" name="Column1132"/>
    <tableColumn id="1151" xr3:uid="{C2E7E746-8E30-8F47-9A08-3C2A9C3A43C1}" name="Column1133"/>
    <tableColumn id="1152" xr3:uid="{D8DDFBB7-551D-8848-8F2B-E5D8C271AD07}" name="Column1134"/>
    <tableColumn id="1153" xr3:uid="{C84F988F-E218-9A47-A06F-0E202AC3634F}" name="Column1135"/>
    <tableColumn id="1154" xr3:uid="{B6BDBC20-DD12-6840-A0C7-37FF8C09BE70}" name="Column1136"/>
    <tableColumn id="1155" xr3:uid="{E661AE68-CC40-834C-888E-6A5DB66BDAD5}" name="Column1137"/>
    <tableColumn id="1156" xr3:uid="{D30C44BB-7024-4143-89E0-8F338F96A13B}" name="Column1138"/>
    <tableColumn id="1157" xr3:uid="{58C66A14-45EE-6441-8545-D2D9234A9B15}" name="Column1139"/>
    <tableColumn id="1158" xr3:uid="{5CE361BE-D71D-7F42-945E-78A100E33DBE}" name="Column1140"/>
    <tableColumn id="1159" xr3:uid="{9B8E6651-870D-6446-BF8A-19DC8B0DC31F}" name="Column1141"/>
    <tableColumn id="1160" xr3:uid="{2F220643-7BA7-FF43-8EEF-A560E969CEE7}" name="Column1142"/>
    <tableColumn id="1161" xr3:uid="{E4EEA16B-19A5-A048-A731-0C304F8247DA}" name="Column1143"/>
    <tableColumn id="1162" xr3:uid="{F5A24225-5966-6B47-831B-AE66DA0F21F9}" name="Column1144"/>
    <tableColumn id="1163" xr3:uid="{772B0D58-419E-0B45-88F2-4209513813D4}" name="Column1145"/>
    <tableColumn id="1164" xr3:uid="{340B76B7-A6E2-5548-8E43-2EB919A019C5}" name="Column1146"/>
    <tableColumn id="1165" xr3:uid="{E6F12C50-296D-044D-90E2-518DC2740B4C}" name="Column1147"/>
    <tableColumn id="1166" xr3:uid="{E32D37F2-F619-C842-A5BE-7C90C3550454}" name="Column1148"/>
    <tableColumn id="1167" xr3:uid="{B58C5832-0B49-474C-9781-B2C24875941A}" name="Column1149"/>
    <tableColumn id="1168" xr3:uid="{8758A602-7B6F-2C4D-A752-73CB1968D294}" name="Column1150"/>
    <tableColumn id="1169" xr3:uid="{197E5292-3135-AF43-AA64-F4742549AE30}" name="Column1151"/>
    <tableColumn id="1170" xr3:uid="{1434D9D7-584F-F04E-A36C-9C0AE105DB86}" name="Column1152"/>
    <tableColumn id="1171" xr3:uid="{36B8CC80-BD24-0F4D-8EB5-00978D76D4FB}" name="Column1153"/>
    <tableColumn id="1172" xr3:uid="{E31B2E89-12E3-0C4C-A9E0-1A10D4422129}" name="Column1154"/>
    <tableColumn id="1173" xr3:uid="{AB58116E-07A8-2040-8181-6F93522875B9}" name="Column1155"/>
    <tableColumn id="1174" xr3:uid="{2AD5DC9D-1167-3A4E-BC8A-44F29AEB030C}" name="Column1156"/>
    <tableColumn id="1175" xr3:uid="{F2F339EF-9B71-304D-99A5-5F4E67FC984C}" name="Column1157"/>
    <tableColumn id="1176" xr3:uid="{3584CB18-F70A-F84D-B902-66438175E00C}" name="Column1158"/>
    <tableColumn id="1177" xr3:uid="{7470B410-C428-E645-A26A-B17F5E573451}" name="Column1159"/>
    <tableColumn id="1178" xr3:uid="{603EE148-3AF6-3040-8A7F-2FBC99A63C40}" name="Column1160"/>
    <tableColumn id="1179" xr3:uid="{5CC39BB9-ABC4-4F4B-9AEF-BFE227BF011D}" name="Column1161"/>
    <tableColumn id="1180" xr3:uid="{A993DCFE-9839-FC40-95EC-0D6DC2619EBC}" name="Column1162"/>
    <tableColumn id="1181" xr3:uid="{8E28F9C6-910F-F84F-B29A-3EFB154CE8AF}" name="Column1163"/>
    <tableColumn id="1182" xr3:uid="{93D9F177-33A7-8F4F-8F8A-EA5DB9DA5864}" name="Column1164"/>
    <tableColumn id="1183" xr3:uid="{FC7537DD-8030-F648-AAFF-7B67EB6FE613}" name="Column1165"/>
    <tableColumn id="1184" xr3:uid="{A73A3AE8-7A8B-F644-ABA9-CD5B902BF330}" name="Column1166"/>
    <tableColumn id="1185" xr3:uid="{0B162F53-C75D-A24F-9336-68C1E9E164A5}" name="Column1167"/>
    <tableColumn id="1186" xr3:uid="{B152FC9B-4E3A-1344-A285-49B067B60C28}" name="Column1168"/>
    <tableColumn id="1187" xr3:uid="{CDF3FE50-F6CE-B34B-939A-D9AA89716F79}" name="Column1169"/>
    <tableColumn id="1188" xr3:uid="{96AD0FE9-9908-704F-8B1B-A3116CEE742C}" name="Column1170"/>
    <tableColumn id="1189" xr3:uid="{9C3DF268-69A3-8E45-A9E7-F5B5E1410EBC}" name="Column1171"/>
    <tableColumn id="1190" xr3:uid="{A4B42583-C5EC-4644-8CBF-C3CD4C436AEF}" name="Column1172"/>
    <tableColumn id="1191" xr3:uid="{C89E22F5-13FD-FB4E-B4B1-6646F3A066F1}" name="Column1173"/>
    <tableColumn id="1192" xr3:uid="{9E0E2C13-A26B-A84F-AB18-077E1F639DD7}" name="Column1174"/>
    <tableColumn id="1193" xr3:uid="{627E5F3C-20A8-CE4E-986D-39F075E8C4ED}" name="Column1175"/>
    <tableColumn id="1194" xr3:uid="{CE8E3FCE-F297-F144-8DC5-72F2977C0A56}" name="Column1176"/>
    <tableColumn id="1195" xr3:uid="{4C79FA0F-8BE8-8547-8B74-C32267D77599}" name="Column1177"/>
    <tableColumn id="1196" xr3:uid="{322B0BA9-F4E0-E245-949B-DD3325884ADC}" name="Column1178"/>
    <tableColumn id="1197" xr3:uid="{C2AD4940-E0E4-B646-90DE-9DEC880610D1}" name="Column1179"/>
    <tableColumn id="1198" xr3:uid="{810940AB-CDB8-3144-A8C1-2802825AED25}" name="Column1180"/>
    <tableColumn id="1199" xr3:uid="{887EA3D9-74EF-0B49-B025-751E9FEC8583}" name="Column1181"/>
    <tableColumn id="1200" xr3:uid="{23318C0D-F2F6-A94B-A82A-38F14ED39736}" name="Column1182"/>
    <tableColumn id="1201" xr3:uid="{55E564C5-4E30-DD40-80D3-4E41BD89718E}" name="Column1183"/>
    <tableColumn id="1202" xr3:uid="{B0FF4F78-3A2B-5442-A3A4-FD60229106BA}" name="Column1184"/>
    <tableColumn id="1203" xr3:uid="{1436966B-9866-C945-BCE3-4BFFD69972B2}" name="Column1185"/>
    <tableColumn id="1204" xr3:uid="{606CAF13-E27A-4F4F-90D9-C0EB7705D707}" name="Column1186"/>
    <tableColumn id="1205" xr3:uid="{C1CE2011-44A5-5D46-A596-00C15BDD97A6}" name="Column1187"/>
    <tableColumn id="1206" xr3:uid="{0D9F9A81-0E8C-BD49-B76E-6FB3328461CF}" name="Column1188"/>
    <tableColumn id="1207" xr3:uid="{D06C0CD5-9C67-F647-A827-086F011513C9}" name="Column1189"/>
    <tableColumn id="1208" xr3:uid="{16646C5F-BC98-F944-9B02-8FE18180021D}" name="Column1190"/>
    <tableColumn id="1209" xr3:uid="{12F04158-54BC-0748-931C-9686B3233865}" name="Column1191"/>
    <tableColumn id="1210" xr3:uid="{25285C8B-DD52-A541-AC12-F0125D07AE02}" name="Column1192"/>
    <tableColumn id="1211" xr3:uid="{69C3572F-2FF8-AE43-9965-5659060A7372}" name="Column1193"/>
    <tableColumn id="1212" xr3:uid="{46EE156C-6F00-924B-BFC1-D2F19FA2A30F}" name="Column1194"/>
    <tableColumn id="1213" xr3:uid="{9F51E4E8-4DBA-694C-A281-ACE3A5567014}" name="Column1195"/>
    <tableColumn id="1214" xr3:uid="{FBB9D543-0401-B546-9481-440D3C28CF05}" name="Column1196"/>
    <tableColumn id="1215" xr3:uid="{B13B2174-3729-F748-89C7-0D46975A5D35}" name="Column1197"/>
    <tableColumn id="1216" xr3:uid="{B90A78F9-E239-614F-8150-4846314FF7EB}" name="Column1198"/>
    <tableColumn id="1217" xr3:uid="{0BDBA0BE-C924-F648-B1B2-2E1F9E720676}" name="Column1199"/>
    <tableColumn id="1218" xr3:uid="{14A257A0-9CE6-644E-A422-ACCAC6D52FF6}" name="Column1200"/>
    <tableColumn id="1219" xr3:uid="{51844EE6-3254-AC42-9CF8-A396E1B72F7D}" name="Column1201"/>
    <tableColumn id="1220" xr3:uid="{13805257-4232-9D40-B848-9F50FE9DC4D2}" name="Column1202"/>
    <tableColumn id="1221" xr3:uid="{5A36CDF0-409F-F242-B6D9-E40F969919A5}" name="Column1203"/>
    <tableColumn id="1222" xr3:uid="{6AE82D46-8491-A649-B7FE-9A0742B32159}" name="Column1204"/>
    <tableColumn id="1223" xr3:uid="{13635856-5212-0148-852F-BA46DFB654E3}" name="Column1205"/>
    <tableColumn id="1224" xr3:uid="{6FDCAAED-2679-A248-B296-23E6EF79CDE9}" name="Column1206"/>
    <tableColumn id="1225" xr3:uid="{80D8789D-2AD2-5041-A228-08460FC93803}" name="Column1207"/>
    <tableColumn id="1226" xr3:uid="{6D0A94B0-5F53-0743-B777-C6965EBDFCF7}" name="Column1208"/>
    <tableColumn id="1227" xr3:uid="{59E4BB5C-24CB-DD47-B813-553038DCC021}" name="Column1209"/>
    <tableColumn id="1228" xr3:uid="{083E6BB2-BBD4-5B43-BA16-EE0AA5867864}" name="Column1210"/>
    <tableColumn id="1229" xr3:uid="{6C4DBF2D-2435-764B-B4DC-B9BF45C86B98}" name="Column1211"/>
    <tableColumn id="1230" xr3:uid="{BF45D22D-AA45-DE49-8B48-631357E272BB}" name="Column1212"/>
    <tableColumn id="1231" xr3:uid="{7D324663-05C6-7945-A078-0F5BD8B6BB55}" name="Column1213"/>
    <tableColumn id="1232" xr3:uid="{C2140F1B-6C16-BF42-B6D1-3D7561C59DBD}" name="Column1214"/>
    <tableColumn id="1233" xr3:uid="{0093D8F4-CB95-744E-9D97-604B796C8E76}" name="Column1215"/>
    <tableColumn id="1234" xr3:uid="{9A98DBB7-DD86-C44B-A1C2-13FD82451D5E}" name="Column1216"/>
    <tableColumn id="1235" xr3:uid="{10568B70-5BA5-B64A-A470-EB17801B3612}" name="Column1217"/>
    <tableColumn id="1236" xr3:uid="{64B16FD5-C91A-E64B-B4F2-700D1C4D5E84}" name="Column1218"/>
    <tableColumn id="1237" xr3:uid="{1C4AE669-1F5B-FE45-94C4-6E09972ED54A}" name="Column1219"/>
    <tableColumn id="1238" xr3:uid="{D94CABC7-45DA-3E43-ADD3-1CD20728B9A1}" name="Column1220"/>
    <tableColumn id="1239" xr3:uid="{7DF1CF8E-0615-0640-B269-A3B23B5B54C2}" name="Column1221"/>
    <tableColumn id="1240" xr3:uid="{50312BF6-8732-C342-997D-29B339A714A9}" name="Column1222"/>
    <tableColumn id="1241" xr3:uid="{621123C1-8B2B-F142-BB53-CC2167A20D30}" name="Column1223"/>
    <tableColumn id="1242" xr3:uid="{CD558B1C-A483-394C-BE9C-847B0934FF92}" name="Column1224"/>
    <tableColumn id="1243" xr3:uid="{2E83454B-ED95-8D4A-9688-39E59A92F61C}" name="Column1225"/>
    <tableColumn id="1244" xr3:uid="{A4AB6080-67D1-174C-A663-905B17BE6D1E}" name="Column1226"/>
    <tableColumn id="1245" xr3:uid="{A3285933-0FFB-3547-A269-A6B7C0171C9D}" name="Column1227"/>
    <tableColumn id="1246" xr3:uid="{A5C8A188-4647-DA49-8F3E-372CBF82058F}" name="Column1228"/>
    <tableColumn id="1247" xr3:uid="{6B9DDD70-F8CC-A447-B71B-4EB37C1ECBD1}" name="Column1229"/>
    <tableColumn id="1248" xr3:uid="{B43A09DC-11C1-1148-A265-73273333276B}" name="Column1230"/>
    <tableColumn id="1249" xr3:uid="{C23806C1-05D4-2443-B2C6-F614156093A9}" name="Column1231"/>
    <tableColumn id="1250" xr3:uid="{49948ECD-DB47-C64C-9DDE-C7D87378AD7C}" name="Column1232"/>
    <tableColumn id="1251" xr3:uid="{36C6936D-EABE-B543-AB2F-885116F57608}" name="Column1233"/>
    <tableColumn id="1252" xr3:uid="{DAD994F0-E6CF-C848-98ED-0E0B9A9CFBB7}" name="Column1234"/>
    <tableColumn id="1253" xr3:uid="{40C1772E-810E-9545-AD1F-A1E1E41315E6}" name="Column1235"/>
    <tableColumn id="1254" xr3:uid="{2D20BC43-4676-B14F-BAD8-540018B0952F}" name="Column1236"/>
    <tableColumn id="1255" xr3:uid="{B3585884-0317-C74F-B4E9-20ABEB258D70}" name="Column1237"/>
    <tableColumn id="1256" xr3:uid="{E1339FE5-A8D5-FA41-8C16-D33004F48C23}" name="Column1238"/>
    <tableColumn id="1257" xr3:uid="{7F74C546-6E6F-0144-8429-C7E92D3068E1}" name="Column1239"/>
    <tableColumn id="1258" xr3:uid="{478348F4-CF1C-8F47-801F-D2821C259778}" name="Column1240"/>
    <tableColumn id="1259" xr3:uid="{C2E90996-9C34-5A46-9861-C16786403B16}" name="Column1241"/>
    <tableColumn id="1260" xr3:uid="{EF34EF02-2936-E343-970B-5E057A2639F7}" name="Column1242"/>
    <tableColumn id="1261" xr3:uid="{FA138842-3F4A-BB41-ADBD-F83CC691B861}" name="Column1243"/>
    <tableColumn id="1262" xr3:uid="{DDE8BAA6-8594-8347-B6B9-455DA98BE9AF}" name="Column1244"/>
    <tableColumn id="1263" xr3:uid="{5AD5E339-8ECF-E146-84AF-A687E9A53C5D}" name="Column1245"/>
    <tableColumn id="1264" xr3:uid="{720478C1-BDFA-5249-A021-F6B44DD8B264}" name="Column1246"/>
    <tableColumn id="1265" xr3:uid="{7F0159D7-E3EF-554E-99EF-2274E73101B2}" name="Column1247"/>
    <tableColumn id="1266" xr3:uid="{0D50A44E-FAB4-0447-99FE-F4316DD6C0B0}" name="Column1248"/>
    <tableColumn id="1267" xr3:uid="{ED378A90-2390-A54A-B107-A8EE419F0B38}" name="Column1249"/>
    <tableColumn id="1268" xr3:uid="{947857F3-F53B-B84D-81E5-38BFB58BA8F6}" name="Column1250"/>
    <tableColumn id="1269" xr3:uid="{7684FA1F-0D0C-0941-B3DD-AE9F4C4AE497}" name="Column1251"/>
    <tableColumn id="1270" xr3:uid="{F72790ED-F08F-DA45-8B28-AF5D20174220}" name="Column1252"/>
    <tableColumn id="1271" xr3:uid="{D110153D-B4A6-584E-8F6E-FB5D3D4B6CCE}" name="Column1253"/>
    <tableColumn id="1272" xr3:uid="{BDDAE3A3-0737-DD45-9DA4-373042B63081}" name="Column1254"/>
    <tableColumn id="1273" xr3:uid="{150D7FC4-05B3-984E-AB75-DDF0F983F955}" name="Column1255"/>
    <tableColumn id="1274" xr3:uid="{8709A8B5-0F6B-6841-8CB3-207715612ACB}" name="Column1256"/>
    <tableColumn id="1275" xr3:uid="{72FD8406-B1EF-3B42-B87A-6076FB543EE0}" name="Column1257"/>
    <tableColumn id="1276" xr3:uid="{C4F92D6E-9452-1C48-A507-9C23C4198B7A}" name="Column1258"/>
    <tableColumn id="1277" xr3:uid="{E0D29746-248B-C048-8B23-9602EBAADAD6}" name="Column1259"/>
    <tableColumn id="1278" xr3:uid="{95AD8DC6-9B67-6948-8661-0843B3F90C3E}" name="Column1260"/>
    <tableColumn id="1279" xr3:uid="{9267EB0A-0885-8843-92E6-4020E1F92EC7}" name="Column1261"/>
    <tableColumn id="1280" xr3:uid="{E0E8F76B-6F42-DB42-8822-98500C4D2AF0}" name="Column1262"/>
    <tableColumn id="1281" xr3:uid="{6123A317-4B6E-8E4F-AB74-9F72A1C0D547}" name="Column1263"/>
    <tableColumn id="1282" xr3:uid="{334EAB12-4354-4D41-8406-D97D9632C64E}" name="Column1264"/>
    <tableColumn id="1283" xr3:uid="{69283F26-BB2E-694D-B3EC-C79A02F49628}" name="Column1265"/>
    <tableColumn id="1284" xr3:uid="{CE92D93A-F695-BB42-9E1E-0E3590FB739A}" name="Column1266"/>
    <tableColumn id="1285" xr3:uid="{8EDCED78-B2C7-9642-9733-3CD3F4EB0912}" name="Column1267"/>
    <tableColumn id="1286" xr3:uid="{40B7E0A7-72DD-6A41-AD27-09CC3E249ADD}" name="Column1268"/>
    <tableColumn id="1287" xr3:uid="{7A48ECB1-7107-814E-B54A-CBE174A474AB}" name="Column1269"/>
    <tableColumn id="1288" xr3:uid="{AC9124F2-DA16-704B-811F-EB7CF9463129}" name="Column1270"/>
    <tableColumn id="1289" xr3:uid="{C2027346-CC5F-8E4B-AA44-14D7CF64B571}" name="Column1271"/>
    <tableColumn id="1290" xr3:uid="{A991331D-66F8-B045-A954-AD20D4002EAF}" name="Column1272"/>
    <tableColumn id="1291" xr3:uid="{C42FD25F-CEF3-594E-974D-89D885732B51}" name="Column1273"/>
    <tableColumn id="1292" xr3:uid="{FFB67836-B66E-294E-A69D-57C5A80C74F1}" name="Column1274"/>
    <tableColumn id="1293" xr3:uid="{7B29B5DA-2401-CA45-9D94-8B57002A4BA1}" name="Column1275"/>
    <tableColumn id="1294" xr3:uid="{AB245251-728A-B544-B69C-90E3C0804981}" name="Column1276"/>
    <tableColumn id="1295" xr3:uid="{C2317F96-DBE9-7449-BAE6-31BA309EC995}" name="Column1277"/>
    <tableColumn id="1296" xr3:uid="{145FE7DB-8927-714E-851F-248784988E9C}" name="Column1278"/>
    <tableColumn id="1297" xr3:uid="{282BC628-4EC2-BC47-BE62-A440D9221566}" name="Column1279"/>
    <tableColumn id="1298" xr3:uid="{C603183E-C1DB-B949-9F18-94CB0CAFA2B1}" name="Column1280"/>
    <tableColumn id="1299" xr3:uid="{758EC30E-D1F9-974D-8C44-A7B0CB1FCE26}" name="Column1281"/>
    <tableColumn id="1300" xr3:uid="{64B802FF-E661-784D-AD75-996AE80DB9F7}" name="Column1282"/>
    <tableColumn id="1301" xr3:uid="{C072A77E-E74E-7440-BB41-7A02B38B0DEA}" name="Column1283"/>
    <tableColumn id="1302" xr3:uid="{1950DEB4-97D9-F24E-823F-4F8CC7481784}" name="Column1284"/>
    <tableColumn id="1303" xr3:uid="{60477944-74B5-4044-B9B3-5514912EBC25}" name="Column1285"/>
    <tableColumn id="1304" xr3:uid="{68077928-F53A-9C4E-9AB3-292C0418058A}" name="Column1286"/>
    <tableColumn id="1305" xr3:uid="{7D6BF246-7EDA-AA48-A836-2A9B914DF4D2}" name="Column1287"/>
    <tableColumn id="1306" xr3:uid="{B57AFCF7-4745-DE4D-AFD2-1AABE74839EF}" name="Column1288"/>
    <tableColumn id="1307" xr3:uid="{AFC82E89-922A-BD41-8737-366D7533ED4C}" name="Column1289"/>
    <tableColumn id="1308" xr3:uid="{88067D97-078F-A24B-A26A-1A219F203585}" name="Column1290"/>
    <tableColumn id="1309" xr3:uid="{32F3236A-DEB8-C547-BE2D-F2AB0D0B4305}" name="Column1291"/>
    <tableColumn id="1310" xr3:uid="{30BAB893-7DDE-094F-9164-3F296B5A452C}" name="Column1292"/>
    <tableColumn id="1311" xr3:uid="{F0AB1BA6-9A67-AB4D-88C4-2478C4BF60F4}" name="Column1293"/>
    <tableColumn id="1312" xr3:uid="{A9955F94-6D01-DE41-A3F0-75EA4342D41F}" name="Column1294"/>
    <tableColumn id="1313" xr3:uid="{FB8271B7-CFD9-EC4C-8857-6B533ABD0372}" name="Column1295"/>
    <tableColumn id="1314" xr3:uid="{69C85E52-6733-3947-BA7A-8585EFECB5C7}" name="Column1296"/>
    <tableColumn id="1315" xr3:uid="{2923D81A-DC94-C648-B521-FA51E362C241}" name="Column1297"/>
    <tableColumn id="1316" xr3:uid="{7C99FD9E-5C5B-7D42-A3CD-E349F5012AAA}" name="Column1298"/>
    <tableColumn id="1317" xr3:uid="{0B95E1D0-C74F-614D-B775-B352AC3EA416}" name="Column1299"/>
    <tableColumn id="1318" xr3:uid="{C4ADFD3E-5967-F541-A711-D551C714DA48}" name="Column1300"/>
    <tableColumn id="1319" xr3:uid="{8244DB75-B5B4-5F49-B0FA-EAAF479E1EC6}" name="Column1301"/>
    <tableColumn id="1320" xr3:uid="{9B6958D5-6750-A64C-8D28-7D5FC5EFFE24}" name="Column1302"/>
    <tableColumn id="1321" xr3:uid="{92A3446D-CCA0-B647-B938-A78F59C51BCF}" name="Column1303"/>
    <tableColumn id="1322" xr3:uid="{6037F83B-765B-6247-A4E6-D2A76EE513CA}" name="Column1304"/>
    <tableColumn id="1323" xr3:uid="{75F21F65-5C2C-6146-B2F8-181F2D7D1889}" name="Column1305"/>
    <tableColumn id="1324" xr3:uid="{A7993E2A-D4EC-4D4E-BA16-04739E3B18E2}" name="Column1306"/>
    <tableColumn id="1325" xr3:uid="{3234967A-0053-384E-9A16-47F000717FB8}" name="Column1307"/>
    <tableColumn id="1326" xr3:uid="{FC17C1B9-3F77-8548-8FC6-122ADF8CF923}" name="Column1308"/>
    <tableColumn id="1327" xr3:uid="{D5FFC603-A1BD-E245-926C-DDE63F43DD7B}" name="Column1309"/>
    <tableColumn id="1328" xr3:uid="{8A22268E-A55A-064A-95F0-DF2D870C2661}" name="Column1310"/>
    <tableColumn id="1329" xr3:uid="{4A54C593-8934-F04A-A6E1-880E1C022A1A}" name="Column1311"/>
    <tableColumn id="1330" xr3:uid="{E70FE9EB-DE27-BD4A-8FA9-2624DD085BA2}" name="Column1312"/>
    <tableColumn id="1331" xr3:uid="{B1164DAE-D9A6-0F40-904B-17907295B549}" name="Column1313"/>
    <tableColumn id="1332" xr3:uid="{4E09A2F2-3AF2-E842-9E90-4EEA9BC0B726}" name="Column1314"/>
    <tableColumn id="1333" xr3:uid="{A019CB58-1F4B-E141-AC82-EF918E7E5757}" name="Column1315"/>
    <tableColumn id="1334" xr3:uid="{D61D1EA7-C00F-A04F-83E3-A42367B6EC0A}" name="Column1316"/>
    <tableColumn id="1335" xr3:uid="{780F6966-5AFF-3A4A-93AD-1273615B0538}" name="Column1317"/>
    <tableColumn id="1336" xr3:uid="{65CCDB5F-93C4-F248-8828-5FE7EF573FBC}" name="Column1318"/>
    <tableColumn id="1337" xr3:uid="{D1D6FAA9-9E10-AE43-8CDE-C84A7AC16DCD}" name="Column1319"/>
    <tableColumn id="1338" xr3:uid="{2A34F78D-35D5-4F4F-8353-50D79C71B00A}" name="Column1320"/>
    <tableColumn id="1339" xr3:uid="{4E0430F1-56A1-A94D-A0D8-1957FABE6189}" name="Column1321"/>
    <tableColumn id="1340" xr3:uid="{2989EA71-1B18-7249-BBF8-70AFC72174AC}" name="Column1322"/>
    <tableColumn id="1341" xr3:uid="{1CB123A7-0979-2C4F-A3AD-35DF64BDE72D}" name="Column1323"/>
    <tableColumn id="1342" xr3:uid="{CE9739D0-C439-4846-9753-103096B22324}" name="Column1324"/>
    <tableColumn id="1343" xr3:uid="{231709F8-BA53-824D-8A55-CB72B8978FAD}" name="Column1325"/>
    <tableColumn id="1344" xr3:uid="{AF460DDE-938B-1746-B8E8-27DDB96A5459}" name="Column1326"/>
    <tableColumn id="1345" xr3:uid="{4F32D323-EB71-A746-B012-D9552DE6F67D}" name="Column1327"/>
    <tableColumn id="1346" xr3:uid="{68064D9C-59BB-B344-9A22-A30899ADF575}" name="Column1328"/>
    <tableColumn id="1347" xr3:uid="{8428F464-E26C-1546-863D-C8068FCBA7C0}" name="Column1329"/>
    <tableColumn id="1348" xr3:uid="{9F783830-E896-3F46-A838-80C68D236ED9}" name="Column1330"/>
    <tableColumn id="1349" xr3:uid="{294F0C43-EA5D-2C43-8D12-FCC677C71E3A}" name="Column1331"/>
    <tableColumn id="1350" xr3:uid="{9AD794CC-EE71-074C-9BE8-99029AAA206A}" name="Column1332"/>
    <tableColumn id="1351" xr3:uid="{C14EBCD9-128D-1742-AA1F-2C5A80870B0D}" name="Column1333"/>
    <tableColumn id="1352" xr3:uid="{4E04D1B4-FDAA-9441-99D8-4E57BC8ED132}" name="Column1334"/>
    <tableColumn id="1353" xr3:uid="{5A866C82-2ABD-E348-80FE-2048F96550AE}" name="Column1335"/>
    <tableColumn id="1354" xr3:uid="{DEFD91BD-EAE9-DA43-83F6-E5E4A0DC7E67}" name="Column1336"/>
    <tableColumn id="1355" xr3:uid="{F9D4126E-6237-8042-933A-6B4A766B5386}" name="Column1337"/>
    <tableColumn id="1356" xr3:uid="{DC2A1705-4306-BD42-AFA0-C37F3628F625}" name="Column1338"/>
    <tableColumn id="1357" xr3:uid="{69EF47E4-9F54-E540-A852-8D662DB21B7A}" name="Column1339"/>
    <tableColumn id="1358" xr3:uid="{C42DA049-9438-DE41-9290-824012C8901E}" name="Column1340"/>
    <tableColumn id="1359" xr3:uid="{BB9D72DF-A9A5-9842-BC26-58767583208B}" name="Column1341"/>
    <tableColumn id="1360" xr3:uid="{0708ECD0-3A4E-0E41-8C37-8BAC6F17A9EF}" name="Column1342"/>
    <tableColumn id="1361" xr3:uid="{B5AB30D2-5083-B94B-8481-C047289511E8}" name="Column1343"/>
    <tableColumn id="1362" xr3:uid="{9B78B429-5F27-2C4E-9BCF-43226348E4DD}" name="Column1344"/>
    <tableColumn id="1363" xr3:uid="{540481B1-BB0A-A447-A565-ADF68FF03FD0}" name="Column1345"/>
    <tableColumn id="1364" xr3:uid="{5C75F071-0CC1-FF4B-8F33-66C1B3036C3B}" name="Column1346"/>
    <tableColumn id="1365" xr3:uid="{68802F14-BCA7-854E-A2B4-079805BE6307}" name="Column1347"/>
    <tableColumn id="1366" xr3:uid="{E65DE8E6-D355-DD4B-9A2E-9F2C80C1A5BE}" name="Column1348"/>
    <tableColumn id="1367" xr3:uid="{1965AF32-46CB-3C4E-9D50-757C38AA79AD}" name="Column1349"/>
    <tableColumn id="1368" xr3:uid="{60DBE4D0-7605-DB41-9F1C-DF7ECA4F2AD2}" name="Column1350"/>
    <tableColumn id="1369" xr3:uid="{1E432CB2-0BBB-BB46-A6EB-EC91C020E583}" name="Column1351"/>
    <tableColumn id="1370" xr3:uid="{3BA65F73-9277-144F-91AB-619E3AC443A7}" name="Column1352"/>
    <tableColumn id="1371" xr3:uid="{D491AD91-CC92-9946-B314-052BB6AD400D}" name="Column1353"/>
    <tableColumn id="1372" xr3:uid="{9DC0139E-B837-7246-872F-2D9948D45B14}" name="Column1354"/>
    <tableColumn id="1373" xr3:uid="{E93F9BBF-0190-424C-85CD-44848FA8F686}" name="Column1355"/>
    <tableColumn id="1374" xr3:uid="{EFA302FC-FFC7-DE48-9D32-F284002DD0FD}" name="Column1356"/>
    <tableColumn id="1375" xr3:uid="{89A2A010-A97B-6B49-BB5B-F3C8E60AF987}" name="Column1357"/>
    <tableColumn id="1376" xr3:uid="{5629640E-A0C3-DF42-9CC0-2CF847820308}" name="Column1358"/>
    <tableColumn id="1377" xr3:uid="{3A6EF784-7732-5E4B-B472-790D17F149F7}" name="Column1359"/>
    <tableColumn id="1378" xr3:uid="{5A1FD860-FB2A-3145-A9B2-169CDBF896FC}" name="Column1360"/>
    <tableColumn id="1379" xr3:uid="{E23BE2CC-E17F-B74D-BEC7-1B6829B0E28E}" name="Column1361"/>
    <tableColumn id="1380" xr3:uid="{EA223036-9448-DF43-95F0-83DA223C9CB7}" name="Column1362"/>
    <tableColumn id="1381" xr3:uid="{515DDA52-F4A1-5743-9374-3F59552EF5F1}" name="Column1363"/>
    <tableColumn id="1382" xr3:uid="{807057BE-EC41-D140-811B-D8655F94BD8E}" name="Column1364"/>
    <tableColumn id="1383" xr3:uid="{9036D596-5B03-5141-A1CD-613FAC023234}" name="Column1365"/>
    <tableColumn id="1384" xr3:uid="{BF088ED3-95F5-064B-8D08-A60E830567C2}" name="Column1366"/>
    <tableColumn id="1385" xr3:uid="{AFE198F6-F81D-2C49-BEDC-2850BC1340A8}" name="Column1367"/>
    <tableColumn id="1386" xr3:uid="{A43FC42B-8F35-8B47-9A7D-FE8FCA170CB1}" name="Column1368"/>
    <tableColumn id="1387" xr3:uid="{A4688E1A-C3E6-1D4F-B0D0-3ACA43C44FEF}" name="Column1369"/>
    <tableColumn id="1388" xr3:uid="{E9D845C3-EA43-3540-9C34-B541C9589E50}" name="Column1370"/>
    <tableColumn id="1389" xr3:uid="{DC58595A-E7C8-154A-9DDA-505DE6E83353}" name="Column1371"/>
    <tableColumn id="1390" xr3:uid="{77FBF1B6-EA66-2345-BB0C-BF594608AA6A}" name="Column1372"/>
    <tableColumn id="1391" xr3:uid="{3B8D90F5-34BA-C845-99FC-8AA3CE1D86B5}" name="Column1373"/>
    <tableColumn id="1392" xr3:uid="{55B9508C-3EB4-8147-90D7-BB24B58A2647}" name="Column1374"/>
    <tableColumn id="1393" xr3:uid="{B2505206-A798-244B-8C78-9DCCAC893BE3}" name="Column1375"/>
    <tableColumn id="1394" xr3:uid="{C18FB6CD-0363-4541-BD7B-27903B158423}" name="Column1376"/>
    <tableColumn id="1395" xr3:uid="{8A4E8C76-8B61-F348-8A0C-D4FD701CDC37}" name="Column1377"/>
    <tableColumn id="1396" xr3:uid="{9ED91367-4AF1-7E42-B009-3CD0EEF5661C}" name="Column1378"/>
    <tableColumn id="1397" xr3:uid="{3A870173-FE23-D94A-BD6F-861F2A69B6DD}" name="Column1379"/>
    <tableColumn id="1398" xr3:uid="{9E199806-1B5D-914E-BEE0-70E5149A2878}" name="Column1380"/>
    <tableColumn id="1399" xr3:uid="{EC3F8D25-313C-2946-A360-D0150BF33A72}" name="Column1381"/>
    <tableColumn id="1400" xr3:uid="{15BCBE50-7C4A-9C4B-AB43-14A5B8A03BF7}" name="Column1382"/>
    <tableColumn id="1401" xr3:uid="{B21E08F1-2AB5-A742-85BE-F3C88C69814F}" name="Column1383"/>
    <tableColumn id="1402" xr3:uid="{7B8B6ED1-7A77-3B48-B78F-9E4DCE2C5427}" name="Column1384"/>
    <tableColumn id="1403" xr3:uid="{86244871-33A2-6049-A816-EE9EF6581AEA}" name="Column1385"/>
    <tableColumn id="1404" xr3:uid="{1A5891B5-22CE-A74A-80CB-E1426DFAD123}" name="Column1386"/>
    <tableColumn id="1405" xr3:uid="{6725E390-91FE-8D49-A4D0-2B083D9B255E}" name="Column1387"/>
    <tableColumn id="1406" xr3:uid="{FF8B3516-E749-E144-9E72-C05E9AB2EFC7}" name="Column1388"/>
    <tableColumn id="1407" xr3:uid="{05B13D21-E0A7-454A-9D20-6956DA75313B}" name="Column1389"/>
    <tableColumn id="1408" xr3:uid="{59CEDEF5-475F-314B-9B29-811E9D0A9734}" name="Column1390"/>
    <tableColumn id="1409" xr3:uid="{BBEA48D2-4132-7141-A0A1-113855DA1BDC}" name="Column1391"/>
    <tableColumn id="1410" xr3:uid="{33BE89B9-6369-DA4D-ACFC-A41FBD5FB74F}" name="Column1392"/>
    <tableColumn id="1411" xr3:uid="{26A097C0-C40A-6946-8A97-A25E87005266}" name="Column1393"/>
    <tableColumn id="1412" xr3:uid="{25EF8320-1432-2D48-8652-E415FF51BFAF}" name="Column1394"/>
    <tableColumn id="1413" xr3:uid="{CB423974-145B-7F4F-8218-3E99B4C60D97}" name="Column1395"/>
    <tableColumn id="1414" xr3:uid="{3FDB1CC0-B02B-0C46-B59F-EBC8C54AFBEE}" name="Column1396"/>
    <tableColumn id="1415" xr3:uid="{46E974F1-77EE-1048-88FC-08422123A112}" name="Column1397"/>
    <tableColumn id="1416" xr3:uid="{6764ACA7-1DBE-2943-8B39-0C5A65D9B227}" name="Column1398"/>
    <tableColumn id="1417" xr3:uid="{9D0E3C0F-28BC-D148-AC7D-F97413506B38}" name="Column1399"/>
    <tableColumn id="1418" xr3:uid="{0CC53F15-DCCA-D04E-A7AF-B583DD082E7A}" name="Column1400"/>
    <tableColumn id="1419" xr3:uid="{E3691088-805C-A84E-ADC0-1C109403D738}" name="Column1401"/>
    <tableColumn id="1420" xr3:uid="{20426A96-8226-4140-9419-3E69D4FD02A7}" name="Column1402"/>
    <tableColumn id="1421" xr3:uid="{C92C6906-BC32-AF44-9EB9-72C1D78EA95E}" name="Column1403"/>
    <tableColumn id="1422" xr3:uid="{945CE8BB-5960-954E-A421-131539F435C3}" name="Column1404"/>
    <tableColumn id="1423" xr3:uid="{0915CAC4-5481-C041-8530-B61BF5577AA3}" name="Column1405"/>
    <tableColumn id="1424" xr3:uid="{55FAD80D-76D6-1848-8CA7-E2BC5214BF2A}" name="Column1406"/>
    <tableColumn id="1425" xr3:uid="{F6D9BEDF-1879-C54A-9CAA-7F3F1DB6329C}" name="Column1407"/>
    <tableColumn id="1426" xr3:uid="{36F12023-35A7-0042-9A15-1BF0B8D37E57}" name="Column1408"/>
    <tableColumn id="1427" xr3:uid="{55C01CA2-8DC4-134B-8823-9AAE9DD2C4C2}" name="Column1409"/>
    <tableColumn id="1428" xr3:uid="{70C37335-7D06-A24D-A2A1-AF7D12E79622}" name="Column1410"/>
    <tableColumn id="1429" xr3:uid="{24E5FB6B-4B09-474F-BCB6-85255BD581C6}" name="Column1411"/>
    <tableColumn id="1430" xr3:uid="{8E1AA414-CB7A-AA4F-8DCD-184039686372}" name="Column1412"/>
    <tableColumn id="1431" xr3:uid="{CCDC5B5C-B303-B841-ABC9-10A877C69251}" name="Column1413"/>
    <tableColumn id="1432" xr3:uid="{523D2FAF-82C8-B440-8B11-D77DE8D5FFAE}" name="Column1414"/>
    <tableColumn id="1433" xr3:uid="{D6EB88B3-192B-AC40-8A88-5D708D1B0524}" name="Column1415"/>
    <tableColumn id="1434" xr3:uid="{61AD8E53-82CA-094E-8B70-8FBB00BB1017}" name="Column1416"/>
    <tableColumn id="1435" xr3:uid="{4C5035F3-FD90-364D-B8AD-F2F9D98E5458}" name="Column1417"/>
    <tableColumn id="1436" xr3:uid="{43EF7A7D-DB4A-7E4E-8E4A-DF45BC8174CC}" name="Column1418"/>
    <tableColumn id="1437" xr3:uid="{18AA7039-94D6-6346-9113-61AF46515461}" name="Column1419"/>
    <tableColumn id="1438" xr3:uid="{0BFE61D7-D2D1-894F-B3CA-1D03EA1FE11B}" name="Column1420"/>
    <tableColumn id="1439" xr3:uid="{D7A67124-F283-E24F-813A-64353160FE85}" name="Column1421"/>
    <tableColumn id="1440" xr3:uid="{A34C08E0-0E98-5747-BB32-DE91C39B1AE1}" name="Column1422"/>
    <tableColumn id="1441" xr3:uid="{14D41A50-15B0-6B44-99F8-16737EF17498}" name="Column1423"/>
    <tableColumn id="1442" xr3:uid="{6B117F7B-8C33-E94B-9E7A-5DE52BBC7736}" name="Column1424"/>
    <tableColumn id="1443" xr3:uid="{37F9A0B1-2CC8-CA4F-BAA9-94336B276700}" name="Column1425"/>
    <tableColumn id="1444" xr3:uid="{49501E76-371A-2146-86FC-9458DE828302}" name="Column1426"/>
    <tableColumn id="1445" xr3:uid="{0501E095-D692-6943-821E-14327AF93FCA}" name="Column1427"/>
    <tableColumn id="1446" xr3:uid="{2DB6F22F-422B-E44F-9959-072F60334F7D}" name="Column1428"/>
    <tableColumn id="1447" xr3:uid="{088DE456-989C-EC40-8993-ADE4E1CC2615}" name="Column1429"/>
    <tableColumn id="1448" xr3:uid="{CC115E80-2337-8A4D-9427-4CA3D9A9F02C}" name="Column1430"/>
    <tableColumn id="1449" xr3:uid="{EF648F94-4916-0D4A-A641-F20445935E96}" name="Column1431"/>
    <tableColumn id="1450" xr3:uid="{C0D42219-3582-3F41-A9C4-44D7AF678D71}" name="Column1432"/>
    <tableColumn id="1451" xr3:uid="{5006CF7E-AA59-4F49-8953-F0F52F759DD6}" name="Column1433"/>
    <tableColumn id="1452" xr3:uid="{4F8088B1-AA22-694D-A4EB-B09A6A3CB4E0}" name="Column1434"/>
    <tableColumn id="1453" xr3:uid="{94105AE9-276F-D340-B332-8EF6D1D8AB6E}" name="Column1435"/>
    <tableColumn id="1454" xr3:uid="{31BF0B6C-F53B-7B4C-A4D2-FCED6B7AE207}" name="Column1436"/>
    <tableColumn id="1455" xr3:uid="{2647F7F9-76C4-5F46-97E9-0AD8BDDB577B}" name="Column1437"/>
    <tableColumn id="1456" xr3:uid="{F8486D54-F6D3-394F-9964-E181B109A5F5}" name="Column1438"/>
    <tableColumn id="1457" xr3:uid="{1A24BFB0-9F2F-694C-9E2F-5CA071FB4866}" name="Column1439"/>
    <tableColumn id="1458" xr3:uid="{8E899F01-8BE8-A947-8F85-34205FB173A7}" name="Column1440"/>
    <tableColumn id="1459" xr3:uid="{7BF3D375-6909-6E46-B020-28A2C47C5DCE}" name="Column1441"/>
    <tableColumn id="1460" xr3:uid="{E9DCBE31-C49E-F248-8E40-9E51B755B163}" name="Column1442"/>
    <tableColumn id="1461" xr3:uid="{38A16A26-F8A7-D64E-9713-A14A929F543F}" name="Column1443"/>
    <tableColumn id="1462" xr3:uid="{0B88E444-1985-0342-B1D3-99C00AE51BEC}" name="Column1444"/>
    <tableColumn id="1463" xr3:uid="{925CBEA4-4935-B843-82FE-651DAB1E3BA7}" name="Column1445"/>
    <tableColumn id="1464" xr3:uid="{39A1FDA4-716A-E944-A715-772F33D2D03F}" name="Column1446"/>
    <tableColumn id="1465" xr3:uid="{F1AEB888-42DF-EE4E-B9A6-A33E27D6BAD9}" name="Column1447"/>
    <tableColumn id="1466" xr3:uid="{C4A4A97C-483F-B340-A525-A9CD260F8A12}" name="Column1448"/>
    <tableColumn id="1467" xr3:uid="{58C30909-E590-CF45-A775-5C3856446D3A}" name="Column1449"/>
    <tableColumn id="1468" xr3:uid="{9D84C177-28A5-3C4B-9549-D40626B07BC5}" name="Column1450"/>
    <tableColumn id="1469" xr3:uid="{C3BC03D5-FAA4-A847-B3DD-6611A52C8F7D}" name="Column1451"/>
    <tableColumn id="1470" xr3:uid="{D5F76DC0-09B3-0E48-8CCD-2B014931E05A}" name="Column1452"/>
    <tableColumn id="1471" xr3:uid="{D4966336-0B03-0B41-AEC2-05D1721FB278}" name="Column1453"/>
    <tableColumn id="1472" xr3:uid="{84410173-FF0F-154F-8075-180E3714301F}" name="Column1454"/>
    <tableColumn id="1473" xr3:uid="{EFE011B7-30F2-CE49-AE33-369F2216C72C}" name="Column1455"/>
    <tableColumn id="1474" xr3:uid="{2C0109D6-19A5-384C-856E-ECE0DE691987}" name="Column1456"/>
    <tableColumn id="1475" xr3:uid="{CC1D689F-93BD-4348-BA4B-6028E20EFD7C}" name="Column1457"/>
    <tableColumn id="1476" xr3:uid="{D0359B7F-E629-8F45-9077-35F7E2B3743F}" name="Column1458"/>
    <tableColumn id="1477" xr3:uid="{7850E374-482A-EA47-A2B9-6EDABC9C2717}" name="Column1459"/>
    <tableColumn id="1478" xr3:uid="{CE526914-7DD2-D049-9976-377E9AA0D0CF}" name="Column1460"/>
    <tableColumn id="1479" xr3:uid="{B9B5E8E0-1FEA-664F-876E-7E2D0D9074E2}" name="Column1461"/>
    <tableColumn id="1480" xr3:uid="{46D901F7-2659-A946-8FB7-B4A3C2F36E06}" name="Column1462"/>
    <tableColumn id="1481" xr3:uid="{05C8B6EE-928D-F244-98FB-2188C177C6F5}" name="Column1463"/>
    <tableColumn id="1482" xr3:uid="{37B8AAC3-FB52-3945-9F63-F747F218363E}" name="Column1464"/>
    <tableColumn id="1483" xr3:uid="{947887AE-2FB4-4644-8542-A3B273D5C04B}" name="Column1465"/>
    <tableColumn id="1484" xr3:uid="{BDFAB641-2FE3-0746-972C-79E162518868}" name="Column1466"/>
    <tableColumn id="1485" xr3:uid="{5E07E7CE-F6DA-BF4C-BB51-CFF3E06088A2}" name="Column1467"/>
    <tableColumn id="1486" xr3:uid="{24FBA2A6-D66D-9644-9885-D772DF716BA4}" name="Column1468"/>
    <tableColumn id="1487" xr3:uid="{4DAEDE77-2FA7-B245-9E74-58338FA8EA01}" name="Column1469"/>
    <tableColumn id="1488" xr3:uid="{F5E8A010-78EB-8F4F-B8BD-D5DF14F3DCD7}" name="Column1470"/>
    <tableColumn id="1489" xr3:uid="{98309C4F-15E2-814C-BB5A-38B8F5B72949}" name="Column1471"/>
    <tableColumn id="1490" xr3:uid="{5346EE4B-3707-864F-A786-F39DF41B5F84}" name="Column1472"/>
    <tableColumn id="1491" xr3:uid="{C477D09D-4BE9-5E4E-B0C6-0DF0A3E6FAAB}" name="Column1473"/>
    <tableColumn id="1492" xr3:uid="{642F11CC-E051-1144-AD16-CC976B1786B9}" name="Column1474"/>
    <tableColumn id="1493" xr3:uid="{0AE0686A-3753-AE43-95B7-88B7FDDFC9AE}" name="Column1475"/>
    <tableColumn id="1494" xr3:uid="{A737B8F0-DCAE-1B45-82ED-180D46A7A257}" name="Column1476"/>
    <tableColumn id="1495" xr3:uid="{CB14F126-04B2-844D-A6A8-B820BA9875B2}" name="Column1477"/>
    <tableColumn id="1496" xr3:uid="{07687324-4875-9D40-8E7D-AABD44F5FCD1}" name="Column1478"/>
    <tableColumn id="1497" xr3:uid="{6CAEC025-1E7D-4343-86A4-50DBF75D7282}" name="Column1479"/>
    <tableColumn id="1498" xr3:uid="{102C98AA-C38D-0841-B6FC-B5558C4C7481}" name="Column1480"/>
    <tableColumn id="1499" xr3:uid="{2C446FD3-7EB1-DC49-A445-5AC5A9893474}" name="Column1481"/>
    <tableColumn id="1500" xr3:uid="{0F7F13FD-24F2-B04E-B1A1-6E1E85B8B1A6}" name="Column1482"/>
    <tableColumn id="1501" xr3:uid="{1EF41E3D-531F-B147-BC43-F785B46CC12A}" name="Column1483"/>
    <tableColumn id="1502" xr3:uid="{20BF9BF1-0332-9E4D-877A-454275C19190}" name="Column1484"/>
    <tableColumn id="1503" xr3:uid="{F48D4C41-3349-DB40-BD6A-E393E27EECC6}" name="Column1485"/>
    <tableColumn id="1504" xr3:uid="{5A28D590-78BD-1349-B623-ED7A7891E099}" name="Column1486"/>
    <tableColumn id="1505" xr3:uid="{C7C9D77B-2AD1-E149-85A5-8ABAC3E455A2}" name="Column1487"/>
    <tableColumn id="1506" xr3:uid="{68450AA2-29AE-374B-BA4C-681442A46BD2}" name="Column1488"/>
    <tableColumn id="1507" xr3:uid="{6231074A-7E1E-CD40-985F-A53ABF037DA8}" name="Column1489"/>
    <tableColumn id="1508" xr3:uid="{9CDFF390-4A51-194C-A208-CDECB00D9888}" name="Column1490"/>
    <tableColumn id="1509" xr3:uid="{35166814-D838-514D-B65F-A337CC37C78B}" name="Column1491"/>
    <tableColumn id="1510" xr3:uid="{FA40AC61-27F2-9F4B-AF29-0DBD2335E50D}" name="Column1492"/>
    <tableColumn id="1511" xr3:uid="{4BDD9A36-D882-3941-81D7-8402C657A7AB}" name="Column1493"/>
    <tableColumn id="1512" xr3:uid="{23651D46-A37B-0A43-9B7A-02C7C2587E43}" name="Column1494"/>
    <tableColumn id="1513" xr3:uid="{DA25E8F7-A920-AD49-8604-3761745F63E6}" name="Column1495"/>
    <tableColumn id="1514" xr3:uid="{753E8BEC-855C-CD40-A84F-A3E95369948D}" name="Column1496"/>
    <tableColumn id="1515" xr3:uid="{7D9B07F1-6F13-1B42-B287-D1ADDCEAABBF}" name="Column1497"/>
    <tableColumn id="1516" xr3:uid="{01B05A5F-5697-304F-9642-4633AD82AE60}" name="Column1498"/>
    <tableColumn id="1517" xr3:uid="{7CDA082D-0B13-4145-8299-650440D4F876}" name="Column1499"/>
    <tableColumn id="1518" xr3:uid="{A90D5860-DEBA-9E46-9544-B5CD019B9AA8}" name="Column1500"/>
    <tableColumn id="1519" xr3:uid="{DBDC2165-A4F7-B44F-AF92-A3F80E69CEDF}" name="Column1501"/>
    <tableColumn id="1520" xr3:uid="{9224B3E0-6D2F-8340-9C9A-465DBA0B3E1F}" name="Column1502"/>
    <tableColumn id="1521" xr3:uid="{DA1DFC13-90AE-4D45-A9D0-DFE7C9897C8F}" name="Column1503"/>
    <tableColumn id="1522" xr3:uid="{94060BC0-99E4-0846-ABFF-1C230112F89D}" name="Column1504"/>
    <tableColumn id="1523" xr3:uid="{CBDF3920-87F9-3E44-AB6A-7737EBE14F02}" name="Column1505"/>
    <tableColumn id="1524" xr3:uid="{0A8AFDC7-5E4F-324B-9D1F-DB4FC1304344}" name="Column1506"/>
    <tableColumn id="1525" xr3:uid="{6F56D697-BEC9-1646-B006-A09DEF6ED88B}" name="Column1507"/>
    <tableColumn id="1526" xr3:uid="{99D699FF-5C9F-4A41-91AA-FA6381649192}" name="Column1508"/>
    <tableColumn id="1527" xr3:uid="{C53EA2B6-1FED-AC43-8B9C-6BDACDB4A804}" name="Column1509"/>
    <tableColumn id="1528" xr3:uid="{11762786-1BCC-DD46-B020-EE81F2B9E001}" name="Column1510"/>
    <tableColumn id="1529" xr3:uid="{A188C3B2-EEC5-3A42-BAAC-22A1F7FD72B1}" name="Column1511"/>
    <tableColumn id="1530" xr3:uid="{1FC77F8F-E7B5-2C4C-A625-01F894E2C60B}" name="Column1512"/>
    <tableColumn id="1531" xr3:uid="{FC811509-592A-1544-ABF5-4963E839CF4D}" name="Column1513"/>
    <tableColumn id="1532" xr3:uid="{F0C4D362-3E55-974D-BB9D-C0C198F6BC0E}" name="Column1514"/>
    <tableColumn id="1533" xr3:uid="{7E0014BA-A0FC-974B-A2B1-A38DFA6F5A3F}" name="Column1515"/>
    <tableColumn id="1534" xr3:uid="{B855FB58-7B8A-4443-B068-310F7F73373D}" name="Column1516"/>
    <tableColumn id="1535" xr3:uid="{FB0DB2D1-C880-2F41-BB3C-4BBFE895CA39}" name="Column1517"/>
    <tableColumn id="1536" xr3:uid="{3313EF53-1FD3-C040-88C0-01AE5E41554A}" name="Column1518"/>
    <tableColumn id="1537" xr3:uid="{634C8EF4-DA4F-424B-8CA4-B4C157110E12}" name="Column1519"/>
    <tableColumn id="1538" xr3:uid="{07C7F08B-626E-644B-B737-52F7997F403F}" name="Column1520"/>
    <tableColumn id="1539" xr3:uid="{1E9CA31B-593D-4B47-8EB9-23A4AC11BAB1}" name="Column1521"/>
    <tableColumn id="1540" xr3:uid="{A8E11946-9837-CF48-ADD7-C0C9444A8BD0}" name="Column1522"/>
    <tableColumn id="1541" xr3:uid="{0930A180-60E4-714E-8BD0-6446D919C88D}" name="Column1523"/>
    <tableColumn id="1542" xr3:uid="{0CB6CDF0-7923-B44F-941E-C48E0D17B0F8}" name="Column1524"/>
    <tableColumn id="1543" xr3:uid="{C41D9DB6-C247-A447-A505-4CB577B665F9}" name="Column1525"/>
    <tableColumn id="1544" xr3:uid="{E365DA86-8691-BD4E-9E5F-8B855DE5EDF6}" name="Column1526"/>
    <tableColumn id="1545" xr3:uid="{D7872377-8C5F-D245-A595-CED4953AAC48}" name="Column1527"/>
    <tableColumn id="1546" xr3:uid="{55E0DC1F-AEE7-1B4A-8B31-E13BC3F69868}" name="Column1528"/>
    <tableColumn id="1547" xr3:uid="{F9CCB1C8-A6F8-2643-AD16-7C241C17BFD4}" name="Column1529"/>
    <tableColumn id="1548" xr3:uid="{622E2D8E-DA86-D54B-8427-3F95AF55B3AD}" name="Column1530"/>
    <tableColumn id="1549" xr3:uid="{562040D3-FA7E-C949-B76F-7E482A014675}" name="Column1531"/>
    <tableColumn id="1550" xr3:uid="{80C1CD97-8A5C-EE4C-9E5F-B60B8CC1E146}" name="Column1532"/>
    <tableColumn id="1551" xr3:uid="{7CF524D9-42C2-3044-AEC5-D2D3064352FF}" name="Column1533"/>
    <tableColumn id="1552" xr3:uid="{496230D9-ED0C-4C4E-B8A4-CCC8101CD7B2}" name="Column1534"/>
    <tableColumn id="1553" xr3:uid="{F1A005B7-00CA-E04B-93B7-12E158E79B05}" name="Column1535"/>
    <tableColumn id="1554" xr3:uid="{20FE556B-C32E-FB4F-83FC-243FE6944CFF}" name="Column1536"/>
    <tableColumn id="1555" xr3:uid="{13F50DDA-B614-9E46-93A9-6E06B135A0C6}" name="Column1537"/>
    <tableColumn id="1556" xr3:uid="{55B63504-CF21-1244-AF7E-EBE251B4CA00}" name="Column1538"/>
    <tableColumn id="1557" xr3:uid="{DBD9E47E-C4E7-F144-93B1-942B66B76811}" name="Column1539"/>
    <tableColumn id="1558" xr3:uid="{4F9C3FB0-3F23-B649-B72F-1CD85CDD4450}" name="Column1540"/>
    <tableColumn id="1559" xr3:uid="{7ED4EF2B-4C62-8F48-A02F-971A431CC1B2}" name="Column1541"/>
    <tableColumn id="1560" xr3:uid="{DE68E0CF-8BDD-8D43-9EC9-CC707EA27E7D}" name="Column1542"/>
    <tableColumn id="1561" xr3:uid="{44785D97-3FF5-E740-A80F-985ADB6837B3}" name="Column1543"/>
    <tableColumn id="1562" xr3:uid="{C511256D-FBEA-194D-88E1-E5EDD2F25BF2}" name="Column1544"/>
    <tableColumn id="1563" xr3:uid="{627DBAF4-0E25-6C44-9517-41EDC25B0B44}" name="Column1545"/>
    <tableColumn id="1564" xr3:uid="{DEE61834-411A-914D-A784-32172DDBF79F}" name="Column1546"/>
    <tableColumn id="1565" xr3:uid="{64320216-3F27-144A-807E-F072C4095205}" name="Column1547"/>
    <tableColumn id="1566" xr3:uid="{9CA40EFC-2C1B-D74E-B264-415F84FA1740}" name="Column1548"/>
    <tableColumn id="1567" xr3:uid="{2A372816-23CB-5D41-8B0A-2084B076BCA2}" name="Column1549"/>
    <tableColumn id="1568" xr3:uid="{BF1F0791-2FC5-914E-B70C-F0ECDBA936FB}" name="Column1550"/>
    <tableColumn id="1569" xr3:uid="{FCE4BD89-3FAF-6E4B-BAFF-225E3FF6D48B}" name="Column1551"/>
    <tableColumn id="1570" xr3:uid="{BDBCDCCE-FB57-B04A-8913-9C010F5166BB}" name="Column1552"/>
    <tableColumn id="1571" xr3:uid="{71EC60F8-36FA-414F-88ED-95E10280776C}" name="Column1553"/>
    <tableColumn id="1572" xr3:uid="{CF31A896-15AA-EC48-85C0-CC4D181BDB31}" name="Column1554"/>
    <tableColumn id="1573" xr3:uid="{DD942D3E-23C4-0A46-89BE-74C044065ED9}" name="Column1555"/>
    <tableColumn id="1574" xr3:uid="{11DD7076-A27D-D643-8F12-0C5EFB7C8B3D}" name="Column1556"/>
    <tableColumn id="1575" xr3:uid="{B0EFAB15-4890-3448-B232-8A834497A3C6}" name="Column1557"/>
    <tableColumn id="1576" xr3:uid="{A7BC30F5-C0AE-B744-911F-7C028EB0AFA7}" name="Column1558"/>
    <tableColumn id="1577" xr3:uid="{FE42CAC5-A07A-E241-9368-8066369BE0B6}" name="Column1559"/>
    <tableColumn id="1578" xr3:uid="{B389BAE3-5E6E-1B4E-A0B7-49F2A2A6ECFF}" name="Column1560"/>
    <tableColumn id="1579" xr3:uid="{76AC6658-652D-EC4B-AB4A-C75134A00FB5}" name="Column1561"/>
    <tableColumn id="1580" xr3:uid="{FD2CF326-CA62-E340-94CF-91D80F9E2D97}" name="Column1562"/>
    <tableColumn id="1581" xr3:uid="{089FB98A-DA48-0B45-B58F-D94CFD2A88F2}" name="Column1563"/>
    <tableColumn id="1582" xr3:uid="{6DAF5551-77C9-CC41-A2BA-333A7D075C01}" name="Column1564"/>
    <tableColumn id="1583" xr3:uid="{EAF75366-9EB6-7B41-BA72-BA263D12874B}" name="Column1565"/>
    <tableColumn id="1584" xr3:uid="{CD325323-0236-FF4D-BDB5-DC74F7C21944}" name="Column1566"/>
    <tableColumn id="1585" xr3:uid="{70F11E3B-7E67-CB48-8257-D92AF1105B43}" name="Column1567"/>
    <tableColumn id="1586" xr3:uid="{6F166915-E8D9-BF46-B3D9-D958914E81F8}" name="Column1568"/>
    <tableColumn id="1587" xr3:uid="{52994745-0B58-9241-88B9-64E69C6217AB}" name="Column1569"/>
    <tableColumn id="1588" xr3:uid="{6728A588-5CC9-8E49-AAF3-29C860EDB257}" name="Column1570"/>
    <tableColumn id="1589" xr3:uid="{D95ECA32-7321-2F43-9B05-954E3D573A46}" name="Column1571"/>
    <tableColumn id="1590" xr3:uid="{CD3C3BB1-1404-D741-907F-C22EE681BEC2}" name="Column1572"/>
    <tableColumn id="1591" xr3:uid="{C31E3975-D4FD-C145-8F42-41A04DDB4E98}" name="Column1573"/>
    <tableColumn id="1592" xr3:uid="{90E382D8-6777-5F4D-BC16-9C613E67541F}" name="Column1574"/>
    <tableColumn id="1593" xr3:uid="{3A018B70-4D6D-DC4D-BF91-5396F5158382}" name="Column1575"/>
    <tableColumn id="1594" xr3:uid="{D45693EA-AE72-F34C-84B0-E71BAD5CF3CF}" name="Column1576"/>
    <tableColumn id="1595" xr3:uid="{067AE4C7-4DD3-1C43-8951-2BA2E289F92A}" name="Column1577"/>
    <tableColumn id="1596" xr3:uid="{136AE487-66AF-F24D-A2C9-48BECDF9B941}" name="Column1578"/>
    <tableColumn id="1597" xr3:uid="{44D00998-AEBB-C54A-853B-752C263387BC}" name="Column1579"/>
    <tableColumn id="1598" xr3:uid="{D3BC3CAA-2A73-EB4B-AE77-5647C3C61BE2}" name="Column1580"/>
    <tableColumn id="1599" xr3:uid="{8623E5BD-9E83-A049-9DA6-B68D96B977BD}" name="Column1581"/>
    <tableColumn id="1600" xr3:uid="{5FECF7F4-CCF9-4642-9343-CF745B0AA59F}" name="Column1582"/>
    <tableColumn id="1601" xr3:uid="{519FA8D8-C038-7447-B88F-49B9607FA8F4}" name="Column1583"/>
    <tableColumn id="1602" xr3:uid="{C30B2529-FF54-B94D-B315-220CF75295D4}" name="Column1584"/>
    <tableColumn id="1603" xr3:uid="{E23354B5-819C-5C4A-A405-23DC3DA74699}" name="Column1585"/>
    <tableColumn id="1604" xr3:uid="{40395739-90F6-624B-9F07-F542F09F0BC4}" name="Column1586"/>
    <tableColumn id="1605" xr3:uid="{BCF04BEE-2774-7A41-A994-730BDD3E6DBE}" name="Column1587"/>
    <tableColumn id="1606" xr3:uid="{F01AA1D7-FFBB-5048-9F40-7D9257DA6D2B}" name="Column1588"/>
    <tableColumn id="1607" xr3:uid="{994DE8CF-CF6F-494B-B2B5-261EF216A855}" name="Column1589"/>
    <tableColumn id="1608" xr3:uid="{525D974D-6327-B24E-920B-9F8E3DF993E4}" name="Column1590"/>
    <tableColumn id="1609" xr3:uid="{E974C138-719F-9446-BAD4-4394C90DFCCA}" name="Column1591"/>
    <tableColumn id="1610" xr3:uid="{27004FCA-2106-3043-8177-C8F54E9E727A}" name="Column1592"/>
    <tableColumn id="1611" xr3:uid="{FE529CD0-A5D2-D645-8785-1958A6731314}" name="Column1593"/>
    <tableColumn id="1612" xr3:uid="{DAC090F4-F132-A54E-AC43-394C1543C40C}" name="Column1594"/>
    <tableColumn id="1613" xr3:uid="{69199135-D29E-1141-A454-3988E4D50282}" name="Column1595"/>
    <tableColumn id="1614" xr3:uid="{20B31B76-734E-E542-A294-EC4E4B4876F5}" name="Column1596"/>
    <tableColumn id="1615" xr3:uid="{6FEDCEE4-3BBF-8D41-B62F-AAE0C409A8C3}" name="Column1597"/>
    <tableColumn id="1616" xr3:uid="{2CECD6BC-9824-9C4A-989B-C6916EFEE744}" name="Column1598"/>
    <tableColumn id="1617" xr3:uid="{54556F3A-C567-2F46-A098-B283C837546C}" name="Column1599"/>
    <tableColumn id="1618" xr3:uid="{89032853-3AD8-9A42-82CA-A8BA7C95BE63}" name="Column1600"/>
    <tableColumn id="1619" xr3:uid="{9812EFAD-0551-3C41-80B6-EE1B704BA367}" name="Column1601"/>
    <tableColumn id="1620" xr3:uid="{7F299EB1-2B03-B54B-93F3-B555433F69E6}" name="Column1602"/>
    <tableColumn id="1621" xr3:uid="{1B91235D-01D5-4A4E-88A0-FFAA2EFA6239}" name="Column1603"/>
    <tableColumn id="1622" xr3:uid="{A34E1BAF-198F-704E-A618-ECA024967270}" name="Column1604"/>
    <tableColumn id="1623" xr3:uid="{7202160C-B711-D04F-B1D0-C812B0292621}" name="Column1605"/>
    <tableColumn id="1624" xr3:uid="{0E2FC10A-D01F-C845-80F9-4A39FD837124}" name="Column1606"/>
    <tableColumn id="1625" xr3:uid="{5D8CEACD-F90F-7945-BED7-81BE69065550}" name="Column1607"/>
    <tableColumn id="1626" xr3:uid="{A9179EF1-86AF-ED4D-AE8D-4A4401BA714D}" name="Column1608"/>
    <tableColumn id="1627" xr3:uid="{E66CA22B-E1DC-8048-98AB-6B1DE08D521C}" name="Column1609"/>
    <tableColumn id="1628" xr3:uid="{B528C955-6BA3-5448-BDF7-FCFB2613A720}" name="Column1610"/>
    <tableColumn id="1629" xr3:uid="{4F6CD445-23CE-1646-991D-97E5DDE61A90}" name="Column1611"/>
    <tableColumn id="1630" xr3:uid="{2E18A566-F8CB-8643-BF97-F514BA3DA181}" name="Column1612"/>
    <tableColumn id="1631" xr3:uid="{D65060A2-366A-B442-8CD2-57CBBFD9198C}" name="Column1613"/>
    <tableColumn id="1632" xr3:uid="{6F239CCA-075A-DA45-8B8E-D112D3E6ABE7}" name="Column1614"/>
    <tableColumn id="1633" xr3:uid="{5AA7FF5D-3C8F-BF4D-B959-2D294F673E2D}" name="Column1615"/>
    <tableColumn id="1634" xr3:uid="{8ECDF569-0B6E-044C-AFD9-F53DD8E0A696}" name="Column1616"/>
    <tableColumn id="1635" xr3:uid="{DC527ADD-1B1E-9546-92FE-DAB883AEA66A}" name="Column1617"/>
    <tableColumn id="1636" xr3:uid="{2A21A502-57F8-F044-9B4E-674C43773141}" name="Column1618"/>
    <tableColumn id="1637" xr3:uid="{86E2EC6A-3816-E443-9C29-8ED71C21631B}" name="Column1619"/>
    <tableColumn id="1638" xr3:uid="{9F8810E2-66DA-D74C-9199-44F275CB68E6}" name="Column1620"/>
    <tableColumn id="1639" xr3:uid="{B5B04BB2-3BE8-424A-952A-70EAE6DB3677}" name="Column1621"/>
    <tableColumn id="1640" xr3:uid="{515E5F16-5F9A-8042-9222-CAB69A9B13ED}" name="Column1622"/>
    <tableColumn id="1641" xr3:uid="{52DB564A-3ADC-FE44-9586-875EF503BE51}" name="Column1623"/>
    <tableColumn id="1642" xr3:uid="{D1EC098B-45F6-D64C-8575-CD811977CD1C}" name="Column1624"/>
    <tableColumn id="1643" xr3:uid="{C2DD37CD-38C4-9D40-BEB5-96ADA99E1B3C}" name="Column1625"/>
    <tableColumn id="1644" xr3:uid="{966CCB7D-944E-394C-8F07-E97D059CF1B0}" name="Column1626"/>
    <tableColumn id="1645" xr3:uid="{AB667025-6141-BD4E-B361-DD0DFA424C83}" name="Column1627"/>
    <tableColumn id="1646" xr3:uid="{B6346423-D2AB-8746-826F-AF81327CFDA7}" name="Column1628"/>
    <tableColumn id="1647" xr3:uid="{A831D16A-0F36-EE41-B6D0-4C212EFD7AD5}" name="Column1629"/>
    <tableColumn id="1648" xr3:uid="{4458C833-910D-B14D-969E-6DB79B850D2E}" name="Column1630"/>
    <tableColumn id="1649" xr3:uid="{053ED891-1EAB-B648-A4DD-90D84A4BAE72}" name="Column1631"/>
    <tableColumn id="1650" xr3:uid="{B9567211-A1CC-3149-AD29-CAF7683B0CCB}" name="Column1632"/>
    <tableColumn id="1651" xr3:uid="{A6261CE0-936F-104D-9522-85BDF06DF6D4}" name="Column1633"/>
    <tableColumn id="1652" xr3:uid="{755D8BED-2499-6745-A0C7-73E57C071BFC}" name="Column1634"/>
    <tableColumn id="1653" xr3:uid="{BAAAC40E-7CBD-B84D-A66F-5E1EB28F4C2B}" name="Column1635"/>
    <tableColumn id="1654" xr3:uid="{B743C755-6579-734D-B735-8E5F96150D04}" name="Column1636"/>
    <tableColumn id="1655" xr3:uid="{BEB88FE6-03AD-ED4A-8A1C-A54A8AF5DAAE}" name="Column1637"/>
    <tableColumn id="1656" xr3:uid="{C2D881DE-DE2D-0947-92E4-F999B56358C0}" name="Column1638"/>
    <tableColumn id="1657" xr3:uid="{FFCD1AB3-5D16-8045-949C-DED96B986901}" name="Column1639"/>
    <tableColumn id="1658" xr3:uid="{A8DCFEF1-EBAE-0547-90EC-A7D9165EAA75}" name="Column1640"/>
    <tableColumn id="1659" xr3:uid="{D9220AB1-2EB5-674A-A0CA-B2DCE7405726}" name="Column1641"/>
    <tableColumn id="1660" xr3:uid="{8F62B5F2-9DDB-354C-8A45-BB7F271E9923}" name="Column1642"/>
    <tableColumn id="1661" xr3:uid="{EB0BACF6-FB93-6541-AAA4-E5E9B3FC2298}" name="Column1643"/>
    <tableColumn id="1662" xr3:uid="{484A44D5-5D48-4D4C-9144-249F537B0902}" name="Column1644"/>
    <tableColumn id="1663" xr3:uid="{686716F5-9549-724A-98E0-D84B78FCA7B1}" name="Column1645"/>
    <tableColumn id="1664" xr3:uid="{D0B846BF-BAAD-9C48-8538-DBB035052B95}" name="Column1646"/>
    <tableColumn id="1665" xr3:uid="{C5252C37-2324-7D4B-AA47-1405D7A7246D}" name="Column1647"/>
    <tableColumn id="1666" xr3:uid="{42313C05-23A1-514D-9D8D-E36929131A14}" name="Column1648"/>
    <tableColumn id="1667" xr3:uid="{5574899C-75C6-4544-B29C-E4638BB64725}" name="Column1649"/>
    <tableColumn id="1668" xr3:uid="{00126A77-118F-C349-8A1B-5B18206C4EC0}" name="Column1650"/>
    <tableColumn id="1669" xr3:uid="{60737CB3-E87C-D34E-93E5-DD7DC0182CA7}" name="Column1651"/>
    <tableColumn id="1670" xr3:uid="{6ADD02C7-65AD-A64F-A985-9D9F8388A179}" name="Column1652"/>
    <tableColumn id="1671" xr3:uid="{5B3550E3-7209-DC42-B338-A760BCAE2F6F}" name="Column1653"/>
    <tableColumn id="1672" xr3:uid="{12F419BA-783C-4D48-BC60-FC96FB633267}" name="Column1654"/>
    <tableColumn id="1673" xr3:uid="{4989F0D8-56AE-5544-A043-40A40D4D96F8}" name="Column1655"/>
    <tableColumn id="1674" xr3:uid="{8CA9654C-5C25-ED47-BC89-38ACA07EB639}" name="Column1656"/>
    <tableColumn id="1675" xr3:uid="{4F39829B-F0E9-B248-9E67-46C08668A71D}" name="Column1657"/>
    <tableColumn id="1676" xr3:uid="{A9D33577-F980-A94D-BF43-6025A5B44083}" name="Column1658"/>
    <tableColumn id="1677" xr3:uid="{71D6C006-9D05-0F4B-AF30-3594E1275DE7}" name="Column1659"/>
    <tableColumn id="1678" xr3:uid="{38522D19-C7B3-A044-9CAB-EB06A8681F77}" name="Column1660"/>
    <tableColumn id="1679" xr3:uid="{BFC5CD56-0481-CB43-92CB-EF0D04DCB3B0}" name="Column1661"/>
    <tableColumn id="1680" xr3:uid="{A5002E87-6444-0E4A-8A61-620C2F1A9FF5}" name="Column1662"/>
    <tableColumn id="1681" xr3:uid="{9E3B95BE-68BD-484A-B9BA-4DD65A34E9AA}" name="Column1663"/>
    <tableColumn id="1682" xr3:uid="{7A6B5E43-BE1B-674B-8E55-A1A16C88BDC3}" name="Column1664"/>
    <tableColumn id="1683" xr3:uid="{8F700B3C-DB1A-B249-8B46-9CE98903880A}" name="Column1665"/>
    <tableColumn id="1684" xr3:uid="{92986E3E-91B9-2748-8933-7F3FBB90007B}" name="Column1666"/>
    <tableColumn id="1685" xr3:uid="{3D2F008B-D2C6-484A-9994-450BF963632D}" name="Column1667"/>
    <tableColumn id="1686" xr3:uid="{F7EF308A-4F84-0747-80DE-3F375C419D96}" name="Column1668"/>
    <tableColumn id="1687" xr3:uid="{995053EB-6FC9-E44F-89A0-59BECAAFA9CA}" name="Column1669"/>
    <tableColumn id="1688" xr3:uid="{8CD3C876-31B6-AA41-B859-9EEC1C5C90C8}" name="Column1670"/>
    <tableColumn id="1689" xr3:uid="{5DB6F370-09F4-3F4A-9AC7-CDACEBA47582}" name="Column1671"/>
    <tableColumn id="1690" xr3:uid="{0B56A84E-C559-4D44-9FB3-B4602CDE645C}" name="Column1672"/>
    <tableColumn id="1691" xr3:uid="{227EEAB2-0537-3246-B53B-BA57C2FE0BA1}" name="Column1673"/>
    <tableColumn id="1692" xr3:uid="{1D3CEA2E-C886-1E48-91D4-3422FF3BF23E}" name="Column1674"/>
    <tableColumn id="1693" xr3:uid="{86EE5EB7-ABBA-204F-A417-D0A70D6A272D}" name="Column1675"/>
    <tableColumn id="1694" xr3:uid="{059B8D62-87D4-9B49-BBE6-9AC9037984CA}" name="Column1676"/>
    <tableColumn id="1695" xr3:uid="{5A925E56-E23D-B745-8564-DB2641EC3EF6}" name="Column1677"/>
    <tableColumn id="1696" xr3:uid="{AB3D14A6-CFED-BE44-89D4-893555F29BCC}" name="Column1678"/>
    <tableColumn id="1697" xr3:uid="{5F4FF0E0-3229-ED4E-AE4A-9A1BAE0C14E7}" name="Column1679"/>
    <tableColumn id="1698" xr3:uid="{1FC0F69C-73E5-0043-9B38-ADE4A7C9180E}" name="Column1680"/>
    <tableColumn id="1699" xr3:uid="{3F1AC25A-2052-E34B-B04B-5D56F23287C2}" name="Column1681"/>
    <tableColumn id="1700" xr3:uid="{34CFFEE9-84FA-524C-8F9B-54157C9E360E}" name="Column1682"/>
    <tableColumn id="1701" xr3:uid="{94DD7A42-27F1-1B48-9249-EDC06ED08C02}" name="Column1683"/>
    <tableColumn id="1702" xr3:uid="{A8902E4E-A706-B244-A7AC-A3E9C8675154}" name="Column1684"/>
    <tableColumn id="1703" xr3:uid="{6058B916-BA65-5A48-8DED-71C3BA4A37E3}" name="Column1685"/>
    <tableColumn id="1704" xr3:uid="{051B5D6F-3A29-A648-B66D-E6A7616A4D2C}" name="Column1686"/>
    <tableColumn id="1705" xr3:uid="{B18682DD-9648-0548-8AF8-97F72069FBF1}" name="Column1687"/>
    <tableColumn id="1706" xr3:uid="{CDE9C2E8-A957-3843-97E2-ED4CD2CACB58}" name="Column1688"/>
    <tableColumn id="1707" xr3:uid="{F6A9DC45-4642-8F45-9412-2152CD315B72}" name="Column1689"/>
    <tableColumn id="1708" xr3:uid="{8EE0E233-620E-514B-9E3C-9F84E56CC54D}" name="Column1690"/>
    <tableColumn id="1709" xr3:uid="{7DEBA625-498D-A64A-BD7F-0393EF36D0BC}" name="Column1691"/>
    <tableColumn id="1710" xr3:uid="{F6C5DBB7-7242-0F4E-AADB-ED6CF1E3510E}" name="Column1692"/>
    <tableColumn id="1711" xr3:uid="{D21DA206-EB57-F549-BA76-C3F9BC28A0F1}" name="Column1693"/>
    <tableColumn id="1712" xr3:uid="{E5A79CB5-91A6-5646-8C66-91DC419CA0FA}" name="Column1694"/>
    <tableColumn id="1713" xr3:uid="{87F100E5-9C42-AA4E-9FAE-387D0E571315}" name="Column1695"/>
    <tableColumn id="1714" xr3:uid="{65F87E17-71EF-EC4F-B37B-A1D062A304D3}" name="Column1696"/>
    <tableColumn id="1715" xr3:uid="{6A083912-0E4D-684D-8EB6-BCC173FDD4FF}" name="Column1697"/>
    <tableColumn id="1716" xr3:uid="{B625C351-5503-6F45-A2FB-E42504358F95}" name="Column1698"/>
    <tableColumn id="1717" xr3:uid="{6DB7F9CA-B82E-0F46-8310-1FB929DF8619}" name="Column1699"/>
    <tableColumn id="1718" xr3:uid="{E6F0C628-DDDD-E04E-9811-417983482639}" name="Column1700"/>
    <tableColumn id="1719" xr3:uid="{3743BA7C-2D1D-074A-B3C1-95E512906F0A}" name="Column1701"/>
    <tableColumn id="1720" xr3:uid="{65B50C0E-90E7-CD44-ABFE-F816E2EDC3DA}" name="Column1702"/>
    <tableColumn id="1721" xr3:uid="{FD9E418F-6211-3740-896C-3350C53BAB28}" name="Column1703"/>
    <tableColumn id="1722" xr3:uid="{D4E11677-77A7-B44F-8334-60A30D7A0D36}" name="Column1704"/>
    <tableColumn id="1723" xr3:uid="{BF64A60C-1457-9B4F-B663-E3772B8FAFED}" name="Column1705"/>
    <tableColumn id="1724" xr3:uid="{435FA407-6018-9449-97C0-6D046648FD02}" name="Column1706"/>
    <tableColumn id="1725" xr3:uid="{D3AA3E19-5F4A-F04D-8702-BD847D1FB382}" name="Column1707"/>
    <tableColumn id="1726" xr3:uid="{8D7C9F6F-2916-1944-A7B3-2246DE9E2AF2}" name="Column1708"/>
    <tableColumn id="1727" xr3:uid="{804BC812-BFB8-3B4C-B50B-790F71338761}" name="Column1709"/>
    <tableColumn id="1728" xr3:uid="{ED9FA122-554C-F14B-AC31-1C9DDF50C130}" name="Column1710"/>
    <tableColumn id="1729" xr3:uid="{0A516EB2-E09C-C741-A938-1BF141862F60}" name="Column1711"/>
    <tableColumn id="1730" xr3:uid="{4E33D84F-2036-0847-8D84-D6C8C69686A7}" name="Column1712"/>
    <tableColumn id="1731" xr3:uid="{8B325E37-8764-0344-80B1-A71CA56ECB8D}" name="Column1713"/>
    <tableColumn id="1732" xr3:uid="{D5D3D3A2-6E4E-3B49-AD83-B7227D4FDF01}" name="Column1714"/>
    <tableColumn id="1733" xr3:uid="{C51EA89F-0F46-194A-8325-CBCDDAEE67C2}" name="Column1715"/>
    <tableColumn id="1734" xr3:uid="{860D2857-5784-FD47-AA3E-A02262D40119}" name="Column1716"/>
    <tableColumn id="1735" xr3:uid="{55B7B710-6478-BF48-9C84-8595066F9D78}" name="Column1717"/>
    <tableColumn id="1736" xr3:uid="{0877FEC3-EA06-594C-ADEA-7138264BB920}" name="Column1718"/>
    <tableColumn id="1737" xr3:uid="{8D3FF3F6-BF2D-0443-B589-20C2E1883AF3}" name="Column1719"/>
    <tableColumn id="1738" xr3:uid="{4DDBB3BB-AF5C-9044-872A-C52548BE7D18}" name="Column1720"/>
    <tableColumn id="1739" xr3:uid="{73BB5476-DDC3-7249-AE1D-C792D0492677}" name="Column1721"/>
    <tableColumn id="1740" xr3:uid="{D2A4A8DE-9123-2F43-BA2F-267B9C80DD6A}" name="Column1722"/>
    <tableColumn id="1741" xr3:uid="{EA5EFC7D-77DC-2745-887E-79A63F591F12}" name="Column1723"/>
    <tableColumn id="1742" xr3:uid="{8744F146-3DDF-BA4D-99DE-2DE4057955C7}" name="Column1724"/>
    <tableColumn id="1743" xr3:uid="{9423577E-5AC6-9442-B278-3B88B62B0A76}" name="Column1725"/>
    <tableColumn id="1744" xr3:uid="{23D8B502-AE3B-E244-898A-3BB31753A68E}" name="Column1726"/>
    <tableColumn id="1745" xr3:uid="{C91B1CAC-5F53-2E48-A437-EE24539388C8}" name="Column1727"/>
    <tableColumn id="1746" xr3:uid="{597E588B-6771-134C-A849-882D9B7E3A96}" name="Column1728"/>
    <tableColumn id="1747" xr3:uid="{220F9310-44DA-A34D-B841-1C3EF06AF90E}" name="Column1729"/>
    <tableColumn id="1748" xr3:uid="{3E75E715-8D14-E54E-8BC8-8186BF43BD41}" name="Column1730"/>
    <tableColumn id="1749" xr3:uid="{BB832960-8CBB-134B-96F6-A67D32A4ECB8}" name="Column1731"/>
    <tableColumn id="1750" xr3:uid="{B95AA547-76C6-9845-902C-4FD3F263F85D}" name="Column1732"/>
    <tableColumn id="1751" xr3:uid="{B00582B9-4F3E-E845-A03D-99ADB074D086}" name="Column1733"/>
    <tableColumn id="1752" xr3:uid="{36B802AA-A29F-B44E-961D-CC2E9AC127A0}" name="Column1734"/>
    <tableColumn id="1753" xr3:uid="{452357BF-93E5-D541-87D4-D70489994224}" name="Column1735"/>
    <tableColumn id="1754" xr3:uid="{043E48C5-803C-4F40-A0D5-71A5E4F09A9D}" name="Column1736"/>
    <tableColumn id="1755" xr3:uid="{8B32D846-84AB-EF4A-BF66-F6EFDD726B92}" name="Column1737"/>
    <tableColumn id="1756" xr3:uid="{1900D5C0-0282-7044-BF1F-803A8BBA2C06}" name="Column1738"/>
    <tableColumn id="1757" xr3:uid="{FF083329-9708-B54A-B345-26B1B960B610}" name="Column1739"/>
    <tableColumn id="1758" xr3:uid="{D70BB546-6044-634A-8913-018176DDF443}" name="Column1740"/>
    <tableColumn id="1759" xr3:uid="{9927221E-8BA9-4D4F-87A0-FEFEAB989028}" name="Column1741"/>
    <tableColumn id="1760" xr3:uid="{7E36EDFB-6FE1-E34B-ADE0-FCBEBA4CF3D4}" name="Column1742"/>
    <tableColumn id="1761" xr3:uid="{52CFF05B-1E12-3B41-9240-6D5F3395BB55}" name="Column1743"/>
    <tableColumn id="1762" xr3:uid="{6E18A3C9-4FD5-3D48-A3E8-8474410A5136}" name="Column1744"/>
    <tableColumn id="1763" xr3:uid="{D1A89DFF-D4F8-3740-B3CA-34EE825D5EA6}" name="Column1745"/>
    <tableColumn id="1764" xr3:uid="{F6B69327-2B3F-C04E-A4A5-46865B357D9A}" name="Column1746"/>
    <tableColumn id="1765" xr3:uid="{6D792547-4EF8-2E49-899C-5DFF64658E1C}" name="Column1747"/>
    <tableColumn id="1766" xr3:uid="{A869E3F4-792F-7949-9E76-88444472DEA6}" name="Column1748"/>
    <tableColumn id="1767" xr3:uid="{308F60F4-CC90-8F41-9F42-6D85E43D94D5}" name="Column1749"/>
    <tableColumn id="1768" xr3:uid="{322B0BAD-7450-8643-A6C9-F559B431EDF8}" name="Column1750"/>
    <tableColumn id="1769" xr3:uid="{552094D5-369B-494D-B7B6-D9FD021CB0A4}" name="Column1751"/>
    <tableColumn id="1770" xr3:uid="{DBE2C9E3-5BCA-6148-B145-14E6A2F3A98F}" name="Column1752"/>
    <tableColumn id="1771" xr3:uid="{DDEB2E43-AF6F-D14F-A975-48C8D1A4DAB7}" name="Column1753"/>
    <tableColumn id="1772" xr3:uid="{2C8439F2-BA58-6E40-81FA-5034AB640597}" name="Column1754"/>
    <tableColumn id="1773" xr3:uid="{9E73F04E-B90E-844E-9F0F-89C671D9D3EF}" name="Column1755"/>
    <tableColumn id="1774" xr3:uid="{AF34FB18-E4F8-EE41-B90A-8CB0E80FED59}" name="Column1756"/>
    <tableColumn id="1775" xr3:uid="{18005EAF-6BEE-A84D-99CC-09B7F7FDD4E8}" name="Column1757"/>
    <tableColumn id="1776" xr3:uid="{EAB94788-6405-AD48-800E-2A1304F6BB82}" name="Column1758"/>
    <tableColumn id="1777" xr3:uid="{436E577A-AAFA-6A48-8638-6EE2892EFD5B}" name="Column1759"/>
    <tableColumn id="1778" xr3:uid="{619F8E4C-2994-EE42-9FF9-848E7E2088FA}" name="Column1760"/>
    <tableColumn id="1779" xr3:uid="{D4659769-8409-C448-AABB-4C30CB00E174}" name="Column1761"/>
    <tableColumn id="1780" xr3:uid="{98F2F613-452F-7347-A77A-5D70F8A4004C}" name="Column1762"/>
    <tableColumn id="1781" xr3:uid="{26B2AFB5-8B31-9348-880B-F5F5B9D22F77}" name="Column1763"/>
    <tableColumn id="1782" xr3:uid="{CCEC7C54-29B1-674C-8F92-3D9FDA07C017}" name="Column1764"/>
    <tableColumn id="1783" xr3:uid="{98AAE0DE-AD4E-4F4A-9419-737D2B1FDFC7}" name="Column1765"/>
    <tableColumn id="1784" xr3:uid="{FA8EA604-38F3-554B-8042-2E8D6AB34EB6}" name="Column1766"/>
    <tableColumn id="1785" xr3:uid="{550F1922-AD70-694B-B5B3-12E9CE77B58A}" name="Column1767"/>
    <tableColumn id="1786" xr3:uid="{52C92186-0C81-6D4D-8404-7FDED240CFFE}" name="Column1768"/>
    <tableColumn id="1787" xr3:uid="{51246096-3FA4-584E-A915-ED358F914118}" name="Column1769"/>
    <tableColumn id="1788" xr3:uid="{C7A49AC9-A691-F542-8930-94C6D238D726}" name="Column1770"/>
    <tableColumn id="1789" xr3:uid="{A642081B-BEC1-CD49-8E27-A3EDAEF69E22}" name="Column1771"/>
    <tableColumn id="1790" xr3:uid="{642DBB12-6358-594D-89AB-C252A096F9DC}" name="Column1772"/>
    <tableColumn id="1791" xr3:uid="{0306A217-4A04-8842-9E0F-C49AA0F4E136}" name="Column1773"/>
    <tableColumn id="1792" xr3:uid="{DF191627-4540-A44D-93B9-8A74C2BB9809}" name="Column1774"/>
    <tableColumn id="1793" xr3:uid="{63B9890E-3CA1-4846-985D-4EA16D3FA36C}" name="Column1775"/>
    <tableColumn id="1794" xr3:uid="{0FFED744-C43F-0A42-ABCC-935E3C0AA0F1}" name="Column1776"/>
    <tableColumn id="1795" xr3:uid="{F9CE9C02-C338-2946-905F-C518AC0035CA}" name="Column1777"/>
    <tableColumn id="1796" xr3:uid="{AF0C7A40-A781-184F-951F-DE34A59885EA}" name="Column1778"/>
    <tableColumn id="1797" xr3:uid="{145CEFAE-F71E-634B-92F0-994A1F44D6DF}" name="Column1779"/>
    <tableColumn id="1798" xr3:uid="{C403B1BB-DC53-1A4D-81DF-F7ED5CDD4EE9}" name="Column1780"/>
    <tableColumn id="1799" xr3:uid="{555DB876-42EB-A54B-BE3C-2634378CBCEA}" name="Column1781"/>
    <tableColumn id="1800" xr3:uid="{156AAE4E-2362-BD4C-B715-F39C791BC8C0}" name="Column1782"/>
    <tableColumn id="1801" xr3:uid="{DB027323-8D15-294B-8FDF-4A46AEF57AE8}" name="Column1783"/>
    <tableColumn id="1802" xr3:uid="{00CFB3DA-D50E-AA46-80C2-9621C6A49821}" name="Column1784"/>
    <tableColumn id="1803" xr3:uid="{F78CA470-58FB-9749-81C5-2105BFD4170A}" name="Column1785"/>
    <tableColumn id="1804" xr3:uid="{C6CC90A6-10E0-8E41-A613-DF3F6890A6FF}" name="Column1786"/>
    <tableColumn id="1805" xr3:uid="{EF02DACC-9B8B-194A-8370-024040123F3E}" name="Column1787"/>
    <tableColumn id="1806" xr3:uid="{1D4E8C44-5C81-114A-A938-CDE2473921A3}" name="Column1788"/>
    <tableColumn id="1807" xr3:uid="{E1E81793-CEFA-ED4A-8208-474FD6BD68F1}" name="Column1789"/>
    <tableColumn id="1808" xr3:uid="{54F81284-55B7-3E4C-A3D8-1EA01F27912E}" name="Column1790"/>
    <tableColumn id="1809" xr3:uid="{BA250B35-D17D-2F43-B285-825E31D05DCD}" name="Column1791"/>
    <tableColumn id="1810" xr3:uid="{B6A847A0-DFCD-7646-91F5-1DD72CA1EC73}" name="Column1792"/>
    <tableColumn id="1811" xr3:uid="{554EC5DC-2F5B-9346-9DA6-65831C619866}" name="Column1793"/>
    <tableColumn id="1812" xr3:uid="{4A53770C-F59A-8047-A42C-673317FCDFBF}" name="Column1794"/>
    <tableColumn id="1813" xr3:uid="{EA0C5B90-C56B-8643-97F7-DA64304DB84D}" name="Column1795"/>
    <tableColumn id="1814" xr3:uid="{0D19197A-DD07-9844-9F97-8AB6CDC13671}" name="Column1796"/>
    <tableColumn id="1815" xr3:uid="{84A951E1-78C7-A841-A82F-A227F43343E2}" name="Column1797"/>
    <tableColumn id="1816" xr3:uid="{AB518A67-735F-8142-93EA-AB69C83032E4}" name="Column1798"/>
    <tableColumn id="1817" xr3:uid="{E3392DA4-9331-4846-A0C9-E4FBD529B1D9}" name="Column1799"/>
    <tableColumn id="1818" xr3:uid="{EDF2377F-7334-C248-9F25-F821002380B1}" name="Column1800"/>
    <tableColumn id="1819" xr3:uid="{5CB342C0-CE3A-874D-BBCB-6AAB8B711DA2}" name="Column1801"/>
    <tableColumn id="1820" xr3:uid="{52342478-47C0-9E4A-9413-8E20AE4A2112}" name="Column1802"/>
    <tableColumn id="1821" xr3:uid="{0282115F-B6C1-3340-A70C-4FDF85A109A6}" name="Column1803"/>
    <tableColumn id="1822" xr3:uid="{3A5AA0D0-D32D-9B40-B8EE-C1BA1EB986AF}" name="Column1804"/>
    <tableColumn id="1823" xr3:uid="{222D4205-0049-344F-B724-907239946293}" name="Column1805"/>
    <tableColumn id="1824" xr3:uid="{FFCA28E7-AC3A-F049-BC01-4CCD310BF3E8}" name="Column1806"/>
    <tableColumn id="1825" xr3:uid="{AF567F94-FDC7-B444-A42C-13BAE55B30C1}" name="Column1807"/>
    <tableColumn id="1826" xr3:uid="{F633F534-81DE-FC4B-9B02-F3891AC3AC8F}" name="Column1808"/>
    <tableColumn id="1827" xr3:uid="{77C14B95-7876-BF4B-BD2A-824C405B0400}" name="Column1809"/>
    <tableColumn id="1828" xr3:uid="{477965BA-3293-5044-B39F-A43497F860B8}" name="Column1810"/>
    <tableColumn id="1829" xr3:uid="{EEA0A1ED-441F-AF49-A342-502DBEEAEC69}" name="Column1811"/>
    <tableColumn id="1830" xr3:uid="{30FF965E-8676-4346-90FE-A312C79CA3A4}" name="Column1812"/>
    <tableColumn id="1831" xr3:uid="{679E6E5B-C52F-6B49-A307-6090FB2D73A2}" name="Column1813"/>
    <tableColumn id="1832" xr3:uid="{9A853B01-D409-5440-8B0B-7E968C3043E6}" name="Column1814"/>
    <tableColumn id="1833" xr3:uid="{C276EBE4-1FAD-6048-A51A-32E33F6D588E}" name="Column1815"/>
    <tableColumn id="1834" xr3:uid="{310FBF9B-B392-AD40-8E3E-9AF66961F981}" name="Column1816"/>
    <tableColumn id="1835" xr3:uid="{A681C940-2533-E347-8CD7-FA1D5BA9969A}" name="Column1817"/>
    <tableColumn id="1836" xr3:uid="{3A48D4D0-D038-3B4E-9DB6-5B7D5338AB4D}" name="Column1818"/>
    <tableColumn id="1837" xr3:uid="{D5EAE641-D209-FF44-BE5B-55025053FED4}" name="Column1819"/>
    <tableColumn id="1838" xr3:uid="{53283A91-8B21-2043-A179-3D7DBF2E20AF}" name="Column1820"/>
    <tableColumn id="1839" xr3:uid="{19B2D39C-48A6-8C4E-8DB8-B88313D220FA}" name="Column1821"/>
    <tableColumn id="1840" xr3:uid="{0DD56210-8FD7-5E4D-B248-4D2FB3D14EB7}" name="Column1822"/>
    <tableColumn id="1841" xr3:uid="{66BBCAA3-9E0A-0040-B3F4-F31DD6B71585}" name="Column1823"/>
    <tableColumn id="1842" xr3:uid="{8D994393-A5F7-A744-B56B-B22AC4007AD0}" name="Column1824"/>
    <tableColumn id="1843" xr3:uid="{82B617B4-6352-1F4B-A379-E1E79163149C}" name="Column1825"/>
    <tableColumn id="1844" xr3:uid="{87705E24-3271-5C4B-8F3B-BE13938E5680}" name="Column1826"/>
    <tableColumn id="1845" xr3:uid="{949485DF-44C7-4943-B843-8FB7B47E55EB}" name="Column1827"/>
    <tableColumn id="1846" xr3:uid="{9D77685A-435E-2445-A466-C2F60F36D292}" name="Column1828"/>
    <tableColumn id="1847" xr3:uid="{D4161B0C-4570-D547-8CDA-1DB9A5C12CDF}" name="Column1829"/>
    <tableColumn id="1848" xr3:uid="{73506A8F-9EDE-5543-AC78-FFDD144EA189}" name="Column1830"/>
    <tableColumn id="1849" xr3:uid="{F7BA7FDE-2B86-964F-B18B-990A79F2575E}" name="Column1831"/>
    <tableColumn id="1850" xr3:uid="{DA467FEE-F508-3C4F-93DF-CDFE6346D3C4}" name="Column1832"/>
    <tableColumn id="1851" xr3:uid="{44BAAC29-CCDB-7246-9E20-7952F5926A1C}" name="Column1833"/>
    <tableColumn id="1852" xr3:uid="{8E2B0FF4-5D4F-0C46-A882-AFC7CD7F4497}" name="Column1834"/>
    <tableColumn id="1853" xr3:uid="{950BA2ED-FB25-FE45-9CCE-01CE4166437B}" name="Column1835"/>
    <tableColumn id="1854" xr3:uid="{3C0F48B5-6E8C-7F40-AEA0-58ADDDCF63AB}" name="Column1836"/>
    <tableColumn id="1855" xr3:uid="{F0ED27A5-CB62-004F-8196-F584C81A1687}" name="Column1837"/>
    <tableColumn id="1856" xr3:uid="{8106233A-AED1-0249-9766-2F6443B051C1}" name="Column1838"/>
    <tableColumn id="1857" xr3:uid="{C5C2F135-C8BA-3C46-BC64-B9B2FD18048F}" name="Column1839"/>
    <tableColumn id="1858" xr3:uid="{F0E19C56-D943-B04E-A4B2-8DD0983927A5}" name="Column1840"/>
    <tableColumn id="1859" xr3:uid="{6CA0EB57-4AA6-D34E-B8AE-42C407CD7A45}" name="Column1841"/>
    <tableColumn id="1860" xr3:uid="{A41F072E-4F47-164F-9BF6-24CAAF11F3DB}" name="Column1842"/>
    <tableColumn id="1861" xr3:uid="{A407C0D0-5CDA-ED4A-A3D8-66E9BA22A86D}" name="Column1843"/>
    <tableColumn id="1862" xr3:uid="{910F49A5-4261-8049-8ECA-44F4EBF3511F}" name="Column1844"/>
    <tableColumn id="1863" xr3:uid="{AAE443F6-4C49-354A-AA23-F236BA6D7F11}" name="Column1845"/>
    <tableColumn id="1864" xr3:uid="{A61D2935-FE7A-CB44-B76F-0591A2C06642}" name="Column1846"/>
    <tableColumn id="1865" xr3:uid="{141127C9-DEEE-424C-9256-BBB36A29F3F7}" name="Column1847"/>
    <tableColumn id="1866" xr3:uid="{6BF4436F-16B9-4041-9A80-5F1C092C42CC}" name="Column1848"/>
    <tableColumn id="1867" xr3:uid="{C4A3A465-1238-9A45-8882-0886C75CCA7E}" name="Column1849"/>
    <tableColumn id="1868" xr3:uid="{064BC99E-C701-1846-AE30-A8834910D20B}" name="Column1850"/>
    <tableColumn id="1869" xr3:uid="{26CCF478-6E60-B24D-B481-27A0CB26D739}" name="Column1851"/>
    <tableColumn id="1870" xr3:uid="{357539A9-63A9-7E40-869B-6279DA1A94CA}" name="Column1852"/>
    <tableColumn id="1871" xr3:uid="{C184199F-F494-3545-94C8-0209775E0EDA}" name="Column1853"/>
    <tableColumn id="1872" xr3:uid="{F89B67F5-9BD9-7C4B-BB61-5512EA2ABB1B}" name="Column1854"/>
    <tableColumn id="1873" xr3:uid="{76370544-98BC-8840-BBA8-A78261D0F0B8}" name="Column1855"/>
    <tableColumn id="1874" xr3:uid="{32C720EE-98A7-684E-A744-1CFBA97E142C}" name="Column1856"/>
    <tableColumn id="1875" xr3:uid="{FA19F1E5-73CB-EF43-B3EE-7BF728747AD6}" name="Column1857"/>
    <tableColumn id="1876" xr3:uid="{432C339C-B50B-A84A-953B-4B9A744C8665}" name="Column1858"/>
    <tableColumn id="1877" xr3:uid="{5A547BAF-42CE-6448-8E17-D0AF002CF3E2}" name="Column1859"/>
    <tableColumn id="1878" xr3:uid="{83F19D12-3110-1A40-BF7E-CA9BFFF499A7}" name="Column1860"/>
    <tableColumn id="1879" xr3:uid="{6323682C-BE6A-1244-AB5D-F53C85F5B11E}" name="Column1861"/>
    <tableColumn id="1880" xr3:uid="{3999198E-20C6-F044-834F-2717E211A36C}" name="Column1862"/>
    <tableColumn id="1881" xr3:uid="{C616FA1A-BE0E-B146-9D7B-2361F089A628}" name="Column1863"/>
    <tableColumn id="1882" xr3:uid="{530748F8-5511-DA41-B15B-89EDB5E41717}" name="Column1864"/>
    <tableColumn id="1883" xr3:uid="{94494078-7A99-044C-BC29-E8B830009B28}" name="Column1865"/>
    <tableColumn id="1884" xr3:uid="{16321DEC-3D98-464B-A0F4-A6310EEC492F}" name="Column1866"/>
    <tableColumn id="1885" xr3:uid="{3EBDB69E-52E8-F849-A8C0-C3D6CD029E96}" name="Column1867"/>
    <tableColumn id="1886" xr3:uid="{F614F8F6-5781-C543-A47F-A62E38873946}" name="Column1868"/>
    <tableColumn id="1887" xr3:uid="{378BD414-1FEF-F44A-A9EF-D6EA5ECC7C29}" name="Column1869"/>
    <tableColumn id="1888" xr3:uid="{56254C13-0113-FE48-8FC9-E255A372DE65}" name="Column1870"/>
    <tableColumn id="1889" xr3:uid="{A454A5D9-6D7C-4940-805B-7FD94DD30DDA}" name="Column1871"/>
    <tableColumn id="1890" xr3:uid="{6253CD9B-DF52-8647-8A4E-A7923AED7F33}" name="Column1872"/>
    <tableColumn id="1891" xr3:uid="{02B91708-8C3C-BF41-A6E0-580C730D8F26}" name="Column1873"/>
    <tableColumn id="1892" xr3:uid="{47BD5F1D-3E8D-AD46-90F5-950DB6285ACB}" name="Column1874"/>
    <tableColumn id="1893" xr3:uid="{33DC76D9-3B9A-6446-8608-2E53263026AD}" name="Column1875"/>
    <tableColumn id="1894" xr3:uid="{2C32B0E9-44BD-C943-AD5B-3BF4AB108BD8}" name="Column1876"/>
    <tableColumn id="1895" xr3:uid="{1BA4E7B0-6646-DE4F-A6EF-0D505F94B562}" name="Column1877"/>
    <tableColumn id="1896" xr3:uid="{5C6FB3B6-E7D5-A84B-97B6-9D1CEEA0A63E}" name="Column1878"/>
    <tableColumn id="1897" xr3:uid="{732E3374-A696-3248-BAC7-E45A141DE86F}" name="Column1879"/>
    <tableColumn id="1898" xr3:uid="{F85CA925-5E45-0147-A4E0-F5B7656C5683}" name="Column1880"/>
    <tableColumn id="1899" xr3:uid="{56503EA7-2669-8543-9C9A-4956EF46B771}" name="Column1881"/>
    <tableColumn id="1900" xr3:uid="{BAD95387-6B51-9246-BA88-5AB0257E9503}" name="Column1882"/>
    <tableColumn id="1901" xr3:uid="{A6848472-5FEF-F249-A6D2-EC3FE0F6A4D2}" name="Column1883"/>
    <tableColumn id="1902" xr3:uid="{53760725-2D04-5E4A-B021-2346E81DFC13}" name="Column1884"/>
    <tableColumn id="1903" xr3:uid="{21B290A6-1623-D840-9773-259AE8C4717B}" name="Column1885"/>
    <tableColumn id="1904" xr3:uid="{78166558-081C-3F42-B8BC-9D77E9E5544F}" name="Column1886"/>
    <tableColumn id="1905" xr3:uid="{C91B8A4E-9EB3-644D-BC99-8DDEC6052D5F}" name="Column1887"/>
    <tableColumn id="1906" xr3:uid="{05B6ED1C-1713-9E46-966F-EB127996B823}" name="Column1888"/>
    <tableColumn id="1907" xr3:uid="{A4DA344E-6988-774F-9980-D961754218C6}" name="Column1889"/>
    <tableColumn id="1908" xr3:uid="{D8C5CF49-92D3-4D46-9841-301D0141BDDA}" name="Column1890"/>
    <tableColumn id="1909" xr3:uid="{2326AE82-1016-BB45-AC33-C9BB1A00CC00}" name="Column1891"/>
    <tableColumn id="1910" xr3:uid="{C67A93AA-D680-B44D-876C-87D079934BBA}" name="Column1892"/>
    <tableColumn id="1911" xr3:uid="{8A971AD3-3F8A-E44E-9EF8-AFB907F4DD59}" name="Column1893"/>
    <tableColumn id="1912" xr3:uid="{154CDCDB-6172-CC4B-BD81-86EF3854A619}" name="Column1894"/>
    <tableColumn id="1913" xr3:uid="{963A5361-9A1F-FF44-941D-DF410313C4FC}" name="Column1895"/>
    <tableColumn id="1914" xr3:uid="{E98A165A-C89E-EA45-952F-116BA22F761E}" name="Column1896"/>
    <tableColumn id="1915" xr3:uid="{7BEEEBA8-CF78-B34E-834F-3255244BF8C0}" name="Column1897"/>
    <tableColumn id="1916" xr3:uid="{D9F957F4-AF58-A145-880E-990C44C761D3}" name="Column1898"/>
    <tableColumn id="1917" xr3:uid="{1302C8E3-2FFB-CC41-B6D5-30BBC11CBFA0}" name="Column1899"/>
    <tableColumn id="1918" xr3:uid="{E337A7C0-679C-3B4A-96E2-837C0BBAC90D}" name="Column1900"/>
    <tableColumn id="1919" xr3:uid="{A20CBA29-3F95-6A49-887B-DE3998EFDE96}" name="Column1901"/>
    <tableColumn id="1920" xr3:uid="{8E85A331-3F3A-464D-A7A3-CFA26B4D7AA1}" name="Column1902"/>
    <tableColumn id="1921" xr3:uid="{C73B7110-76E2-D844-A34F-B5D5D01C45A4}" name="Column1903"/>
    <tableColumn id="1922" xr3:uid="{0528B7A7-8C97-094D-BE47-A5728B2FB895}" name="Column1904"/>
    <tableColumn id="1923" xr3:uid="{15F82C6A-F498-924A-8EE5-B46F1465732B}" name="Column1905"/>
    <tableColumn id="1924" xr3:uid="{777BA112-2E13-1443-8E23-08D46FE72941}" name="Column1906"/>
    <tableColumn id="1925" xr3:uid="{5D7DBBDD-AC72-2744-A007-40ECA556FCEB}" name="Column1907"/>
    <tableColumn id="1926" xr3:uid="{45822738-BD60-E740-B6D9-58E5013D6546}" name="Column1908"/>
    <tableColumn id="1927" xr3:uid="{25474794-3C9D-A847-A4CD-D7B8259F3AAD}" name="Column1909"/>
    <tableColumn id="1928" xr3:uid="{A1EF7FA9-79A3-DC43-9774-B04E205B6EB7}" name="Column1910"/>
    <tableColumn id="1929" xr3:uid="{2D0C3293-6B62-8D41-8B0F-A933FCA3242C}" name="Column1911"/>
    <tableColumn id="1930" xr3:uid="{765C3A18-274F-EF49-A1D1-96555655A976}" name="Column1912"/>
    <tableColumn id="1931" xr3:uid="{D4F751B1-5EB8-D748-9004-0B005FC67042}" name="Column1913"/>
    <tableColumn id="1932" xr3:uid="{E6D4DAAF-A96B-A443-9ADF-C52CA8969302}" name="Column1914"/>
    <tableColumn id="1933" xr3:uid="{C3DA96E2-A205-F847-B39D-61851D13C4CF}" name="Column1915"/>
    <tableColumn id="1934" xr3:uid="{8663B2E3-DC5C-D94F-9294-7852967BA039}" name="Column1916"/>
    <tableColumn id="1935" xr3:uid="{E2939789-F2DD-DC42-BB6B-B776E172E268}" name="Column1917"/>
    <tableColumn id="1936" xr3:uid="{976E34C8-8820-2643-9448-CDC418A2D970}" name="Column1918"/>
    <tableColumn id="1937" xr3:uid="{74B7306C-81DD-2047-9AAB-AC640E73A165}" name="Column1919"/>
    <tableColumn id="1938" xr3:uid="{439A69DC-4F6B-5A42-9DE9-1A986A76D456}" name="Column1920"/>
    <tableColumn id="1939" xr3:uid="{C27DF542-5A40-DE4C-8B3D-3BD2186A1C0E}" name="Column1921"/>
    <tableColumn id="1940" xr3:uid="{9A2EFA29-6C7E-0E46-80FA-1B3DE8FB6736}" name="Column1922"/>
    <tableColumn id="1941" xr3:uid="{727B6E6D-5830-264E-8F89-7F940FDEFECD}" name="Column1923"/>
    <tableColumn id="1942" xr3:uid="{205D7642-1E9C-3344-99E0-5A17B7EACAA8}" name="Column1924"/>
    <tableColumn id="1943" xr3:uid="{10FD758A-D201-944D-888A-2C9B7869E489}" name="Column1925"/>
    <tableColumn id="1944" xr3:uid="{AADA17B0-A044-A442-BBED-2ABE24CF8C2D}" name="Column1926"/>
    <tableColumn id="1945" xr3:uid="{1B0F663F-F10B-0441-8A66-80711B2B9F18}" name="Column1927"/>
    <tableColumn id="1946" xr3:uid="{D850D330-8848-F14F-919D-7A73FAE808B2}" name="Column1928"/>
    <tableColumn id="1947" xr3:uid="{32257B11-9F88-E94F-914A-D73B2C4AA610}" name="Column1929"/>
    <tableColumn id="1948" xr3:uid="{C89DFA41-9E6E-0141-9C16-FD78370386C6}" name="Column1930"/>
    <tableColumn id="1949" xr3:uid="{234DE466-2256-3845-BBCF-D218966A5A9B}" name="Column1931"/>
    <tableColumn id="1950" xr3:uid="{6E3BD1D5-D5FF-C142-85CF-99FAA0A54A00}" name="Column1932"/>
    <tableColumn id="1951" xr3:uid="{A887A151-BDA2-EE4D-9E51-2CCBDB164CC6}" name="Column1933"/>
    <tableColumn id="1952" xr3:uid="{85683372-64AA-794E-AB52-FEF0B6BC9840}" name="Column1934"/>
    <tableColumn id="1953" xr3:uid="{8056EE39-AB49-BA46-AA87-EBE5A711F5E2}" name="Column1935"/>
    <tableColumn id="1954" xr3:uid="{902A7767-BC96-B343-A11C-D1970B206242}" name="Column1936"/>
    <tableColumn id="1955" xr3:uid="{B3609743-B173-EB40-B2D6-6382EDCFE6B7}" name="Column1937"/>
    <tableColumn id="1956" xr3:uid="{4941556A-2347-F84F-9F2F-C3145E93FCBF}" name="Column1938"/>
    <tableColumn id="1957" xr3:uid="{1EE447FC-39ED-BD40-BCFC-7DC175A63040}" name="Column1939"/>
    <tableColumn id="1958" xr3:uid="{334E583D-FE51-C146-8571-23624287CD0B}" name="Column1940"/>
    <tableColumn id="1959" xr3:uid="{8B556913-7413-C640-92F3-2002E3749402}" name="Column1941"/>
    <tableColumn id="1960" xr3:uid="{0C862040-D78B-BE4C-A04B-0962A21F0C3F}" name="Column1942"/>
    <tableColumn id="1961" xr3:uid="{37B2F778-FA9A-494C-9739-4C041F71EEF0}" name="Column1943"/>
    <tableColumn id="1962" xr3:uid="{D86A6082-F9C0-D042-AC9A-C4F8238F1F46}" name="Column1944"/>
    <tableColumn id="1963" xr3:uid="{3ADE047E-65DD-1149-AE31-A94A90276A46}" name="Column1945"/>
    <tableColumn id="1964" xr3:uid="{79646E5B-2BC3-D047-AC92-895B4EED5113}" name="Column1946"/>
    <tableColumn id="1965" xr3:uid="{490CBB40-035A-5742-8342-9DA5883505BA}" name="Column1947"/>
    <tableColumn id="1966" xr3:uid="{534BB3C6-7C75-2543-9674-0F38FCACA1F0}" name="Column1948"/>
    <tableColumn id="1967" xr3:uid="{0C5AC1A4-B60E-AE46-930F-1467F623CE4E}" name="Column1949"/>
    <tableColumn id="1968" xr3:uid="{584CEAD1-4EBD-3444-8CB8-805FBCA6FA2D}" name="Column1950"/>
    <tableColumn id="1969" xr3:uid="{A8D22AFE-0FCD-B64B-8F85-B5F9DBA41BCC}" name="Column1951"/>
    <tableColumn id="1970" xr3:uid="{FAAD3383-8B55-D34C-877E-3D890B2B06B8}" name="Column1952"/>
    <tableColumn id="1971" xr3:uid="{E88B2985-6C07-5944-B6E0-472854EE4C1D}" name="Column1953"/>
    <tableColumn id="1972" xr3:uid="{3324A09D-C657-5449-AA07-432C5993AB94}" name="Column1954"/>
    <tableColumn id="1973" xr3:uid="{729F7BBF-CB4F-A84D-AEBC-71623619BA4B}" name="Column1955"/>
    <tableColumn id="1974" xr3:uid="{AB599CA1-FD40-CB47-9E0B-49112C767D80}" name="Column1956"/>
    <tableColumn id="1975" xr3:uid="{E5E01E2C-BF81-F145-8DB6-2C1C3C680179}" name="Column1957"/>
    <tableColumn id="1976" xr3:uid="{9BF4DA5E-0208-0243-BFCE-7B7E0B9070B5}" name="Column1958"/>
    <tableColumn id="1977" xr3:uid="{074C5C08-A969-644E-B797-B04782593E9E}" name="Column1959"/>
    <tableColumn id="1978" xr3:uid="{A66066DC-281D-7B40-9169-3794B7151BFD}" name="Column1960"/>
    <tableColumn id="1979" xr3:uid="{95DF085B-A07D-6A49-89EA-46F6B9C9BF8D}" name="Column1961"/>
    <tableColumn id="1980" xr3:uid="{E7D1D0D5-5A86-9A43-9C9C-60E31A131F84}" name="Column1962"/>
    <tableColumn id="1981" xr3:uid="{B53B53AE-7513-334B-A5D3-A2232DC5312A}" name="Column1963"/>
    <tableColumn id="1982" xr3:uid="{8EB7D94F-A0AB-0247-A5A2-4A3ECCA2FFE4}" name="Column1964"/>
    <tableColumn id="1983" xr3:uid="{969D02E2-EFDE-4C4A-8038-1EC0D319AB59}" name="Column1965"/>
    <tableColumn id="1984" xr3:uid="{940D3558-9B84-C741-A02D-A48F3863744B}" name="Column1966"/>
    <tableColumn id="1985" xr3:uid="{4CC54E76-06AF-A349-B5C6-CBF66ECF2BC6}" name="Column1967"/>
    <tableColumn id="1986" xr3:uid="{E1A67571-60EE-3F48-A99D-2F10A9593700}" name="Column1968"/>
    <tableColumn id="1987" xr3:uid="{7160DD31-F2C9-2A49-9DD4-E9A779423F94}" name="Column1969"/>
    <tableColumn id="1988" xr3:uid="{EE542E1E-A640-8D40-8C11-F417DF3C4F30}" name="Column1970"/>
    <tableColumn id="1989" xr3:uid="{DEFACA36-11BA-AC40-9683-AB4E9DB3B32D}" name="Column1971"/>
    <tableColumn id="1990" xr3:uid="{4AA3FD7D-6624-1943-A77F-5D7E7B709880}" name="Column1972"/>
    <tableColumn id="1991" xr3:uid="{9F2084AB-EFBF-B34F-A753-2F0C9D0ECF09}" name="Column1973"/>
    <tableColumn id="1992" xr3:uid="{42C49708-B50B-6E41-B413-8D435BCF29B2}" name="Column1974"/>
    <tableColumn id="1993" xr3:uid="{4191B4CB-CF71-D346-AFEC-79DF448E45B1}" name="Column1975"/>
    <tableColumn id="1994" xr3:uid="{DA1589E2-F5FB-B549-BE9D-674B639D487C}" name="Column1976"/>
    <tableColumn id="1995" xr3:uid="{5C9E1C1E-7C39-0D45-84B5-0BC4E26F6C31}" name="Column1977"/>
    <tableColumn id="1996" xr3:uid="{A3A0EA16-ED7F-AA47-B5BB-603C64F701EE}" name="Column1978"/>
    <tableColumn id="1997" xr3:uid="{4B2641E6-9154-B34C-8018-79C9F2212A63}" name="Column1979"/>
    <tableColumn id="1998" xr3:uid="{EC987C64-E395-5140-B223-3181FACD3989}" name="Column1980"/>
    <tableColumn id="1999" xr3:uid="{DD1BB131-0E8B-BD4E-BAF3-1FE74448A6D4}" name="Column1981"/>
    <tableColumn id="2000" xr3:uid="{D2B7F27D-60D3-D04B-974D-78A565CE8960}" name="Column1982"/>
    <tableColumn id="2001" xr3:uid="{1E6BAAF0-49D7-3F4E-995F-451F77A5EF51}" name="Column1983"/>
    <tableColumn id="2002" xr3:uid="{0D7FE7D3-D524-0E40-9350-4A1D080048C0}" name="Column1984"/>
    <tableColumn id="2003" xr3:uid="{222602E7-BB29-F443-B533-74FA0D2B5B5A}" name="Column1985"/>
    <tableColumn id="2004" xr3:uid="{BC2B55E7-82AB-484E-BF67-EDCEBBB8CB98}" name="Column1986"/>
    <tableColumn id="2005" xr3:uid="{F114515A-A9F9-8742-9653-6D5076F349B5}" name="Column1987"/>
    <tableColumn id="2006" xr3:uid="{380E73FE-E558-3043-BEE7-6332F64DE59A}" name="Column1988"/>
    <tableColumn id="2007" xr3:uid="{25D847ED-FEEF-7E4B-8479-BA5C6B9775C6}" name="Column1989"/>
    <tableColumn id="2008" xr3:uid="{658BB367-2779-6B4F-B9F4-C7D3E38FD609}" name="Column1990"/>
    <tableColumn id="2009" xr3:uid="{5E909B88-7132-D443-87CD-4EF806F22B62}" name="Column1991"/>
    <tableColumn id="2010" xr3:uid="{CE634CB4-B2B5-E642-80F9-8B4A4E417578}" name="Column1992"/>
    <tableColumn id="2011" xr3:uid="{807DE3B9-D9BA-4145-991F-93E8391557AC}" name="Column1993"/>
    <tableColumn id="2012" xr3:uid="{2221B3EC-DD83-8247-8527-67C13E503DFB}" name="Column1994"/>
    <tableColumn id="2013" xr3:uid="{C100985C-62D8-8D4C-B01B-FF93EBF73208}" name="Column1995"/>
    <tableColumn id="2014" xr3:uid="{A8BEF7AD-2CD3-274C-9676-D53B7DB71863}" name="Column1996"/>
    <tableColumn id="2015" xr3:uid="{89B5B3E4-3E0C-FA4B-9BA4-38A386A8BB13}" name="Column1997"/>
    <tableColumn id="2016" xr3:uid="{E3CA0263-5DC2-524D-9F93-CF793DD60CE1}" name="Column1998"/>
    <tableColumn id="2017" xr3:uid="{B3CC4E46-711B-1149-AA82-BC4395B08355}" name="Column1999"/>
    <tableColumn id="2018" xr3:uid="{0D602428-02B7-FD45-912A-84C7E33C9685}" name="Column2000"/>
    <tableColumn id="2019" xr3:uid="{18EA75A5-3D02-E341-B4B4-49A0192C4F39}" name="Column2001"/>
    <tableColumn id="2020" xr3:uid="{69FCD636-EF34-8644-AA9D-C6C034E93EF0}" name="Column2002"/>
    <tableColumn id="2021" xr3:uid="{B21FE52F-51F9-5546-8BC2-54EDB25D58C2}" name="Column2003"/>
    <tableColumn id="2022" xr3:uid="{0C4A5CDD-355D-A542-AC9D-040129520809}" name="Column2004"/>
    <tableColumn id="2023" xr3:uid="{152CF592-1E79-1849-B901-E2022F35C569}" name="Column2005"/>
    <tableColumn id="2024" xr3:uid="{F60ECE2A-4CF5-2C46-881D-0999F703E538}" name="Column2006"/>
    <tableColumn id="2025" xr3:uid="{61998BF5-9287-E94D-BBED-6B280EFCAC62}" name="Column2007"/>
    <tableColumn id="2026" xr3:uid="{7F317A70-723D-6440-BE7E-0CD59B2146EE}" name="Column2008"/>
    <tableColumn id="2027" xr3:uid="{2A2109C1-CE4B-AD49-A53D-324954BF6B07}" name="Column2009"/>
    <tableColumn id="2028" xr3:uid="{265CCA76-B927-CB4C-B4AB-F48F9C099CB8}" name="Column2010"/>
    <tableColumn id="2029" xr3:uid="{D6C5BD9D-6E26-DC42-A46C-E9F4B4CF29EE}" name="Column2011"/>
    <tableColumn id="2030" xr3:uid="{E25C2279-E200-8F49-9A8B-19C3CBC5A9E9}" name="Column2012"/>
    <tableColumn id="2031" xr3:uid="{C5FF6F8E-730A-A546-B01C-BE1E354CDB90}" name="Column2013"/>
    <tableColumn id="2032" xr3:uid="{B2632260-4641-E643-99E3-E6FEF73CB79D}" name="Column2014"/>
    <tableColumn id="2033" xr3:uid="{D695110E-6673-C344-986B-13BC45D8E105}" name="Column2015"/>
    <tableColumn id="2034" xr3:uid="{62C626F8-D386-3445-8806-37D43A10CFAE}" name="Column2016"/>
    <tableColumn id="2035" xr3:uid="{BA72DFA7-E8FC-9741-94B3-40C517681D77}" name="Column2017"/>
    <tableColumn id="2036" xr3:uid="{4832972F-502B-0B4F-AB25-E2DC74B31F61}" name="Column2018"/>
    <tableColumn id="2037" xr3:uid="{3ABAA917-2DF3-F842-846E-033613A5B6A4}" name="Column2019"/>
    <tableColumn id="2038" xr3:uid="{BB954044-F7B0-CA42-AFBF-C81E6D0BB799}" name="Column2020"/>
    <tableColumn id="2039" xr3:uid="{0280D9C9-28FF-AF4B-B2E2-658FD35BA9D0}" name="Column2021"/>
    <tableColumn id="2040" xr3:uid="{7E20A810-080D-C643-9EEB-487DA9FA4D0A}" name="Column2022"/>
    <tableColumn id="2041" xr3:uid="{91A11E8A-6B2D-E84C-9DAF-554DB1EF41D5}" name="Column2023"/>
    <tableColumn id="2042" xr3:uid="{DB79B1E4-61D1-404E-A7D6-52104452B1E1}" name="Column2024"/>
    <tableColumn id="2043" xr3:uid="{75B02E98-49B1-FD44-8DB5-2B5080F5895D}" name="Column2025"/>
    <tableColumn id="2044" xr3:uid="{DC857720-3EB7-1C46-80CF-8FF10EB871FC}" name="Column2026"/>
    <tableColumn id="2045" xr3:uid="{B7DF0217-A3C7-4E4B-9505-7BFFB026566E}" name="Column2027"/>
    <tableColumn id="2046" xr3:uid="{9249ED19-A8F4-CE41-8DB4-AEB9BA94719C}" name="Column2028"/>
    <tableColumn id="2047" xr3:uid="{E4A2863F-103E-5240-A0F6-7B9DF3C8AD16}" name="Column2029"/>
    <tableColumn id="2048" xr3:uid="{6B782981-0575-1344-BA08-CD18388A7A03}" name="Column2030"/>
    <tableColumn id="2049" xr3:uid="{ECBC0800-B394-D845-9136-F3ADA874660B}" name="Column2031"/>
    <tableColumn id="2050" xr3:uid="{05E9AC3E-3806-144E-9BB9-460C29638D08}" name="Column2032"/>
    <tableColumn id="2051" xr3:uid="{54419D53-8B16-2842-8A41-E338629E39CA}" name="Column2033"/>
    <tableColumn id="2052" xr3:uid="{FF8F1D86-146A-F141-AD7C-11B798D0A2A3}" name="Column2034"/>
    <tableColumn id="2053" xr3:uid="{E02A727A-A83D-524F-91FE-8D5D31A17511}" name="Column2035"/>
    <tableColumn id="2054" xr3:uid="{6FBDA4AB-0EDF-5A43-9F23-79617367D187}" name="Column2036"/>
    <tableColumn id="2055" xr3:uid="{E1A4F378-C548-AC41-ACDA-3E5A3E325CF1}" name="Column2037"/>
    <tableColumn id="2056" xr3:uid="{4F167DC6-1528-F443-993E-4447004C61DA}" name="Column2038"/>
    <tableColumn id="2057" xr3:uid="{6D91F4F2-D49A-624E-BEED-0858118AE1D4}" name="Column2039"/>
    <tableColumn id="2058" xr3:uid="{0B28290F-EE35-1343-BC1B-6270998D90AA}" name="Column2040"/>
    <tableColumn id="2059" xr3:uid="{52B6E229-D9DB-1B4F-9947-60EC5B3D49A8}" name="Column2041"/>
    <tableColumn id="2060" xr3:uid="{968E8905-84ED-0A4A-B2F5-9C15C5AF4B8E}" name="Column2042"/>
    <tableColumn id="2061" xr3:uid="{52A342BD-DDF1-4F4A-9A8C-FC5E63130082}" name="Column2043"/>
    <tableColumn id="2062" xr3:uid="{5DEFB388-F4EF-1D4F-B0BE-E08A90D27F1C}" name="Column2044"/>
    <tableColumn id="2063" xr3:uid="{78856992-F63E-6641-8B85-B51B88433099}" name="Column2045"/>
    <tableColumn id="2064" xr3:uid="{38C8A599-7E00-FC43-A6CF-AC118FF81420}" name="Column2046"/>
    <tableColumn id="2065" xr3:uid="{2F08F656-F47B-E740-A66D-9000E3AB3955}" name="Column2047"/>
    <tableColumn id="2066" xr3:uid="{F80D07E4-F5DA-AC42-B0CD-4A5B18E1996C}" name="Column2048"/>
    <tableColumn id="2067" xr3:uid="{CADF1E60-696B-7B41-B4B3-993260C782E0}" name="Column2049"/>
    <tableColumn id="2068" xr3:uid="{98469A61-ADBB-F34F-AD5C-BE2DE6FA84F4}" name="Column2050"/>
    <tableColumn id="2069" xr3:uid="{7ADB30CE-6C38-7442-A7D1-05408030EBFF}" name="Column2051"/>
    <tableColumn id="2070" xr3:uid="{D79057EF-4527-AB44-A633-C07842601810}" name="Column2052"/>
    <tableColumn id="2071" xr3:uid="{1C98B63C-DD51-0042-AC75-46635501803B}" name="Column2053"/>
    <tableColumn id="2072" xr3:uid="{A24B3219-7B27-0E4A-85D2-1A6AAF978D53}" name="Column2054"/>
    <tableColumn id="2073" xr3:uid="{6CC17FF5-6604-714B-96EF-76A87838E611}" name="Column2055"/>
    <tableColumn id="2074" xr3:uid="{7BD5A3A1-DC49-F04F-9A18-0850B62B4BAB}" name="Column2056"/>
    <tableColumn id="2075" xr3:uid="{C61552BA-2FAC-6749-829A-372F7B79B1D5}" name="Column2057"/>
    <tableColumn id="2076" xr3:uid="{3AC926EB-D8EF-8B43-9027-1C1C58F02550}" name="Column2058"/>
    <tableColumn id="2077" xr3:uid="{747C585D-7BD9-714B-A6CD-B95C4D7C0B30}" name="Column2059"/>
    <tableColumn id="2078" xr3:uid="{8FB7D0E5-2A85-F94F-94CC-CF247F91AFAE}" name="Column2060"/>
    <tableColumn id="2079" xr3:uid="{E2324906-BD3C-324D-869F-BB38FA8E27DE}" name="Column2061"/>
    <tableColumn id="2080" xr3:uid="{299CE93E-B322-C440-8F28-A32A9A0E6D89}" name="Column2062"/>
    <tableColumn id="2081" xr3:uid="{A1B1BC4D-D30E-414D-B6C4-6C9863910F28}" name="Column2063"/>
    <tableColumn id="2082" xr3:uid="{7551E517-8CB2-834A-A3E9-90B2F3283A6E}" name="Column2064"/>
    <tableColumn id="2083" xr3:uid="{66A42D7A-D0DE-A046-8243-9E4F7FD454EC}" name="Column2065"/>
    <tableColumn id="2084" xr3:uid="{F60E8B5B-AC9E-F440-AB2C-3FD157BD3753}" name="Column2066"/>
    <tableColumn id="2085" xr3:uid="{59E12611-7592-4040-80C5-47754D1B39E9}" name="Column2067"/>
    <tableColumn id="2086" xr3:uid="{EDF4F0D4-8A3C-6743-B7E3-2D7D66D81F21}" name="Column2068"/>
    <tableColumn id="2087" xr3:uid="{F903FDFE-B2E4-2B44-949C-7A2DF60EAB47}" name="Column2069"/>
    <tableColumn id="2088" xr3:uid="{3AFAC86C-9D42-A847-88C8-A1232ED42B0D}" name="Column2070"/>
    <tableColumn id="2089" xr3:uid="{16BEAB36-67FA-3A45-8F1A-37747701CACF}" name="Column2071"/>
    <tableColumn id="2090" xr3:uid="{805A0942-9CBB-FC4D-BE84-76A0F2614D47}" name="Column2072"/>
    <tableColumn id="2091" xr3:uid="{20DA05DD-858E-4740-97FA-BD83307BADA0}" name="Column2073"/>
    <tableColumn id="2092" xr3:uid="{EC346B17-4E29-F14F-8F23-9B35DB7D7D3D}" name="Column2074"/>
    <tableColumn id="2093" xr3:uid="{CCA0B80F-CD59-2147-94D9-007D83DB3183}" name="Column2075"/>
    <tableColumn id="2094" xr3:uid="{CF11B79C-7537-9B48-B798-E939BB5A6D2F}" name="Column2076"/>
    <tableColumn id="2095" xr3:uid="{AC450AA8-0A30-B345-BE78-A1A19B91F6CF}" name="Column2077"/>
    <tableColumn id="2096" xr3:uid="{CB622AD0-EB50-0240-BF6B-36B97E4E17D9}" name="Column2078"/>
    <tableColumn id="2097" xr3:uid="{57B9A0FC-558D-6B45-A1CB-5B40FC5564F2}" name="Column2079"/>
    <tableColumn id="2098" xr3:uid="{9C3F9707-9E34-8C4C-A457-CB257698068F}" name="Column2080"/>
    <tableColumn id="2099" xr3:uid="{2024CCAB-C228-9C4A-8E4A-253D4201A021}" name="Column2081"/>
    <tableColumn id="2100" xr3:uid="{B661C47A-F226-944A-BEED-73B6ED0C4761}" name="Column2082"/>
    <tableColumn id="2101" xr3:uid="{B0892BFE-1F8D-B34F-94E9-1D871C480590}" name="Column2083"/>
    <tableColumn id="2102" xr3:uid="{89604E96-891A-3945-82BF-D470B7C5B6D5}" name="Column2084"/>
    <tableColumn id="2103" xr3:uid="{27EAB5ED-7998-764D-84D5-2AF42BBA1385}" name="Column2085"/>
    <tableColumn id="2104" xr3:uid="{BED56386-B796-8344-89F5-541A2AC7F6F0}" name="Column2086"/>
    <tableColumn id="2105" xr3:uid="{D1254955-3583-444F-85E3-0D3EF93DD261}" name="Column2087"/>
    <tableColumn id="2106" xr3:uid="{F87E4DA1-8E62-A24D-A649-C2F471518270}" name="Column2088"/>
    <tableColumn id="2107" xr3:uid="{9453C0EC-7699-8940-B204-916DE701CD7E}" name="Column2089"/>
    <tableColumn id="2108" xr3:uid="{B5F73964-9BC3-CE40-948D-1AF459838BAB}" name="Column2090"/>
    <tableColumn id="2109" xr3:uid="{B294FC14-DBFF-C04C-B61A-E56ADD17DE30}" name="Column2091"/>
    <tableColumn id="2110" xr3:uid="{F372C433-7531-9D41-B907-60BB0CCC829A}" name="Column2092"/>
    <tableColumn id="2111" xr3:uid="{09AABF27-FEC6-1440-9A25-92F3391EBA30}" name="Column2093"/>
    <tableColumn id="2112" xr3:uid="{17F830D3-998B-404E-97A0-13B32C285806}" name="Column2094"/>
    <tableColumn id="2113" xr3:uid="{FB05335B-44B6-C649-A232-A8204EF9ECB1}" name="Column2095"/>
    <tableColumn id="2114" xr3:uid="{602186D8-03AE-9B43-8029-0A72610B9D6E}" name="Column2096"/>
    <tableColumn id="2115" xr3:uid="{F2E168DC-D872-E04B-85AE-FDE7608334AF}" name="Column2097"/>
    <tableColumn id="2116" xr3:uid="{49FEA254-F8D8-7F41-8F8E-CBE295964172}" name="Column2098"/>
    <tableColumn id="2117" xr3:uid="{63CE033B-842A-704D-91E9-179D5514AA18}" name="Column2099"/>
    <tableColumn id="2118" xr3:uid="{A86E9C7C-E43D-8E43-9E5A-EC87F7738CC0}" name="Column2100"/>
    <tableColumn id="2119" xr3:uid="{33149793-4EA1-8046-B69F-B42FE654C349}" name="Column2101"/>
    <tableColumn id="2120" xr3:uid="{7159EC88-C0B7-AB46-A0FB-079AD0900AC1}" name="Column2102"/>
    <tableColumn id="2121" xr3:uid="{5D82DAC7-0518-EB43-AF6A-6F910A6BEE79}" name="Column2103"/>
    <tableColumn id="2122" xr3:uid="{01E1A395-FC72-5D4A-9CFC-66F5BE47FB30}" name="Column2104"/>
    <tableColumn id="2123" xr3:uid="{228411E9-AA03-E84C-93F4-D47AE9E66E61}" name="Column2105"/>
    <tableColumn id="2124" xr3:uid="{E5BFCC22-E618-FD41-B19B-AB4F706EF329}" name="Column2106"/>
    <tableColumn id="2125" xr3:uid="{CABD0811-29E8-0945-B005-ECBBFE2DDE68}" name="Column2107"/>
    <tableColumn id="2126" xr3:uid="{9737132A-7A33-1540-A6B0-575D3608F3D5}" name="Column2108"/>
    <tableColumn id="2127" xr3:uid="{D0F48174-C421-374B-AD8E-07B9AB6E59F9}" name="Column2109"/>
    <tableColumn id="2128" xr3:uid="{E5612B5A-6DA3-AB46-8638-437E0491E9B7}" name="Column2110"/>
    <tableColumn id="2129" xr3:uid="{CCA1F79C-2EE2-294D-BC7E-C83CAE2E75F7}" name="Column2111"/>
    <tableColumn id="2130" xr3:uid="{0CC6E9F2-851F-D441-A3F1-EDBB6AE808B8}" name="Column2112"/>
    <tableColumn id="2131" xr3:uid="{1F0ABDEC-8D7E-D348-BEDA-DB9B99874B03}" name="Column2113"/>
    <tableColumn id="2132" xr3:uid="{A819E99B-4980-F144-94F9-2E0AF34F4A69}" name="Column2114"/>
    <tableColumn id="2133" xr3:uid="{E30CCA91-0A6B-7A49-A596-9B74D4FBCCF4}" name="Column2115"/>
    <tableColumn id="2134" xr3:uid="{E7A295D0-068D-6B4E-BCEE-962CDA0E3F3C}" name="Column2116"/>
    <tableColumn id="2135" xr3:uid="{ED8DD042-0518-6040-AA6E-524970298731}" name="Column2117"/>
    <tableColumn id="2136" xr3:uid="{6DEE3D3B-F731-154A-9522-B5A94648BE28}" name="Column2118"/>
    <tableColumn id="2137" xr3:uid="{AD7B281F-BA90-304C-9F40-4B3299241C1A}" name="Column2119"/>
    <tableColumn id="2138" xr3:uid="{994CEF9B-FA30-904D-AA01-67D4E91E46C6}" name="Column2120"/>
    <tableColumn id="2139" xr3:uid="{F559D176-C72A-E44C-A282-16CC9EE752CD}" name="Column2121"/>
    <tableColumn id="2140" xr3:uid="{15B56CDE-8117-DD4A-AA22-933933D0B50D}" name="Column2122"/>
    <tableColumn id="2141" xr3:uid="{CD10124C-B9CB-6F43-8052-495089E94830}" name="Column2123"/>
    <tableColumn id="2142" xr3:uid="{DAB2935C-8845-3F46-AEFC-EC2B1FDF769A}" name="Column2124"/>
    <tableColumn id="2143" xr3:uid="{2D072992-D2B0-BC4C-8343-96EA6F611C33}" name="Column2125"/>
    <tableColumn id="2144" xr3:uid="{01EF4D5C-648E-EF48-9748-276F151EE3D4}" name="Column2126"/>
    <tableColumn id="2145" xr3:uid="{AD709061-BB09-7E44-BD43-08D4120D480D}" name="Column2127"/>
    <tableColumn id="2146" xr3:uid="{D10E0A29-AA47-1445-896B-380294CC7B52}" name="Column2128"/>
    <tableColumn id="2147" xr3:uid="{E7191AB6-FB53-EF40-BB2B-CD8A6DF54775}" name="Column2129"/>
    <tableColumn id="2148" xr3:uid="{F17C0766-CF28-3140-9937-30B257613998}" name="Column2130"/>
    <tableColumn id="2149" xr3:uid="{F15B9AB2-947A-B645-92F7-9D6F5A93C270}" name="Column2131"/>
    <tableColumn id="2150" xr3:uid="{1B300EFD-2518-464A-A60A-B7C59CB94C18}" name="Column2132"/>
    <tableColumn id="2151" xr3:uid="{672A81A6-FFAE-CD4B-88FC-4329F8ADCD02}" name="Column2133"/>
    <tableColumn id="2152" xr3:uid="{894BFBB8-F194-1D48-A75D-E2FA74623011}" name="Column2134"/>
    <tableColumn id="2153" xr3:uid="{5BF015DD-5C7E-C441-B19C-E23B0E3E9954}" name="Column2135"/>
    <tableColumn id="2154" xr3:uid="{CE86DF3E-6D70-E846-A52F-C010C45D0144}" name="Column2136"/>
    <tableColumn id="2155" xr3:uid="{2526BEA2-EF9E-4B48-B468-8DADFE9E2C05}" name="Column2137"/>
    <tableColumn id="2156" xr3:uid="{A319640F-8CD2-9143-B1D8-1FE905648AEA}" name="Column2138"/>
    <tableColumn id="2157" xr3:uid="{B63A46CD-1B8B-F546-8BA4-82BEF8F688B8}" name="Column2139"/>
    <tableColumn id="2158" xr3:uid="{3D1B229B-B141-6E40-87CB-B7E95E9D6B7B}" name="Column2140"/>
    <tableColumn id="2159" xr3:uid="{99FAF530-5509-C346-90D5-F10EEFA0B8AD}" name="Column2141"/>
    <tableColumn id="2160" xr3:uid="{4BB0D0B5-29F2-874C-A813-5C19A6C83558}" name="Column2142"/>
    <tableColumn id="2161" xr3:uid="{594DD724-8813-8945-9672-020A4A71E321}" name="Column2143"/>
    <tableColumn id="2162" xr3:uid="{C985E9A7-7E97-0243-9D1C-D16B6B744D6F}" name="Column2144"/>
    <tableColumn id="2163" xr3:uid="{300F69F7-3015-694D-BE2A-42A9BAC28BC0}" name="Column2145"/>
    <tableColumn id="2164" xr3:uid="{4431DC7F-B567-2D42-BF01-DAC3F5E5C080}" name="Column2146"/>
    <tableColumn id="2165" xr3:uid="{6A062F0E-B259-9943-A883-CDF9C96EF3E9}" name="Column2147"/>
    <tableColumn id="2166" xr3:uid="{84798CA9-6CB5-3449-A7DF-07F1884884F4}" name="Column2148"/>
    <tableColumn id="2167" xr3:uid="{60D20F27-DE30-E749-9BA5-2C999795A373}" name="Column2149"/>
    <tableColumn id="2168" xr3:uid="{8C67D9D5-2C3F-8640-8FE0-1A69577DD38C}" name="Column2150"/>
    <tableColumn id="2169" xr3:uid="{17CBEEE2-15D9-8D47-94F9-EDB27E999736}" name="Column2151"/>
    <tableColumn id="2170" xr3:uid="{EE958DA0-8355-9949-9E79-60450B12EE1C}" name="Column2152"/>
    <tableColumn id="2171" xr3:uid="{664D7C98-D477-1C40-8118-01CD5B332EA4}" name="Column2153"/>
    <tableColumn id="2172" xr3:uid="{0317A0F3-EEF7-8747-8B3A-BB0079E204F4}" name="Column2154"/>
    <tableColumn id="2173" xr3:uid="{8EE6BD7E-1C14-0C4E-99ED-73FB65D5A372}" name="Column2155"/>
    <tableColumn id="2174" xr3:uid="{11AE415F-B535-0541-9363-BB74AAA3EC8F}" name="Column2156"/>
    <tableColumn id="2175" xr3:uid="{1BC971B2-2AED-BF42-9A20-E571A526817E}" name="Column2157"/>
    <tableColumn id="2176" xr3:uid="{E71B86F0-6F30-3F48-8FC2-528414127081}" name="Column2158"/>
    <tableColumn id="2177" xr3:uid="{5BE26990-E7AA-6841-A7DE-C25358D74CBE}" name="Column2159"/>
    <tableColumn id="2178" xr3:uid="{89B6DEF2-F303-804D-ADC8-F73B79F39E24}" name="Column2160"/>
    <tableColumn id="2179" xr3:uid="{A6B61761-E5E9-554C-96B0-5B08B535F440}" name="Column2161"/>
    <tableColumn id="2180" xr3:uid="{8C8D9340-56EA-C347-9193-0AFB05F75250}" name="Column2162"/>
    <tableColumn id="2181" xr3:uid="{518FFDE8-831C-A445-932D-1D807B35C012}" name="Column2163"/>
    <tableColumn id="2182" xr3:uid="{01251B49-94F6-3948-B8EC-BDFCB2B64612}" name="Column2164"/>
    <tableColumn id="2183" xr3:uid="{014F4FFD-8F42-7F44-A2FA-2436459D363E}" name="Column2165"/>
    <tableColumn id="2184" xr3:uid="{E91D98E7-D54D-A942-8D8F-2AED790F0EA4}" name="Column2166"/>
    <tableColumn id="2185" xr3:uid="{C144A7FA-FB09-C74B-B317-4B72DF2A6FFF}" name="Column2167"/>
    <tableColumn id="2186" xr3:uid="{6538D9C3-89EF-0945-A37F-70BC42BE277A}" name="Column2168"/>
    <tableColumn id="2187" xr3:uid="{6F7D850A-C77C-9745-81CA-A4BBAD25B19B}" name="Column2169"/>
    <tableColumn id="2188" xr3:uid="{F3842FF3-7556-7A41-916C-016D208B80EE}" name="Column2170"/>
    <tableColumn id="2189" xr3:uid="{99E85005-C504-7C4F-B39C-4E3C3857725C}" name="Column2171"/>
    <tableColumn id="2190" xr3:uid="{DDDA35C5-7D03-6148-9A1E-62A0F16EE724}" name="Column2172"/>
    <tableColumn id="2191" xr3:uid="{E89C785F-4AD1-1B42-A4C5-9F589EA51FBD}" name="Column2173"/>
    <tableColumn id="2192" xr3:uid="{BCEC1370-4C7B-E64E-9846-EBE46CBD190B}" name="Column2174"/>
    <tableColumn id="2193" xr3:uid="{D5DB4A05-1DA5-E14F-9019-1EA6C4B4AF53}" name="Column2175"/>
    <tableColumn id="2194" xr3:uid="{5DC42606-8940-B54C-9294-D08FE5DFAD3E}" name="Column2176"/>
    <tableColumn id="2195" xr3:uid="{0DAD2F1F-C4EB-EA4B-A8F9-7C1D65E06344}" name="Column2177"/>
    <tableColumn id="2196" xr3:uid="{A903D7F2-9886-724F-A36B-67DE09FA39D5}" name="Column2178"/>
    <tableColumn id="2197" xr3:uid="{735B6BC0-B373-7F4A-AF73-4968598DBADB}" name="Column2179"/>
    <tableColumn id="2198" xr3:uid="{5371E551-294D-2E4F-9D4A-ACD192075195}" name="Column2180"/>
    <tableColumn id="2199" xr3:uid="{D958665A-73BF-9442-9CED-7FB94B7641A9}" name="Column2181"/>
    <tableColumn id="2200" xr3:uid="{D470FA91-7F4D-9C48-9F44-8B115363ED0D}" name="Column2182"/>
    <tableColumn id="2201" xr3:uid="{E509168E-7BD0-AA4D-AC64-04980C53B84E}" name="Column2183"/>
    <tableColumn id="2202" xr3:uid="{5573BA3A-F473-1A46-8E4E-DB2C93191186}" name="Column2184"/>
    <tableColumn id="2203" xr3:uid="{D60E5508-51D5-4548-9082-2B5D834FD127}" name="Column2185"/>
    <tableColumn id="2204" xr3:uid="{6A03B39D-E19E-0A49-88DA-285BB96BFDB1}" name="Column2186"/>
    <tableColumn id="2205" xr3:uid="{2BF2F566-2803-CC4F-85C2-02A0467C57EA}" name="Column2187"/>
    <tableColumn id="2206" xr3:uid="{F0CFFCBA-21A2-F149-B18D-EEE2D50F6F73}" name="Column2188"/>
    <tableColumn id="2207" xr3:uid="{ACAFCA9F-1253-B74B-B3EC-17C0C6D404F9}" name="Column2189"/>
    <tableColumn id="2208" xr3:uid="{C34EFDCC-69D0-7341-B6EE-7EEBF7BDA013}" name="Column2190"/>
    <tableColumn id="2209" xr3:uid="{DDFE8ADF-F5D2-2B4B-A7BD-80C48C82937E}" name="Column2191"/>
    <tableColumn id="2210" xr3:uid="{CCF99DD8-6B5C-2E49-A467-9FC8F1C98258}" name="Column2192"/>
    <tableColumn id="2211" xr3:uid="{22E435D0-1CF0-254D-9BE7-26E5460BF612}" name="Column2193"/>
    <tableColumn id="2212" xr3:uid="{0D1ACA78-F467-C146-BB9E-7CB625EC7E97}" name="Column2194"/>
    <tableColumn id="2213" xr3:uid="{4F61D5E3-196C-6A4B-B18F-EEB8B070282F}" name="Column2195"/>
    <tableColumn id="2214" xr3:uid="{5BD08784-F831-D74D-8136-16A0716208E8}" name="Column2196"/>
    <tableColumn id="2215" xr3:uid="{AB426DFA-850A-814A-A0B6-C5452BB3378B}" name="Column2197"/>
    <tableColumn id="2216" xr3:uid="{C1A3AEE2-A627-5345-8CCC-7267076DB506}" name="Column2198"/>
    <tableColumn id="2217" xr3:uid="{B24891F3-19CA-BC41-9820-9DD53B8AC05F}" name="Column2199"/>
    <tableColumn id="2218" xr3:uid="{75FB1DB5-0523-3B44-8632-0BA1A218CFF5}" name="Column2200"/>
    <tableColumn id="2219" xr3:uid="{B9825EBC-4F5C-FB41-9DD2-3737C3E6A705}" name="Column2201"/>
    <tableColumn id="2220" xr3:uid="{11B006C1-B640-AE4F-B068-CF878F0DA267}" name="Column2202"/>
    <tableColumn id="2221" xr3:uid="{E8DE7F21-9B09-BB41-9A3B-77B3BDBFB0DA}" name="Column2203"/>
    <tableColumn id="2222" xr3:uid="{65044BFD-596E-2144-9339-D4F7A7B47F98}" name="Column2204"/>
    <tableColumn id="2223" xr3:uid="{D2FDAB64-14DA-0B4B-A6C5-63956EC2437A}" name="Column2205"/>
    <tableColumn id="2224" xr3:uid="{E587D61F-5846-C748-B859-B67EFDDF0F6D}" name="Column2206"/>
    <tableColumn id="2225" xr3:uid="{CFC0762A-2463-DE49-94C4-127F40F82321}" name="Column2207"/>
    <tableColumn id="2226" xr3:uid="{CC079BAA-B09F-A642-81F5-28A7B5712DC0}" name="Column2208"/>
    <tableColumn id="2227" xr3:uid="{C5F05D16-DE6D-1F41-8751-6557B57C57BA}" name="Column2209"/>
    <tableColumn id="2228" xr3:uid="{A35439C6-1DDF-C243-BAE0-BC49578CA80C}" name="Column2210"/>
    <tableColumn id="2229" xr3:uid="{B863A0BF-B96B-A44A-BCCC-AF2A5BCA0831}" name="Column2211"/>
    <tableColumn id="2230" xr3:uid="{37D8D4B9-BA03-CE41-81CE-4407E02E7F7B}" name="Column2212"/>
    <tableColumn id="2231" xr3:uid="{FC960E1D-8506-964D-B3F7-2EA55C48EBAD}" name="Column2213"/>
    <tableColumn id="2232" xr3:uid="{5957EE8F-C3D9-1E4C-9012-B3FF38255521}" name="Column2214"/>
    <tableColumn id="2233" xr3:uid="{7585CCDC-CBAF-DF42-974A-DEDF5E3892D2}" name="Column2215"/>
    <tableColumn id="2234" xr3:uid="{770FEDE7-B785-F54B-8DE8-4302E1A5BABB}" name="Column2216"/>
    <tableColumn id="2235" xr3:uid="{74AA1810-EBE0-5D47-AB49-E5264FE2F449}" name="Column2217"/>
    <tableColumn id="2236" xr3:uid="{07A14EB6-5ADA-FB44-9639-2EF9DD10F038}" name="Column2218"/>
    <tableColumn id="2237" xr3:uid="{65DDBC0C-4476-FD47-A4B4-57323E2F65E4}" name="Column2219"/>
    <tableColumn id="2238" xr3:uid="{C1849ABE-A7DA-2D48-8D30-FCF2F59263AB}" name="Column2220"/>
    <tableColumn id="2239" xr3:uid="{A788F016-81C8-0A40-8528-D05B358847CD}" name="Column2221"/>
    <tableColumn id="2240" xr3:uid="{9A43C557-F18C-3144-AA6D-33C694424F0C}" name="Column2222"/>
    <tableColumn id="2241" xr3:uid="{D115064B-918E-C84B-A40D-BB70D37B9D4F}" name="Column2223"/>
    <tableColumn id="2242" xr3:uid="{946904A7-F7BA-654B-AF8A-D913C342CAD3}" name="Column2224"/>
    <tableColumn id="2243" xr3:uid="{F31228BD-28E6-AE44-8A26-AEED14A20CE1}" name="Column2225"/>
    <tableColumn id="2244" xr3:uid="{A8676EB3-0B8F-6541-ADBE-3D710DCECC55}" name="Column2226"/>
    <tableColumn id="2245" xr3:uid="{8F61F6FF-8A3A-4142-9A24-1F8CD72281A2}" name="Column2227"/>
    <tableColumn id="2246" xr3:uid="{8B3B7F57-67D5-E74A-81ED-EB30B9FFF0D8}" name="Column2228"/>
    <tableColumn id="2247" xr3:uid="{9BA66170-D163-844E-9546-933A0175CA15}" name="Column2229"/>
    <tableColumn id="2248" xr3:uid="{BAE59674-E9B5-F843-AD4D-9648FA10FFDA}" name="Column2230"/>
    <tableColumn id="2249" xr3:uid="{9E1B7BF5-3794-5346-BC40-9495D23183B9}" name="Column2231"/>
    <tableColumn id="2250" xr3:uid="{E915CF90-7781-A344-81BD-24B60A6B86A2}" name="Column2232"/>
    <tableColumn id="2251" xr3:uid="{429799D9-EAEB-6240-BA2E-1FF91EDCFD48}" name="Column2233"/>
    <tableColumn id="2252" xr3:uid="{75CB0A40-0CCB-4A42-931C-1B60FDEA9071}" name="Column2234"/>
    <tableColumn id="2253" xr3:uid="{074749CC-E782-0A4C-B07E-60A9D18E04AB}" name="Column2235"/>
    <tableColumn id="2254" xr3:uid="{2C0C49CA-72B4-1D47-A624-853992B12ED7}" name="Column2236"/>
    <tableColumn id="2255" xr3:uid="{3AD9FD4E-0EB7-1247-9E1D-BAB666B8157D}" name="Column2237"/>
    <tableColumn id="2256" xr3:uid="{C7753F59-EF3C-CD49-A548-79485C749229}" name="Column2238"/>
    <tableColumn id="2257" xr3:uid="{F7194939-4328-054A-9545-49D14AB427D6}" name="Column2239"/>
    <tableColumn id="2258" xr3:uid="{8C7FF03E-68EB-C34A-9470-4D491319F628}" name="Column2240"/>
    <tableColumn id="2259" xr3:uid="{E19DD398-00CB-D447-A472-0B301E8C9DA4}" name="Column2241"/>
    <tableColumn id="2260" xr3:uid="{F9B318F2-221F-F44A-BF72-52C47DA83988}" name="Column2242"/>
    <tableColumn id="2261" xr3:uid="{77BE55AC-DE4B-3843-A7E1-79157AD17864}" name="Column2243"/>
    <tableColumn id="2262" xr3:uid="{B77DF3E2-CF9B-9840-9D5E-CF48F3B5DDFB}" name="Column2244"/>
    <tableColumn id="2263" xr3:uid="{50E88C42-997B-8940-AF37-D9740DD16ADE}" name="Column2245"/>
    <tableColumn id="2264" xr3:uid="{EFEA08C1-589C-5A4F-99B2-FCDF3CCC368B}" name="Column2246"/>
    <tableColumn id="2265" xr3:uid="{B0FDACA9-0F24-C64B-B7D5-491C36FE10D1}" name="Column2247"/>
    <tableColumn id="2266" xr3:uid="{8EA1ED5E-D88E-7446-9681-C371AA2FFB9C}" name="Column2248"/>
    <tableColumn id="2267" xr3:uid="{FC61B416-9670-364F-A5F1-2BB44C124D36}" name="Column2249"/>
    <tableColumn id="2268" xr3:uid="{745D423F-3F89-ED47-A7A1-92C67D919207}" name="Column2250"/>
    <tableColumn id="2269" xr3:uid="{D6F9DB66-61C8-9B49-A262-AA472B8B850C}" name="Column2251"/>
    <tableColumn id="2270" xr3:uid="{F35BC896-8D1D-3E44-A38B-1B61B6BD9A16}" name="Column2252"/>
    <tableColumn id="2271" xr3:uid="{D144A47E-F92F-CB49-9CDA-4804B0B1F954}" name="Column2253"/>
    <tableColumn id="2272" xr3:uid="{3B268E94-E069-8A4A-A625-951A55C1DA6B}" name="Column2254"/>
    <tableColumn id="2273" xr3:uid="{77C1E7FA-8476-FD4A-97BB-3C65EE062DE4}" name="Column2255"/>
    <tableColumn id="2274" xr3:uid="{A197951D-6B7D-DA41-9BA6-067C5C011DCC}" name="Column2256"/>
    <tableColumn id="2275" xr3:uid="{2F55272C-983A-794C-825B-64B1597C9A52}" name="Column2257"/>
    <tableColumn id="2276" xr3:uid="{F4BDFF7F-3A64-5048-92CF-FE175673CFB1}" name="Column2258"/>
    <tableColumn id="2277" xr3:uid="{8829ED88-4E69-EE4F-A277-1BADC01198A1}" name="Column2259"/>
    <tableColumn id="2278" xr3:uid="{14E05916-4600-B149-8FAB-AC2A5C6A5AB9}" name="Column2260"/>
    <tableColumn id="2279" xr3:uid="{90CCD94E-75D6-2B44-BFEC-CA8203A0AB4A}" name="Column2261"/>
    <tableColumn id="2280" xr3:uid="{969B6FD1-E769-1A49-9CBA-97F946C81744}" name="Column2262"/>
    <tableColumn id="2281" xr3:uid="{356E3D19-16CB-8642-AA0D-3282F2E2D10E}" name="Column2263"/>
    <tableColumn id="2282" xr3:uid="{DCE2E31E-4394-6D45-857C-C04E32EB1E19}" name="Column2264"/>
    <tableColumn id="2283" xr3:uid="{8BACFEE0-7482-DF46-A5DF-5495D806A091}" name="Column2265"/>
    <tableColumn id="2284" xr3:uid="{7EFB928F-D1D7-804D-9C67-24E9ECEFEEF6}" name="Column2266"/>
    <tableColumn id="2285" xr3:uid="{A1FE77DF-55E4-7347-9DF9-658EC503D66D}" name="Column2267"/>
    <tableColumn id="2286" xr3:uid="{C8A9A10B-9DA7-E94B-A6B1-0962A0C42E5F}" name="Column2268"/>
    <tableColumn id="2287" xr3:uid="{18B2E11C-A155-C540-950D-74C9C958FCA2}" name="Column2269"/>
    <tableColumn id="2288" xr3:uid="{5E2DDB4C-783C-7B46-A44F-3CC4B8421CFC}" name="Column2270"/>
    <tableColumn id="2289" xr3:uid="{B752779E-7F0F-C647-BB88-A82A41A39797}" name="Column2271"/>
    <tableColumn id="2290" xr3:uid="{2E531A95-2DB6-4048-9355-EE8023E4D2E1}" name="Column2272"/>
    <tableColumn id="2291" xr3:uid="{357C9208-3A83-FD42-8021-3C822377ADD0}" name="Column2273"/>
    <tableColumn id="2292" xr3:uid="{D0E12B26-43B5-684D-8D3C-4F77D19E30F0}" name="Column2274"/>
    <tableColumn id="2293" xr3:uid="{4FD1C634-0538-B440-943E-7F2A13B70C58}" name="Column2275"/>
    <tableColumn id="2294" xr3:uid="{77AE69E3-6F4A-7C4F-A812-50CB70B88E68}" name="Column2276"/>
    <tableColumn id="2295" xr3:uid="{D8460834-A7B4-2344-A575-A27E227C5BAE}" name="Column2277"/>
    <tableColumn id="2296" xr3:uid="{42CA96D6-AB4D-2148-82E2-9AE9E47E9EE4}" name="Column2278"/>
    <tableColumn id="2297" xr3:uid="{3E77D312-A339-C64A-A705-C179B5EAD2BD}" name="Column2279"/>
    <tableColumn id="2298" xr3:uid="{10B1F08E-D8B6-EC43-965B-AFD921D412BD}" name="Column2280"/>
    <tableColumn id="2299" xr3:uid="{41FD5993-2C6B-6345-AF7A-A5714A9030DE}" name="Column2281"/>
    <tableColumn id="2300" xr3:uid="{86963B58-19A4-F149-8531-12E772AEA899}" name="Column2282"/>
    <tableColumn id="2301" xr3:uid="{C62AC263-5D61-BD4B-8DCD-B938C6DF8520}" name="Column2283"/>
    <tableColumn id="2302" xr3:uid="{F7121860-A2DA-B54F-926C-9CFC083685FE}" name="Column2284"/>
    <tableColumn id="2303" xr3:uid="{789766AD-837B-694B-BE9E-059FA8911581}" name="Column2285"/>
    <tableColumn id="2304" xr3:uid="{A661B689-EDF1-3741-B706-16325E9BDAB0}" name="Column2286"/>
    <tableColumn id="2305" xr3:uid="{63DDD218-81FE-2443-82FF-1478E5B70C90}" name="Column2287"/>
    <tableColumn id="2306" xr3:uid="{EC847036-2F82-0446-97E9-C3058A31587C}" name="Column2288"/>
    <tableColumn id="2307" xr3:uid="{E012921E-5147-4A47-9AF6-969A7EE02238}" name="Column2289"/>
    <tableColumn id="2308" xr3:uid="{1BFF4367-88A6-5946-942E-CD9F98892D09}" name="Column2290"/>
    <tableColumn id="2309" xr3:uid="{6E974E08-97E3-7A49-B74E-0273D1F7691D}" name="Column2291"/>
    <tableColumn id="2310" xr3:uid="{D3C103DE-5D55-8F4B-BD38-C002A0BF57C0}" name="Column2292"/>
    <tableColumn id="2311" xr3:uid="{5074A222-F750-D54E-8EBF-33F212F4BDA3}" name="Column2293"/>
    <tableColumn id="2312" xr3:uid="{D578519C-BAE5-0540-AA1F-F68B4D8F538F}" name="Column2294"/>
    <tableColumn id="2313" xr3:uid="{A6666CD5-0E4C-D548-827D-5C9F8DD319FD}" name="Column2295"/>
    <tableColumn id="2314" xr3:uid="{A3227B49-79E4-8547-8D97-7046DF37EE6B}" name="Column2296"/>
    <tableColumn id="2315" xr3:uid="{B8B1B7B7-00C8-AC40-BD71-CCA9FD608B44}" name="Column2297"/>
    <tableColumn id="2316" xr3:uid="{006C2776-839C-3847-B1AF-970E1CD89E18}" name="Column2298"/>
    <tableColumn id="2317" xr3:uid="{139F297F-84F1-4D44-B644-E8652BC24483}" name="Column2299"/>
    <tableColumn id="2318" xr3:uid="{E303EE0C-951A-EE4B-8E51-3DC0D24062F8}" name="Column2300"/>
    <tableColumn id="2319" xr3:uid="{3D8E0FF9-8AF2-FB4E-BC83-5E5BA0923658}" name="Column2301"/>
    <tableColumn id="2320" xr3:uid="{9574CFA0-4867-1A4B-A59C-D4965EE81AA0}" name="Column2302"/>
    <tableColumn id="2321" xr3:uid="{2EA693AC-5DF0-D747-8587-35CC9EACB8BE}" name="Column2303"/>
    <tableColumn id="2322" xr3:uid="{BAB3DB19-764B-7E42-8DEB-D8DD4E4055A1}" name="Column2304"/>
    <tableColumn id="2323" xr3:uid="{310290C5-92A7-2247-830D-3B9A64AA09C9}" name="Column2305"/>
    <tableColumn id="2324" xr3:uid="{E367BF0D-7CDA-D247-88D1-8936CE4743D0}" name="Column2306"/>
    <tableColumn id="2325" xr3:uid="{E5C61B7F-6625-8B4B-8B0E-29933670377B}" name="Column2307"/>
    <tableColumn id="2326" xr3:uid="{D80139FD-C9E9-684B-B51A-C95AE973274D}" name="Column2308"/>
    <tableColumn id="2327" xr3:uid="{822D2AF6-9731-0643-A7E7-C67C553A90BE}" name="Column2309"/>
    <tableColumn id="2328" xr3:uid="{EB37166F-D76E-624E-830C-36569C762F97}" name="Column2310"/>
    <tableColumn id="2329" xr3:uid="{3ED34D0F-BB13-D549-B052-90D465A49D61}" name="Column2311"/>
    <tableColumn id="2330" xr3:uid="{F3097D9C-3A55-CA48-8939-14C0378E0C5D}" name="Column2312"/>
    <tableColumn id="2331" xr3:uid="{6E0939E3-9759-3447-8CAD-71EFC9F24AB4}" name="Column2313"/>
    <tableColumn id="2332" xr3:uid="{2E6C90BE-2D96-0A43-A5E9-0663BC0CC08D}" name="Column2314"/>
    <tableColumn id="2333" xr3:uid="{A9ADD032-1EA1-294B-8227-19C305BB1E70}" name="Column2315"/>
    <tableColumn id="2334" xr3:uid="{05F62CE2-0E17-D64A-904B-07F56463D0EE}" name="Column2316"/>
    <tableColumn id="2335" xr3:uid="{A7DC30B5-BA4A-2240-81FE-99C34E7608A1}" name="Column2317"/>
    <tableColumn id="2336" xr3:uid="{652E9D55-750F-864D-908B-9ADE9AA63BF4}" name="Column2318"/>
    <tableColumn id="2337" xr3:uid="{E8E9D966-AADE-794D-8EC1-8965BA63D3C0}" name="Column2319"/>
    <tableColumn id="2338" xr3:uid="{502638FA-1BCD-994A-9FC9-F226E6EFE70F}" name="Column2320"/>
    <tableColumn id="2339" xr3:uid="{DF04E606-0D71-2D47-A6F9-6B3D7E679EE2}" name="Column2321"/>
    <tableColumn id="2340" xr3:uid="{A48907CE-E38E-9F44-930F-A01179D091D8}" name="Column2322"/>
    <tableColumn id="2341" xr3:uid="{C7318C5F-AE6F-1046-8F57-A6E52583BFA6}" name="Column2323"/>
    <tableColumn id="2342" xr3:uid="{1E41F437-1DB8-6B4E-B398-3AEB0C4FD768}" name="Column2324"/>
    <tableColumn id="2343" xr3:uid="{A4C42D2F-D356-B84E-92FD-F689F150C380}" name="Column2325"/>
    <tableColumn id="2344" xr3:uid="{FB0B89BD-1E8E-D748-8F1C-FD72F6A94BA0}" name="Column2326"/>
    <tableColumn id="2345" xr3:uid="{52D2CA05-5D3B-6F43-B33A-CB827C1F2214}" name="Column2327"/>
    <tableColumn id="2346" xr3:uid="{F658FA62-7BCF-6D4B-B36A-4220AE4040EB}" name="Column2328"/>
    <tableColumn id="2347" xr3:uid="{380A71FF-C8AC-274F-812A-6E329937F7D4}" name="Column2329"/>
    <tableColumn id="2348" xr3:uid="{45DA5242-3BDE-8042-9B90-995B66F79E5D}" name="Column2330"/>
    <tableColumn id="2349" xr3:uid="{B66EC3EB-EA01-244A-932C-AE9F74D8BA1E}" name="Column2331"/>
    <tableColumn id="2350" xr3:uid="{14F02FE1-8E66-D947-B3AB-C8FE9C9F6359}" name="Column2332"/>
    <tableColumn id="2351" xr3:uid="{53F5B1F7-BA53-1F46-A537-3E05F4E39D50}" name="Column2333"/>
    <tableColumn id="2352" xr3:uid="{22835367-2250-414D-8C35-2D2CC65C7962}" name="Column2334"/>
    <tableColumn id="2353" xr3:uid="{4C5E83F0-A34D-0544-AFF8-AF83C3E969A2}" name="Column2335"/>
    <tableColumn id="2354" xr3:uid="{E1F4E51D-DBAC-7746-8633-1F1AE0354799}" name="Column2336"/>
    <tableColumn id="2355" xr3:uid="{BBF21AD5-B980-A949-975A-036782EFED1A}" name="Column2337"/>
    <tableColumn id="2356" xr3:uid="{98352FC1-C916-9A40-BE5F-8C4AD8A31A63}" name="Column2338"/>
    <tableColumn id="2357" xr3:uid="{5A8CB8A3-04E7-3047-8B1D-E49A62C89EA1}" name="Column2339"/>
    <tableColumn id="2358" xr3:uid="{4DEE68A9-D5A1-E64B-B001-C5E627FA1A86}" name="Column2340"/>
    <tableColumn id="2359" xr3:uid="{61F91E3F-6921-094C-81BF-740CDF89749A}" name="Column2341"/>
    <tableColumn id="2360" xr3:uid="{463BA534-C099-AB40-9439-9A7424E3CDE0}" name="Column2342"/>
    <tableColumn id="2361" xr3:uid="{0D83740D-93F5-5A47-A8C6-6E8CB72734BB}" name="Column2343"/>
    <tableColumn id="2362" xr3:uid="{8CBD7F9A-6177-5D4D-BDEC-F5546C86166C}" name="Column2344"/>
    <tableColumn id="2363" xr3:uid="{430917DB-A518-C444-AD7E-151383DF549F}" name="Column2345"/>
    <tableColumn id="2364" xr3:uid="{E7D2AF3A-B18C-FE43-A099-95CCC67C7E15}" name="Column2346"/>
    <tableColumn id="2365" xr3:uid="{6C7AAE8D-16D6-2B48-B1A2-C23CA219DD0B}" name="Column2347"/>
    <tableColumn id="2366" xr3:uid="{15C756C8-97F1-5342-8300-F5602650D65B}" name="Column2348"/>
    <tableColumn id="2367" xr3:uid="{00994972-969B-994F-971A-C9970F7E6930}" name="Column2349"/>
    <tableColumn id="2368" xr3:uid="{E8F9F667-C8A9-8E43-9DA1-F148136D6333}" name="Column2350"/>
    <tableColumn id="2369" xr3:uid="{7DA290CE-1A03-F64E-9679-D1319BFFBEB0}" name="Column2351"/>
    <tableColumn id="2370" xr3:uid="{EE393E67-E624-7847-B188-02A66C1E4F98}" name="Column2352"/>
    <tableColumn id="2371" xr3:uid="{8A8BF722-D050-3649-9B84-77F02A4DFD73}" name="Column2353"/>
    <tableColumn id="2372" xr3:uid="{293E86C1-9769-2946-A0D6-A08ED33BA55A}" name="Column2354"/>
    <tableColumn id="2373" xr3:uid="{1396DD6E-87A7-4149-B116-28DF1C8A0230}" name="Column2355"/>
    <tableColumn id="2374" xr3:uid="{640D4E83-6BE4-694F-A0A0-052DEED543A1}" name="Column2356"/>
    <tableColumn id="2375" xr3:uid="{6BD93A6D-A393-FF4B-BA6B-211F8DF52488}" name="Column2357"/>
    <tableColumn id="2376" xr3:uid="{1E87D5E1-B236-F746-B63D-C6F88D736CC8}" name="Column2358"/>
    <tableColumn id="2377" xr3:uid="{81C02B8D-6732-2C46-9D9B-430B9877BFEC}" name="Column2359"/>
    <tableColumn id="2378" xr3:uid="{CA0F3BF7-7008-7048-BC4C-89F0886BACA1}" name="Column2360"/>
    <tableColumn id="2379" xr3:uid="{39980E6D-701E-4047-83CD-9CB0122D6EC4}" name="Column2361"/>
    <tableColumn id="2380" xr3:uid="{C8423F4B-9C17-5A4C-ADE0-8257A7E64897}" name="Column2362"/>
    <tableColumn id="2381" xr3:uid="{991C7834-628E-CD4F-A44E-24A7ED1C7457}" name="Column2363"/>
    <tableColumn id="2382" xr3:uid="{672554FD-49A3-3F44-A4B8-5D1426E52A5F}" name="Column2364"/>
    <tableColumn id="2383" xr3:uid="{E2E1D15D-75BC-7944-84B3-8E07E41C630C}" name="Column2365"/>
    <tableColumn id="2384" xr3:uid="{5A8F39A3-B0CF-8C43-931F-837C966612D8}" name="Column2366"/>
    <tableColumn id="2385" xr3:uid="{F6C86204-ADF7-1940-A2E6-AE362B0E2951}" name="Column2367"/>
    <tableColumn id="2386" xr3:uid="{24C3C216-CE94-4649-B1A1-424DD5EB1DF7}" name="Column2368"/>
    <tableColumn id="2387" xr3:uid="{BF1654E2-A220-4B49-8020-587720D96A17}" name="Column2369"/>
    <tableColumn id="2388" xr3:uid="{9AB06BFB-4011-1043-BAEA-1DFFCC86AB0E}" name="Column2370"/>
    <tableColumn id="2389" xr3:uid="{BAFCD9F5-EAB0-F644-8C4A-296ECD83D7BD}" name="Column2371"/>
    <tableColumn id="2390" xr3:uid="{ADADE1C5-4E7C-A34D-8A4B-F38569B8BFB7}" name="Column2372"/>
    <tableColumn id="2391" xr3:uid="{D672BAA1-C222-6548-9B29-811F93CFC94D}" name="Column2373"/>
    <tableColumn id="2392" xr3:uid="{504660E8-6952-9048-A5A4-54F646E617F7}" name="Column2374"/>
    <tableColumn id="2393" xr3:uid="{A8E8B709-15F8-B44C-933F-74C2E993CF29}" name="Column2375"/>
    <tableColumn id="2394" xr3:uid="{D94B8901-D045-CC41-BF26-072FA5719198}" name="Column2376"/>
    <tableColumn id="2395" xr3:uid="{08A18635-0431-3C49-BF0A-40BCBC1345EE}" name="Column2377"/>
    <tableColumn id="2396" xr3:uid="{391B7806-2464-5D4E-B354-E2A1644B382A}" name="Column2378"/>
    <tableColumn id="2397" xr3:uid="{63E356E3-D800-A546-B323-534C55A8C8EE}" name="Column2379"/>
    <tableColumn id="2398" xr3:uid="{FFBA3410-B478-EE47-8C44-C3A89954A7CC}" name="Column2380"/>
    <tableColumn id="2399" xr3:uid="{025A22FF-AD07-2342-BB25-0B75CDBAE0BB}" name="Column2381"/>
    <tableColumn id="2400" xr3:uid="{99B2E7CD-AA00-1B49-9EAB-B865EF7634C7}" name="Column2382"/>
    <tableColumn id="2401" xr3:uid="{A52B16A1-2476-514E-859D-7EC989378B75}" name="Column2383"/>
    <tableColumn id="2402" xr3:uid="{29F43D88-AD8A-4A43-A8AA-115B74A58D81}" name="Column2384"/>
    <tableColumn id="2403" xr3:uid="{9891AF31-119E-E044-BA67-16623358CE7B}" name="Column2385"/>
    <tableColumn id="2404" xr3:uid="{407D1296-B6BF-DB4F-9F10-7926FDF33FF3}" name="Column2386"/>
    <tableColumn id="2405" xr3:uid="{A207A603-83B7-244F-B5BA-2963A5F2FA51}" name="Column2387"/>
    <tableColumn id="2406" xr3:uid="{5DE5F8EA-9A41-E749-B456-DA0355F1C4E2}" name="Column2388"/>
    <tableColumn id="2407" xr3:uid="{53102204-544A-B543-A420-C84ED672C67E}" name="Column2389"/>
    <tableColumn id="2408" xr3:uid="{9D51B365-AD4B-D64F-8717-030DD03633CE}" name="Column2390"/>
    <tableColumn id="2409" xr3:uid="{B72FEFC4-563C-F847-9EFC-6BB1AD0EDE6B}" name="Column2391"/>
    <tableColumn id="2410" xr3:uid="{8B35FD71-AEC8-354F-BED1-5A14E3D90FB7}" name="Column2392"/>
    <tableColumn id="2411" xr3:uid="{F60246D0-B20D-DF44-9986-EDCA98B4C233}" name="Column2393"/>
    <tableColumn id="2412" xr3:uid="{E942FF6D-E565-5540-B2A6-BEB389689529}" name="Column2394"/>
    <tableColumn id="2413" xr3:uid="{F4BB8EC9-EFF5-114A-9C5B-8885CAF174D6}" name="Column2395"/>
    <tableColumn id="2414" xr3:uid="{FF8C95B3-D5B9-D441-8C7E-B2818F84E978}" name="Column2396"/>
    <tableColumn id="2415" xr3:uid="{97439918-772A-1C4B-8221-6E3BBCB628D3}" name="Column2397"/>
    <tableColumn id="2416" xr3:uid="{97A2A37D-3EC7-0C4D-9FDE-A5495615238B}" name="Column2398"/>
    <tableColumn id="2417" xr3:uid="{AC180562-459A-1943-8BB6-B2785E073872}" name="Column2399"/>
    <tableColumn id="2418" xr3:uid="{8A58D3D3-F9A1-1F4E-B1B7-C512149B9C85}" name="Column2400"/>
    <tableColumn id="2419" xr3:uid="{D2C64991-9464-F542-AB66-8E675D85BC8C}" name="Column2401"/>
    <tableColumn id="2420" xr3:uid="{31EDD597-96B7-B544-8F65-F0695B85DAE8}" name="Column2402"/>
    <tableColumn id="2421" xr3:uid="{A60A60D7-577E-A449-A850-7E72A4D9A731}" name="Column2403"/>
    <tableColumn id="2422" xr3:uid="{5EC6B762-9AA1-5643-9765-1DDC73ED90DE}" name="Column2404"/>
    <tableColumn id="2423" xr3:uid="{9E6824D7-CBEC-794C-9D69-04DDD9DEE6D9}" name="Column2405"/>
    <tableColumn id="2424" xr3:uid="{E39B878E-EA94-424E-85B9-E4F46AEF0574}" name="Column2406"/>
    <tableColumn id="2425" xr3:uid="{B359E157-D095-8940-89CE-ACE2EB175E81}" name="Column2407"/>
    <tableColumn id="2426" xr3:uid="{9620E5B9-8B5A-7049-99B7-1577D6A1AF21}" name="Column2408"/>
    <tableColumn id="2427" xr3:uid="{0A729542-AA9F-6B4C-B442-82368EE7967A}" name="Column2409"/>
    <tableColumn id="2428" xr3:uid="{8CA1A41E-05FF-E746-82DB-B792F93BBD7F}" name="Column2410"/>
    <tableColumn id="2429" xr3:uid="{9689ED91-E795-6344-82AA-F8A9DE0C1FF2}" name="Column2411"/>
    <tableColumn id="2430" xr3:uid="{CA425A8F-168C-FC41-90E3-CD7CA0F319D5}" name="Column2412"/>
    <tableColumn id="2431" xr3:uid="{FE12B937-31BF-DF47-9FFE-6CB0F5573471}" name="Column2413"/>
    <tableColumn id="2432" xr3:uid="{49E6CC83-B8EB-7E4A-ADC8-CD6CECFFB9FC}" name="Column2414"/>
    <tableColumn id="2433" xr3:uid="{A82A0065-DBC2-F249-BB0E-A3F393485D7D}" name="Column2415"/>
    <tableColumn id="2434" xr3:uid="{5602C5BB-873D-D248-B39A-9CF93CA25F09}" name="Column2416"/>
    <tableColumn id="2435" xr3:uid="{761B2254-0AEE-184A-9E2C-1C45B3CE454F}" name="Column2417"/>
    <tableColumn id="2436" xr3:uid="{A997BFE9-6819-A044-88EE-A774EB27BAA1}" name="Column2418"/>
    <tableColumn id="2437" xr3:uid="{03B0AE8C-26E9-B141-BD6E-36BF32C80BFC}" name="Column2419"/>
    <tableColumn id="2438" xr3:uid="{79C510EB-5528-5242-BE52-2281C71FD41B}" name="Column2420"/>
    <tableColumn id="2439" xr3:uid="{A10B39C2-19F5-DD42-9081-86B7C3F4B3CD}" name="Column2421"/>
    <tableColumn id="2440" xr3:uid="{AE93CC5C-2417-6943-AC82-A5029C67A841}" name="Column2422"/>
    <tableColumn id="2441" xr3:uid="{46649366-23F2-DA4E-A7BD-79AF21B11EB8}" name="Column2423"/>
    <tableColumn id="2442" xr3:uid="{649916A8-8E87-9C44-A4E5-8D00C8D913C8}" name="Column2424"/>
    <tableColumn id="2443" xr3:uid="{F78679B9-7A13-F04E-A696-3DBB0C1291EC}" name="Column2425"/>
    <tableColumn id="2444" xr3:uid="{D294EB5B-6F04-AF46-A6BC-289DB5D014EA}" name="Column2426"/>
    <tableColumn id="2445" xr3:uid="{FE119C7F-52CF-C341-A6D2-92B3ADEDE4B1}" name="Column2427"/>
    <tableColumn id="2446" xr3:uid="{4EF5A85C-102A-3D46-AFBF-E1A4CFD7D294}" name="Column2428"/>
    <tableColumn id="2447" xr3:uid="{651A3288-C11B-0B4C-B8AD-477888E088C2}" name="Column2429"/>
    <tableColumn id="2448" xr3:uid="{31F7F087-AD8B-E444-889B-2084E4A97E9C}" name="Column2430"/>
    <tableColumn id="2449" xr3:uid="{3778AC43-593F-4E4D-B72F-07AC7213F75B}" name="Column2431"/>
    <tableColumn id="2450" xr3:uid="{B476E2F4-2C21-784B-AF5A-72A8582B64D9}" name="Column2432"/>
    <tableColumn id="2451" xr3:uid="{5D3BB954-D1CE-424B-90FF-4C4730ADD480}" name="Column2433"/>
    <tableColumn id="2452" xr3:uid="{2C01816A-2F94-C04A-A1D2-46C5EC5AC37A}" name="Column2434"/>
    <tableColumn id="2453" xr3:uid="{9A1CAFBF-D600-8D4F-9B1B-8734D083739D}" name="Column2435"/>
    <tableColumn id="2454" xr3:uid="{74F07773-8914-3D43-A101-8B0ACE697A3C}" name="Column2436"/>
    <tableColumn id="2455" xr3:uid="{AB746CB1-77E2-F44C-BCDB-E8F3AB431936}" name="Column2437"/>
    <tableColumn id="2456" xr3:uid="{42BFA1CA-1D9F-1A4A-B006-EC8096771A6C}" name="Column2438"/>
    <tableColumn id="2457" xr3:uid="{5046BFE4-40F9-884F-9AE3-70EF3314B2B0}" name="Column2439"/>
    <tableColumn id="2458" xr3:uid="{C7C99A87-3451-B147-A53D-7D1A68A6E4CD}" name="Column2440"/>
    <tableColumn id="2459" xr3:uid="{B9BB6B39-ED71-1345-8D97-2D674B8D9EE4}" name="Column2441"/>
    <tableColumn id="2460" xr3:uid="{D904BC5A-623F-944C-9DF1-A80B19C274B4}" name="Column2442"/>
    <tableColumn id="2461" xr3:uid="{F4AE777E-42A0-5740-8019-14C58096EFD3}" name="Column2443"/>
    <tableColumn id="2462" xr3:uid="{82ED9D78-F0C1-F047-B6E3-8E1B0C5D7846}" name="Column2444"/>
    <tableColumn id="2463" xr3:uid="{8C3E4F31-2A66-4F4E-8868-2192F0638C6C}" name="Column2445"/>
    <tableColumn id="2464" xr3:uid="{3D35AC9C-0E73-314B-8568-6D633661103F}" name="Column2446"/>
    <tableColumn id="2465" xr3:uid="{68121E3B-B826-F44E-AF94-2D0CAF2CC4F9}" name="Column2447"/>
    <tableColumn id="2466" xr3:uid="{7B746DBF-A747-D344-898A-EBAF2F0CA1A3}" name="Column2448"/>
    <tableColumn id="2467" xr3:uid="{D8AE72A5-8869-3F42-BB3F-8860518E3F24}" name="Column2449"/>
    <tableColumn id="2468" xr3:uid="{E891B5E2-3061-B441-9CCC-46EB89897F9A}" name="Column2450"/>
    <tableColumn id="2469" xr3:uid="{664B191B-5190-2A47-8D13-902F919EF870}" name="Column2451"/>
    <tableColumn id="2470" xr3:uid="{701E779D-48A2-034C-B46D-743EF7BE9BAF}" name="Column2452"/>
    <tableColumn id="2471" xr3:uid="{56074975-D15A-AA4B-8ACB-FD7220EC1E01}" name="Column2453"/>
    <tableColumn id="2472" xr3:uid="{D93139DB-2B2C-2C40-BD5F-B21125B62F1B}" name="Column2454"/>
    <tableColumn id="2473" xr3:uid="{EFE81124-91BE-9844-A6F4-A428A19214E9}" name="Column2455"/>
    <tableColumn id="2474" xr3:uid="{3249D99D-6AD1-C849-80F9-61CCE94B2F6A}" name="Column2456"/>
    <tableColumn id="2475" xr3:uid="{AA51BC0C-940C-874A-8BEE-9C980AAF0D79}" name="Column2457"/>
    <tableColumn id="2476" xr3:uid="{54E18AFE-0119-3E42-84A1-92AE41D42211}" name="Column2458"/>
    <tableColumn id="2477" xr3:uid="{916A9389-D765-DE45-87A3-E64DB48C5108}" name="Column2459"/>
    <tableColumn id="2478" xr3:uid="{30AB7322-1A8A-4B47-93E5-1377BCDA58F1}" name="Column2460"/>
    <tableColumn id="2479" xr3:uid="{AFDD3A79-FFB1-DC48-8E8B-51E6F7A7959F}" name="Column2461"/>
    <tableColumn id="2480" xr3:uid="{1417FAE2-CF50-C544-96A2-35F5E2561337}" name="Column2462"/>
    <tableColumn id="2481" xr3:uid="{12079E16-F0CB-6D44-A6D9-0AE007D78D25}" name="Column2463"/>
    <tableColumn id="2482" xr3:uid="{4B4ECC7E-8D64-054B-B99E-8F6B21067B5C}" name="Column2464"/>
    <tableColumn id="2483" xr3:uid="{671C3F52-CDF4-A846-9C5A-3C9B3008A3A1}" name="Column2465"/>
    <tableColumn id="2484" xr3:uid="{942EB9AC-4F03-6442-B10D-684EF6753E4E}" name="Column2466"/>
    <tableColumn id="2485" xr3:uid="{9AAA7495-4970-0F47-92FE-663C4B545AA9}" name="Column2467"/>
    <tableColumn id="2486" xr3:uid="{3E0E2DE1-8CD5-9B4B-BEC0-1461CED16615}" name="Column2468"/>
    <tableColumn id="2487" xr3:uid="{929757E8-2A0C-F741-BF3E-AA2E8BC86F3F}" name="Column2469"/>
    <tableColumn id="2488" xr3:uid="{50277166-5490-9540-86B1-49FAADED8A00}" name="Column2470"/>
    <tableColumn id="2489" xr3:uid="{E8E9F409-1432-8F44-84F4-2036A3EE9F99}" name="Column2471"/>
    <tableColumn id="2490" xr3:uid="{845035AF-DA99-3340-AA74-C5F4DD6609F4}" name="Column2472"/>
    <tableColumn id="2491" xr3:uid="{041902DB-99BC-6D4A-A084-99AAE20144F7}" name="Column2473"/>
    <tableColumn id="2492" xr3:uid="{4956D2A1-7FB3-734F-A381-6F685AC71D35}" name="Column2474"/>
    <tableColumn id="2493" xr3:uid="{68F963BC-710E-9540-8AD9-9F338708C3AA}" name="Column2475"/>
    <tableColumn id="2494" xr3:uid="{1D7EE722-B198-624E-88B8-1584C9B4A808}" name="Column2476"/>
    <tableColumn id="2495" xr3:uid="{2F31F4A2-2A20-AB4B-9DED-3D48F30E01B0}" name="Column2477"/>
    <tableColumn id="2496" xr3:uid="{B65B192F-B18F-D946-98A0-43F365670A2E}" name="Column2478"/>
    <tableColumn id="2497" xr3:uid="{D94311D3-1F80-BF44-AB0D-F400BC5D8886}" name="Column2479"/>
    <tableColumn id="2498" xr3:uid="{E607B8CB-6A89-F54E-8555-1F998361F8A8}" name="Column2480"/>
    <tableColumn id="2499" xr3:uid="{E659CD52-EF7D-2641-B8CD-CA902A5E9015}" name="Column2481"/>
    <tableColumn id="2500" xr3:uid="{F26A1EEC-F080-E54B-AE09-8DDA8D113885}" name="Column2482"/>
    <tableColumn id="2501" xr3:uid="{F2C6FDBD-7918-9148-9DED-DD8B18E9F136}" name="Column2483"/>
    <tableColumn id="2502" xr3:uid="{4A263BAA-282A-FA4F-ABF8-A316C6359EB3}" name="Column2484"/>
    <tableColumn id="2503" xr3:uid="{DF8D03DC-CB4F-9442-858A-3B52A97F6017}" name="Column2485"/>
    <tableColumn id="2504" xr3:uid="{B214D5A8-B94A-B344-8542-487B37B71634}" name="Column2486"/>
    <tableColumn id="2505" xr3:uid="{C4CE2C85-21D1-F14E-9D1C-E9DCAF6796F4}" name="Column2487"/>
    <tableColumn id="2506" xr3:uid="{8742F78C-954A-9A4C-BE02-ABA380439BB7}" name="Column2488"/>
    <tableColumn id="2507" xr3:uid="{273A8955-93F0-4542-A7D8-F870761EEA35}" name="Column2489"/>
    <tableColumn id="2508" xr3:uid="{EF425592-6230-2343-873C-81899227433E}" name="Column2490"/>
    <tableColumn id="2509" xr3:uid="{CC9FD2D9-D1DB-EE40-A7BF-7E901B8370B0}" name="Column2491"/>
    <tableColumn id="2510" xr3:uid="{3797D15F-CAEF-E444-8933-A6E6B4C099CB}" name="Column2492"/>
    <tableColumn id="2511" xr3:uid="{55EF1891-A688-2346-8016-6A4B6B587F5E}" name="Column2493"/>
    <tableColumn id="2512" xr3:uid="{55C345AC-21ED-0F4C-9025-7538C30C69A4}" name="Column2494"/>
    <tableColumn id="2513" xr3:uid="{8C68AD85-8523-A14D-BEEC-5A34BCF87C7C}" name="Column2495"/>
    <tableColumn id="2514" xr3:uid="{0C92271A-32EE-B14C-B65B-A12F01A7FAD0}" name="Column2496"/>
    <tableColumn id="2515" xr3:uid="{F21838E4-861A-A64B-92DA-DC318FABFF4A}" name="Column2497"/>
    <tableColumn id="2516" xr3:uid="{F4C20056-3A40-7845-B5F8-602865D23012}" name="Column2498"/>
    <tableColumn id="2517" xr3:uid="{19D46928-B461-6A42-B92D-DEAB372EFCFA}" name="Column2499"/>
    <tableColumn id="2518" xr3:uid="{601F81DA-C16D-A34F-AE2B-DE887D727D16}" name="Column2500"/>
    <tableColumn id="2519" xr3:uid="{5E62760F-3F1B-FE46-9636-5E32F768D33F}" name="Column2501"/>
    <tableColumn id="2520" xr3:uid="{C849A146-4890-7545-9EE5-224534DA9616}" name="Column2502"/>
    <tableColumn id="2521" xr3:uid="{18ED3310-95E5-7545-8225-40CBE5CEBE70}" name="Column2503"/>
    <tableColumn id="2522" xr3:uid="{2DBD414F-B550-FC45-9811-593A6D0BCD3B}" name="Column2504"/>
    <tableColumn id="2523" xr3:uid="{6AA09016-9272-2B4C-8491-25DF364833EC}" name="Column2505"/>
    <tableColumn id="2524" xr3:uid="{0E8BB0B3-9F40-604A-A5EA-1DA137ABB9F2}" name="Column2506"/>
    <tableColumn id="2525" xr3:uid="{DBBF81B7-28FC-5F4D-8999-8B834AA54C90}" name="Column2507"/>
    <tableColumn id="2526" xr3:uid="{3BE2C109-2A0D-6143-B4EA-43B06569CDC4}" name="Column2508"/>
    <tableColumn id="2527" xr3:uid="{7EA8BFB8-F3BA-5048-BAB7-0FBF48B720A0}" name="Column2509"/>
    <tableColumn id="2528" xr3:uid="{DBC96754-A5D2-AC43-8934-CBB158C2B5C8}" name="Column2510"/>
    <tableColumn id="2529" xr3:uid="{49AC9622-149D-2243-AB1F-25177B6253FD}" name="Column2511"/>
    <tableColumn id="2530" xr3:uid="{AE656A4A-8DD8-B347-8925-ADC696BAA477}" name="Column2512"/>
    <tableColumn id="2531" xr3:uid="{AE3C6394-8603-B445-B141-6F9C4C4C78BC}" name="Column2513"/>
    <tableColumn id="2532" xr3:uid="{020AD3B2-212B-C24D-88EF-8AC26D3A0B5C}" name="Column2514"/>
    <tableColumn id="2533" xr3:uid="{CDE8AFB3-ED09-B44E-B481-E3290EEF27A4}" name="Column2515"/>
    <tableColumn id="2534" xr3:uid="{DFE13EBA-CFC2-CE4A-BBD4-59837B07E0C8}" name="Column2516"/>
    <tableColumn id="2535" xr3:uid="{D363347D-2EE2-D046-BED9-679AFD0F4590}" name="Column2517"/>
    <tableColumn id="2536" xr3:uid="{8CC1B728-C32B-FB48-9A3A-5B6E009BB413}" name="Column2518"/>
    <tableColumn id="2537" xr3:uid="{E84DBA74-C7F8-6549-8355-1E61E6279A77}" name="Column2519"/>
    <tableColumn id="2538" xr3:uid="{17E115A0-881A-1549-BEDC-EF459E0E25EA}" name="Column2520"/>
    <tableColumn id="2539" xr3:uid="{3118AD74-3F6A-9441-AB90-07966D83B3CB}" name="Column2521"/>
    <tableColumn id="2540" xr3:uid="{2C9E5EF0-E419-4F40-961B-61BBE64DAFA1}" name="Column2522"/>
    <tableColumn id="2541" xr3:uid="{72EE7445-39D8-FE49-A947-314FF362357F}" name="Column2523"/>
    <tableColumn id="2542" xr3:uid="{87C73721-FBA3-4441-923E-0FF6B13402C7}" name="Column2524"/>
    <tableColumn id="2543" xr3:uid="{0F0F05D3-2A08-404A-9CBD-035B659F9EBF}" name="Column2525"/>
    <tableColumn id="2544" xr3:uid="{23A5F5E6-D408-A64B-9930-145E09436303}" name="Column2526"/>
    <tableColumn id="2545" xr3:uid="{91AD6DD6-F914-DD45-AD1C-7BE4ECC59B67}" name="Column2527"/>
    <tableColumn id="2546" xr3:uid="{8382565D-3FCE-D245-A8E1-76FC5CE1C39B}" name="Column2528"/>
    <tableColumn id="2547" xr3:uid="{9F12897D-42F1-EB4F-8C8C-BF67391B7D2F}" name="Column2529"/>
    <tableColumn id="2548" xr3:uid="{B3A1CB4E-1387-0242-9897-3CE5A5147C72}" name="Column2530"/>
    <tableColumn id="2549" xr3:uid="{D24BDD00-E2A3-7942-BD6F-778308380CF1}" name="Column2531"/>
    <tableColumn id="2550" xr3:uid="{FCE8A106-33F5-3B46-B518-7572EFEE4C18}" name="Column2532"/>
    <tableColumn id="2551" xr3:uid="{C8FCF661-2D6B-424A-9974-36AB430683B4}" name="Column2533"/>
    <tableColumn id="2552" xr3:uid="{625DF72A-2BE9-7A41-90D6-EC5DBAF6612F}" name="Column2534"/>
    <tableColumn id="2553" xr3:uid="{CF424E61-B3D2-1042-837A-B3A520F3D909}" name="Column2535"/>
    <tableColumn id="2554" xr3:uid="{7C736DCF-6C8A-B542-AD1D-A74FF759F979}" name="Column2536"/>
    <tableColumn id="2555" xr3:uid="{0432E1D9-D277-D743-89F0-B1F18962DC88}" name="Column2537"/>
    <tableColumn id="2556" xr3:uid="{8049623B-1E34-4A4A-B565-938AD8E763B9}" name="Column2538"/>
    <tableColumn id="2557" xr3:uid="{4C383D66-6146-CD4E-B378-A2BD6697BCF4}" name="Column2539"/>
    <tableColumn id="2558" xr3:uid="{DE584366-E78F-AB41-A36A-7A91C3FFB43F}" name="Column2540"/>
    <tableColumn id="2559" xr3:uid="{94357BE3-23EA-EC4A-8246-2B6B0B2F416F}" name="Column2541"/>
    <tableColumn id="2560" xr3:uid="{194A67DF-A914-5C44-B0DF-F28BA1DDCA70}" name="Column2542"/>
    <tableColumn id="2561" xr3:uid="{CEA5A906-A57B-8C44-8FD6-1DB888E871D8}" name="Column2543"/>
    <tableColumn id="2562" xr3:uid="{7EFE38A7-5029-B042-B09C-FE43D4685337}" name="Column2544"/>
    <tableColumn id="2563" xr3:uid="{31F8E6C8-417F-974E-98B1-19D25D666932}" name="Column2545"/>
    <tableColumn id="2564" xr3:uid="{D3A98B85-5FE6-FB47-8EE9-340C6AA64275}" name="Column2546"/>
    <tableColumn id="2565" xr3:uid="{F87650C2-6FB4-8F4E-A835-493F3E8C71B9}" name="Column2547"/>
    <tableColumn id="2566" xr3:uid="{0E5A0E84-34C7-F043-B28D-1D7EBC204516}" name="Column2548"/>
    <tableColumn id="2567" xr3:uid="{7195C33C-A64C-F24D-87DA-396E60602799}" name="Column2549"/>
    <tableColumn id="2568" xr3:uid="{C1A9E922-B663-F044-8293-B354E03099FA}" name="Column2550"/>
    <tableColumn id="2569" xr3:uid="{AA05D737-B9DF-CE45-A9E2-EBAAAB37DFE2}" name="Column2551"/>
    <tableColumn id="2570" xr3:uid="{8BADC9FB-B5CC-F541-A607-315532EEF53B}" name="Column2552"/>
    <tableColumn id="2571" xr3:uid="{0EA551D4-F8B6-8B42-8C6C-A66803D51279}" name="Column2553"/>
    <tableColumn id="2572" xr3:uid="{0305D477-995B-E841-9441-E57C6B531723}" name="Column2554"/>
    <tableColumn id="2573" xr3:uid="{69919A73-ED7B-DA45-B4E2-17F2D24CA5B9}" name="Column2555"/>
    <tableColumn id="2574" xr3:uid="{3D4DD13A-C514-3A4B-9666-D7742A971B57}" name="Column2556"/>
    <tableColumn id="2575" xr3:uid="{BEA01337-1D82-274A-919C-74314B4F5FE7}" name="Column2557"/>
    <tableColumn id="2576" xr3:uid="{847852F9-0CA4-494C-8AD0-536709F7F551}" name="Column2558"/>
    <tableColumn id="2577" xr3:uid="{165E3A94-0E43-A240-90CD-1AA043FA7AEB}" name="Column2559"/>
    <tableColumn id="2578" xr3:uid="{51079EBD-B61C-B441-89E8-0A8E3B6588D9}" name="Column2560"/>
    <tableColumn id="2579" xr3:uid="{DE518C73-9563-7741-AE1A-C0621E5DB3BE}" name="Column2561"/>
    <tableColumn id="2580" xr3:uid="{8E8F572E-7FD0-7A40-AFA7-F7C17F8DBB12}" name="Column2562"/>
    <tableColumn id="2581" xr3:uid="{769A07FF-6075-2F47-A201-1107F0158EF8}" name="Column2563"/>
    <tableColumn id="2582" xr3:uid="{CFD8173D-43EA-9D4C-82AB-50A38A7614FB}" name="Column2564"/>
    <tableColumn id="2583" xr3:uid="{6CC99267-43D7-AA43-9315-0419F736DAB9}" name="Column2565"/>
    <tableColumn id="2584" xr3:uid="{3A494D75-CC48-2045-A568-62E7827DA4BD}" name="Column2566"/>
    <tableColumn id="2585" xr3:uid="{FB2EF069-DF84-DB4F-AF40-410AF6ACF7E3}" name="Column2567"/>
    <tableColumn id="2586" xr3:uid="{819B9C96-FED1-DB41-9EF5-BC224511DEC0}" name="Column2568"/>
    <tableColumn id="2587" xr3:uid="{BFDAC4A9-BB4B-5E4B-861D-FB228DB8557C}" name="Column2569"/>
    <tableColumn id="2588" xr3:uid="{7B0BA01F-5065-E543-8C2B-41D13B7112C6}" name="Column2570"/>
    <tableColumn id="2589" xr3:uid="{F70594A0-DAD8-704E-9C9F-B524A6409F4E}" name="Column2571"/>
    <tableColumn id="2590" xr3:uid="{3EBF57D5-75E5-6344-8528-1496825F6966}" name="Column2572"/>
    <tableColumn id="2591" xr3:uid="{6D16C81C-93B2-9E4E-92C2-C8F39EE6B11B}" name="Column2573"/>
    <tableColumn id="2592" xr3:uid="{B114F1F5-A1AA-0142-BB39-84D742E1C959}" name="Column2574"/>
    <tableColumn id="2593" xr3:uid="{4D5FE8F1-74EE-B948-8C35-10EE0C528ACD}" name="Column2575"/>
    <tableColumn id="2594" xr3:uid="{88320766-4573-4548-AEC6-1A92C89607C2}" name="Column2576"/>
    <tableColumn id="2595" xr3:uid="{5C00DA7B-F940-A14B-8453-AAF1C86F40F0}" name="Column2577"/>
    <tableColumn id="2596" xr3:uid="{8C6E7033-4FAB-5540-B739-71F026D82F89}" name="Column2578"/>
    <tableColumn id="2597" xr3:uid="{66C671F3-A0EE-334F-A410-96E1233270E8}" name="Column2579"/>
    <tableColumn id="2598" xr3:uid="{561704B5-44E7-3C42-B964-1C70B390C9A8}" name="Column2580"/>
    <tableColumn id="2599" xr3:uid="{42C833BE-32C9-8E47-9C9E-2061752219BB}" name="Column2581"/>
    <tableColumn id="2600" xr3:uid="{BF2069FC-2F8F-9748-B0C0-EFBD9756F270}" name="Column2582"/>
    <tableColumn id="2601" xr3:uid="{3B5F751D-7FCB-404E-8B35-156547C9D679}" name="Column2583"/>
    <tableColumn id="2602" xr3:uid="{7A35DA75-5632-874F-BAA6-A73439C182F1}" name="Column2584"/>
    <tableColumn id="2603" xr3:uid="{2A09773E-1CB6-CA44-92EB-56C95F069F52}" name="Column2585"/>
    <tableColumn id="2604" xr3:uid="{B8467F39-EB01-F64C-8306-038679062032}" name="Column2586"/>
    <tableColumn id="2605" xr3:uid="{666731F1-B8F8-0843-951C-CAC59D4628E3}" name="Column2587"/>
    <tableColumn id="2606" xr3:uid="{4A46E0D3-E7A2-3746-B9C8-8B8F201E3FC3}" name="Column2588"/>
    <tableColumn id="2607" xr3:uid="{E63315C6-187F-2044-BC68-8439D0E61759}" name="Column2589"/>
    <tableColumn id="2608" xr3:uid="{FCC45594-9DE0-9444-AB89-3793334F1DEE}" name="Column2590"/>
    <tableColumn id="2609" xr3:uid="{A37831EF-6C2D-FA4D-8CF6-51D0C89E53BB}" name="Column2591"/>
    <tableColumn id="2610" xr3:uid="{0C172B26-9594-484E-BCF2-703213A9ADE9}" name="Column2592"/>
    <tableColumn id="2611" xr3:uid="{2FE1D623-CA8A-8A47-BB3A-CFBD6551D4C1}" name="Column2593"/>
    <tableColumn id="2612" xr3:uid="{706C06A4-9C7E-A841-AB61-EC6B19F8FF95}" name="Column2594"/>
    <tableColumn id="2613" xr3:uid="{0FB7763F-FF80-D04E-ADB4-6E25D650A8C4}" name="Column2595"/>
    <tableColumn id="2614" xr3:uid="{EDE90574-D5FB-6B4F-BCC1-B4796F0CE5F3}" name="Column2596"/>
    <tableColumn id="2615" xr3:uid="{166013C7-46DE-E746-84A5-24C8B7609AC3}" name="Column2597"/>
    <tableColumn id="2616" xr3:uid="{1227C931-6A6A-F147-B003-7FB2C9BE6764}" name="Column2598"/>
    <tableColumn id="2617" xr3:uid="{A4AD4730-A38C-CE45-AEFA-A6286FD36FB7}" name="Column2599"/>
    <tableColumn id="2618" xr3:uid="{A8EE7577-C0FA-1647-98AD-C3C67C55CEEA}" name="Column2600"/>
    <tableColumn id="2619" xr3:uid="{8D5C03C8-56A5-6047-93BE-2A5E27D3ECC5}" name="Column2601"/>
    <tableColumn id="2620" xr3:uid="{13435E73-5AE1-4344-A40E-B509194E2FBD}" name="Column2602"/>
    <tableColumn id="2621" xr3:uid="{AC861902-10AA-644E-AD81-E65B184700AB}" name="Column2603"/>
    <tableColumn id="2622" xr3:uid="{906CF866-BD56-0D4D-99EA-164FA0DD7E19}" name="Column2604"/>
    <tableColumn id="2623" xr3:uid="{3DD68A68-993A-834B-887C-6441D4376897}" name="Column2605"/>
    <tableColumn id="2624" xr3:uid="{CDB28A1C-FAF2-B249-AFC0-F1FFDE3D343C}" name="Column2606"/>
    <tableColumn id="2625" xr3:uid="{558D2BD3-33CE-DB43-87E2-42F9C973C05D}" name="Column2607"/>
    <tableColumn id="2626" xr3:uid="{59612F17-CE1D-0D40-96EF-529390366BED}" name="Column2608"/>
    <tableColumn id="2627" xr3:uid="{DEB4514D-1CE0-C04F-92A0-3210BEA2CA3B}" name="Column2609"/>
    <tableColumn id="2628" xr3:uid="{5D7AFCE5-E75F-0D49-8420-50ED4F5C9894}" name="Column2610"/>
    <tableColumn id="2629" xr3:uid="{3F472F19-6921-D04D-978D-AD6A6CF51E99}" name="Column2611"/>
    <tableColumn id="2630" xr3:uid="{B71AEAD6-E39A-B34A-AF28-76B2DE19EC09}" name="Column2612"/>
    <tableColumn id="2631" xr3:uid="{D13EC406-4F2B-824C-AE4A-37E7DFB762C5}" name="Column2613"/>
    <tableColumn id="2632" xr3:uid="{C654BDF0-F723-0945-AFDB-A384B9E860A3}" name="Column2614"/>
    <tableColumn id="2633" xr3:uid="{07E529D9-A7D4-7743-B87A-156C2C42E0B1}" name="Column2615"/>
    <tableColumn id="2634" xr3:uid="{965BF38F-F9F0-6047-A470-B9FAE1124B0A}" name="Column2616"/>
    <tableColumn id="2635" xr3:uid="{4D35D09B-A2CC-754A-9280-E832A1947CE2}" name="Column2617"/>
    <tableColumn id="2636" xr3:uid="{19A1F54F-F18A-B942-ABCC-A9BD9C9F9777}" name="Column2618"/>
    <tableColumn id="2637" xr3:uid="{C02386F7-BF2F-7F43-AFDE-553719DDC165}" name="Column2619"/>
    <tableColumn id="2638" xr3:uid="{EC7F71A7-1D87-3D4A-AC27-902AFE62B66F}" name="Column2620"/>
    <tableColumn id="2639" xr3:uid="{ABF8DEB0-1AED-BF4E-AB7D-9C5C9BF072FF}" name="Column2621"/>
    <tableColumn id="2640" xr3:uid="{27ACC7B7-FDA5-584B-BA72-14E48A4EF063}" name="Column2622"/>
    <tableColumn id="2641" xr3:uid="{F22EEC4F-0DD6-8641-8962-C285BE994D6E}" name="Column2623"/>
    <tableColumn id="2642" xr3:uid="{BBB44417-15CA-994B-B915-5ED47A372E68}" name="Column2624"/>
    <tableColumn id="2643" xr3:uid="{47DDAB5C-1C45-D84C-B3C8-C63590ECE96E}" name="Column2625"/>
    <tableColumn id="2644" xr3:uid="{712233A3-D837-EB42-939E-C2F5E2DBCEAB}" name="Column2626"/>
    <tableColumn id="2645" xr3:uid="{082EBB92-1F4F-9341-96E8-6AA2CAAA8C3E}" name="Column2627"/>
    <tableColumn id="2646" xr3:uid="{51DAEC2E-0A20-654B-8F85-9B3496425C59}" name="Column2628"/>
    <tableColumn id="2647" xr3:uid="{573FF869-C321-8742-B7F1-A3449FC479F2}" name="Column2629"/>
    <tableColumn id="2648" xr3:uid="{0704EA94-A133-A24C-AB72-F7526EC8B0E4}" name="Column2630"/>
    <tableColumn id="2649" xr3:uid="{9F9E3979-EC5C-FA4B-A4B3-A495787D2BBF}" name="Column2631"/>
    <tableColumn id="2650" xr3:uid="{35935143-63CC-3941-9E4B-E360634FCD38}" name="Column2632"/>
    <tableColumn id="2651" xr3:uid="{14D2C534-C147-FA40-B298-2036FA136574}" name="Column2633"/>
    <tableColumn id="2652" xr3:uid="{6FE37E79-3F80-AC42-AF8A-D7455C0389F1}" name="Column2634"/>
    <tableColumn id="2653" xr3:uid="{C2AE9BCE-78B7-2642-9E44-D2135E3D1444}" name="Column2635"/>
    <tableColumn id="2654" xr3:uid="{090EEF06-3E24-CA46-97A2-2EB191A97859}" name="Column2636"/>
    <tableColumn id="2655" xr3:uid="{00C08BB8-A129-5F43-B5B3-A15A868C013A}" name="Column2637"/>
    <tableColumn id="2656" xr3:uid="{32CE203D-80EA-1C4F-9F79-A663C24ECCAB}" name="Column2638"/>
    <tableColumn id="2657" xr3:uid="{98F8AD6C-35B4-0743-8EF6-B08BE282E876}" name="Column2639"/>
    <tableColumn id="2658" xr3:uid="{956592B8-9EDC-F54C-A2A6-58A149BFAF8C}" name="Column2640"/>
    <tableColumn id="2659" xr3:uid="{D8893AEC-CA43-9D47-B078-172E136B986C}" name="Column2641"/>
    <tableColumn id="2660" xr3:uid="{412B71F5-AAF5-E948-AA0F-E1F76CB8FC84}" name="Column2642"/>
    <tableColumn id="2661" xr3:uid="{02681BD5-A9E9-EF48-9EE7-1F8B9ED09108}" name="Column2643"/>
    <tableColumn id="2662" xr3:uid="{8F15F416-2FC1-4649-8017-D800AB8C41B0}" name="Column2644"/>
    <tableColumn id="2663" xr3:uid="{5B17EFC9-ACD3-3C41-B0D9-0A9E3C4605C2}" name="Column2645"/>
    <tableColumn id="2664" xr3:uid="{DDC496B0-6D15-2545-9E42-2D55D1CB5E0F}" name="Column2646"/>
    <tableColumn id="2665" xr3:uid="{69C5F381-BF26-744D-B1C2-D8BF2376A407}" name="Column2647"/>
    <tableColumn id="2666" xr3:uid="{226D991E-7C86-1849-86E1-943173657832}" name="Column2648"/>
    <tableColumn id="2667" xr3:uid="{81A3CBFD-1B91-A343-A0C4-8A738FC73555}" name="Column2649"/>
    <tableColumn id="2668" xr3:uid="{D5076546-C0E2-0044-9B3C-2B06455FCB9D}" name="Column2650"/>
    <tableColumn id="2669" xr3:uid="{AAC27B88-79D9-1441-BA99-74D7B5B57F71}" name="Column2651"/>
    <tableColumn id="2670" xr3:uid="{150DB9A6-2AF2-9E4B-A4D5-9AA2FAF12BB7}" name="Column2652"/>
    <tableColumn id="2671" xr3:uid="{1E357651-0A02-B443-B86F-7E09111B0904}" name="Column2653"/>
    <tableColumn id="2672" xr3:uid="{5DB73871-0CCF-204F-BD25-7C59F66E4976}" name="Column2654"/>
    <tableColumn id="2673" xr3:uid="{F4B6E7DF-AAE7-954A-A2FB-A8074EDE625A}" name="Column2655"/>
    <tableColumn id="2674" xr3:uid="{A3579A8C-67B8-2849-ABEE-AB6192FDDBC5}" name="Column2656"/>
    <tableColumn id="2675" xr3:uid="{2477605D-F1AD-7E42-819C-DBD6BAD41F9C}" name="Column2657"/>
    <tableColumn id="2676" xr3:uid="{2ED9E66F-9DF1-5C42-8731-22AA91787814}" name="Column2658"/>
    <tableColumn id="2677" xr3:uid="{B275BB2A-D2F1-584B-BA6E-E93B004D9CA8}" name="Column2659"/>
    <tableColumn id="2678" xr3:uid="{39B04739-6B17-B34F-9069-4D745429F61D}" name="Column2660"/>
    <tableColumn id="2679" xr3:uid="{BF145BD1-D059-7D44-82D6-5E5BEDE34FB9}" name="Column2661"/>
    <tableColumn id="2680" xr3:uid="{181A81DC-709D-714B-A8F1-344E5BC92179}" name="Column2662"/>
    <tableColumn id="2681" xr3:uid="{F18DD92D-F7D2-4E49-8FB8-E61F53DCFF66}" name="Column2663"/>
    <tableColumn id="2682" xr3:uid="{21AD7180-6486-5A42-A86F-F077C6A74184}" name="Column2664"/>
    <tableColumn id="2683" xr3:uid="{00E5ECF8-89DC-5643-BCBF-D41F87C4A09E}" name="Column2665"/>
    <tableColumn id="2684" xr3:uid="{1A695715-4CFE-1243-9955-05996A1990E3}" name="Column2666"/>
    <tableColumn id="2685" xr3:uid="{36E301C3-307F-764D-AA46-6859224F0895}" name="Column2667"/>
    <tableColumn id="2686" xr3:uid="{3FD20CE3-9B12-6449-95B0-38C9A138290C}" name="Column2668"/>
    <tableColumn id="2687" xr3:uid="{518517DD-F40F-F442-8EEE-69D627CF0385}" name="Column2669"/>
    <tableColumn id="2688" xr3:uid="{3C950E7E-A7EA-6A4B-8162-EDE0A90B1702}" name="Column2670"/>
    <tableColumn id="2689" xr3:uid="{DFD846D8-7560-AE44-8EC8-A26963D925B2}" name="Column2671"/>
    <tableColumn id="2690" xr3:uid="{B08EFE2C-0189-E541-B7C5-343B1A5C1D94}" name="Column2672"/>
    <tableColumn id="2691" xr3:uid="{8812884A-1534-C544-B205-BAB1EB392407}" name="Column2673"/>
    <tableColumn id="2692" xr3:uid="{C49C5EA9-7680-EC4C-8EB4-15348DA53F34}" name="Column2674"/>
    <tableColumn id="2693" xr3:uid="{AE9FA562-F509-B34A-B3CA-4A33629BADA4}" name="Column2675"/>
    <tableColumn id="2694" xr3:uid="{067A902E-F921-D54A-BBD3-354AEE2486EF}" name="Column2676"/>
    <tableColumn id="2695" xr3:uid="{4059FB61-5438-C448-AFC2-BBB57E99097C}" name="Column2677"/>
    <tableColumn id="2696" xr3:uid="{99124A6F-402B-F44A-A14C-D52C177A8962}" name="Column2678"/>
    <tableColumn id="2697" xr3:uid="{C1FC7170-E0E9-A044-A563-EF18486A0425}" name="Column2679"/>
    <tableColumn id="2698" xr3:uid="{ADECBB42-5418-C141-A625-F22992510FC6}" name="Column2680"/>
    <tableColumn id="2699" xr3:uid="{A78EB195-C50D-1E47-A982-A96DDFE02D79}" name="Column2681"/>
    <tableColumn id="2700" xr3:uid="{E66BCCA3-5846-314B-8011-FE2F497B6291}" name="Column2682"/>
    <tableColumn id="2701" xr3:uid="{0CC0A210-5496-1043-8530-BF7A69AEBE45}" name="Column2683"/>
    <tableColumn id="2702" xr3:uid="{D74CC172-570A-3145-ACFA-2408934A5583}" name="Column2684"/>
    <tableColumn id="2703" xr3:uid="{5E930108-901E-944F-8B1D-B89233B4FCF0}" name="Column2685"/>
    <tableColumn id="2704" xr3:uid="{7C47FB9D-0560-CE4D-8602-5170A8212F5E}" name="Column2686"/>
    <tableColumn id="2705" xr3:uid="{FA674E04-B9FC-1E40-91FA-54E0DEB276F8}" name="Column2687"/>
    <tableColumn id="2706" xr3:uid="{8BF1EB15-355B-7542-853E-70DF8E8C0235}" name="Column2688"/>
    <tableColumn id="2707" xr3:uid="{4BB1574C-A97C-154C-826E-7B9740FE6614}" name="Column2689"/>
    <tableColumn id="2708" xr3:uid="{65E569A9-8316-2F43-8FD1-D06974A1B9C8}" name="Column2690"/>
    <tableColumn id="2709" xr3:uid="{0DDA5FE2-0192-9A48-A54A-0DEAADBE10DB}" name="Column2691"/>
    <tableColumn id="2710" xr3:uid="{C7E5D684-0F90-144A-A549-1DC409BEA4CD}" name="Column2692"/>
    <tableColumn id="2711" xr3:uid="{AB0D6D5F-CB60-5940-92D4-E125517FCEB7}" name="Column2693"/>
    <tableColumn id="2712" xr3:uid="{83C3A367-67DC-E641-AAC4-028C33EEAEEE}" name="Column2694"/>
    <tableColumn id="2713" xr3:uid="{C3546C55-39DB-E543-AE8C-69917C118ADB}" name="Column2695"/>
    <tableColumn id="2714" xr3:uid="{507972C6-9F80-6B47-BFF6-8EEA912C9AC4}" name="Column2696"/>
    <tableColumn id="2715" xr3:uid="{239AAF6D-3099-A741-97FD-A5C9DFFBBA4F}" name="Column2697"/>
    <tableColumn id="2716" xr3:uid="{27E0FF3A-3530-9549-827D-9C40383056E2}" name="Column2698"/>
    <tableColumn id="2717" xr3:uid="{0533F25F-9CA1-8446-8C80-98CAA172C17E}" name="Column2699"/>
    <tableColumn id="2718" xr3:uid="{96AFB680-D880-344E-A552-79A846173A40}" name="Column2700"/>
    <tableColumn id="2719" xr3:uid="{91FEA077-0055-D242-B39D-C795219DB501}" name="Column2701"/>
    <tableColumn id="2720" xr3:uid="{A1B76BED-B626-5E42-ADC9-79C8B7D8EACD}" name="Column2702"/>
    <tableColumn id="2721" xr3:uid="{F946A678-8C85-474F-BB6E-7C7EDF50919C}" name="Column2703"/>
    <tableColumn id="2722" xr3:uid="{4BB9717B-EFC0-B34C-8C2C-63B982773C43}" name="Column2704"/>
    <tableColumn id="2723" xr3:uid="{0E0FEF6C-2C40-9246-816B-34E3A898C126}" name="Column2705"/>
    <tableColumn id="2724" xr3:uid="{3F067963-CA99-7843-BEFC-82A6560B7070}" name="Column2706"/>
    <tableColumn id="2725" xr3:uid="{9E63DF9D-2FD0-E747-B5E6-DE245F1AB7E4}" name="Column2707"/>
    <tableColumn id="2726" xr3:uid="{6911B36B-2180-FD4D-8F02-4DE4D97FA8D4}" name="Column2708"/>
    <tableColumn id="2727" xr3:uid="{43E56E54-7429-AF4D-8925-A124C3F8128E}" name="Column2709"/>
    <tableColumn id="2728" xr3:uid="{770D6077-C11F-484E-A8D8-2CB79F46C608}" name="Column2710"/>
    <tableColumn id="2729" xr3:uid="{5F13E354-6EA8-FE43-A810-B965F89CDD5D}" name="Column2711"/>
    <tableColumn id="2730" xr3:uid="{0D20CA85-1065-684C-9DE9-27FC08C4C814}" name="Column2712"/>
    <tableColumn id="2731" xr3:uid="{72A78C13-7EA6-1A42-A598-904EF4F8D662}" name="Column2713"/>
    <tableColumn id="2732" xr3:uid="{D83E0A71-1FF6-194E-907F-A2CFD86E50A6}" name="Column2714"/>
    <tableColumn id="2733" xr3:uid="{B8D85C74-C110-DB41-B43A-B4BFF655F6A3}" name="Column2715"/>
    <tableColumn id="2734" xr3:uid="{1158399F-E261-4345-B6D0-E7D03D799121}" name="Column2716"/>
    <tableColumn id="2735" xr3:uid="{B7988AD0-BD53-E646-8F58-7E616BEE080B}" name="Column2717"/>
    <tableColumn id="2736" xr3:uid="{24CDA28D-3C46-D24A-9C92-596F8271D0F9}" name="Column2718"/>
    <tableColumn id="2737" xr3:uid="{A4F4BEB3-997E-424A-80FE-85A720DD48F5}" name="Column2719"/>
    <tableColumn id="2738" xr3:uid="{49AFD418-45EA-0F41-8493-CE3550086BE1}" name="Column2720"/>
    <tableColumn id="2739" xr3:uid="{0D9C9492-29DF-BB49-B33E-041F182C09DD}" name="Column2721"/>
    <tableColumn id="2740" xr3:uid="{4094FA36-199E-324A-A440-A0190107D664}" name="Column2722"/>
    <tableColumn id="2741" xr3:uid="{5D3B237B-7E1A-B146-8D8D-4240CFBC2223}" name="Column2723"/>
    <tableColumn id="2742" xr3:uid="{F8910471-A826-B04D-8CDC-2FEF29FCE5B8}" name="Column2724"/>
    <tableColumn id="2743" xr3:uid="{C6DBA67A-3B26-2F46-9A23-CDB46594DC30}" name="Column2725"/>
    <tableColumn id="2744" xr3:uid="{42A24D07-ED41-2B42-AD54-94E078EE9265}" name="Column2726"/>
    <tableColumn id="2745" xr3:uid="{4ACD569A-4342-134B-89BC-2667CB00C07F}" name="Column2727"/>
    <tableColumn id="2746" xr3:uid="{3C0AA80C-8584-554A-AB67-0B77E406E54F}" name="Column2728"/>
    <tableColumn id="2747" xr3:uid="{8160C432-9905-5B4D-A9D8-DF705C28588C}" name="Column2729"/>
    <tableColumn id="2748" xr3:uid="{91619E1D-D642-5247-B93F-357A2749ACE9}" name="Column2730"/>
    <tableColumn id="2749" xr3:uid="{D1401F00-4FD3-C74A-87B0-44C9C89570DE}" name="Column2731"/>
    <tableColumn id="2750" xr3:uid="{2CBABC41-2152-F742-99E1-6629F3A99B52}" name="Column2732"/>
    <tableColumn id="2751" xr3:uid="{7B80CB61-37E1-1141-B1EF-D818A4B3BF9A}" name="Column2733"/>
    <tableColumn id="2752" xr3:uid="{2939A01C-9E2E-1A48-A6F9-EB7F4D862002}" name="Column2734"/>
    <tableColumn id="2753" xr3:uid="{C19785E6-9513-9749-8D04-BF8AB09EEF9B}" name="Column2735"/>
    <tableColumn id="2754" xr3:uid="{89821A6A-F113-654B-819D-9C61D1C1A2A9}" name="Column2736"/>
    <tableColumn id="2755" xr3:uid="{B0721BF3-5559-0444-B4AE-82DEC92E8669}" name="Column2737"/>
    <tableColumn id="2756" xr3:uid="{E64008E7-936F-5E40-AEB9-DAA7EB575475}" name="Column2738"/>
    <tableColumn id="2757" xr3:uid="{0E378C76-7F3C-C841-AC42-102366D78A5C}" name="Column2739"/>
    <tableColumn id="2758" xr3:uid="{557032D7-AA4C-B048-95FF-69DF5A2F8CE1}" name="Column2740"/>
    <tableColumn id="2759" xr3:uid="{74A043ED-C731-CE42-9A67-6C31B79C8D06}" name="Column2741"/>
    <tableColumn id="2760" xr3:uid="{71B5D303-1FD5-A041-965C-D85372A54087}" name="Column2742"/>
    <tableColumn id="2761" xr3:uid="{FA69AAE9-055E-2044-964A-8E843C5ED1DB}" name="Column2743"/>
    <tableColumn id="2762" xr3:uid="{04C549EE-BE4C-F545-8C98-FE7F86E6FE3B}" name="Column2744"/>
    <tableColumn id="2763" xr3:uid="{C84676A6-4660-3A42-83C6-AAA5E2DC2B8A}" name="Column2745"/>
    <tableColumn id="2764" xr3:uid="{A2BA9712-AAEF-5B47-83B3-9F6D511219B8}" name="Column2746"/>
    <tableColumn id="2765" xr3:uid="{A1BD7D1C-8827-2245-BF9F-6F5E8BDF9E40}" name="Column2747"/>
    <tableColumn id="2766" xr3:uid="{C513E2F4-25DD-9B42-B554-668846C42BC3}" name="Column2748"/>
    <tableColumn id="2767" xr3:uid="{44626BAA-CE28-CE42-926B-2696FC140A40}" name="Column2749"/>
    <tableColumn id="2768" xr3:uid="{39D5EF9A-ABA4-1B4C-AFB8-E9E0895C5212}" name="Column2750"/>
    <tableColumn id="2769" xr3:uid="{59B5AD45-034C-CF4B-BC71-BAB643AC93AA}" name="Column2751"/>
    <tableColumn id="2770" xr3:uid="{902429AF-5051-4247-8545-E92AAB44B6CD}" name="Column2752"/>
    <tableColumn id="2771" xr3:uid="{BE2554BC-894B-FA40-80F1-4D35F0E5F904}" name="Column2753"/>
    <tableColumn id="2772" xr3:uid="{50D64F54-2581-7744-A866-1D40EAAAF49B}" name="Column2754"/>
    <tableColumn id="2773" xr3:uid="{51F76A35-6E6D-7940-904E-0AE81022ADED}" name="Column2755"/>
    <tableColumn id="2774" xr3:uid="{DE92563E-ABFD-4F47-86B6-E41D87140E64}" name="Column2756"/>
    <tableColumn id="2775" xr3:uid="{D2FFCCB7-FE3E-674A-901A-B80DE2730B03}" name="Column2757"/>
    <tableColumn id="2776" xr3:uid="{1E9EF49A-D379-A349-822B-5BBBB5BFD435}" name="Column2758"/>
    <tableColumn id="2777" xr3:uid="{86C681B5-17D3-1D42-9D2C-547F17349F45}" name="Column2759"/>
    <tableColumn id="2778" xr3:uid="{730DF715-3D11-F349-A651-9328BF58B7E5}" name="Column2760"/>
    <tableColumn id="2779" xr3:uid="{9200EAEF-46FC-2E46-817D-E654BB7D2CCE}" name="Column2761"/>
    <tableColumn id="2780" xr3:uid="{F5100962-8324-2C43-AB22-5AF448E0245C}" name="Column2762"/>
    <tableColumn id="2781" xr3:uid="{6B294E0D-BCDB-6840-B833-B57CEADF4FF6}" name="Column2763"/>
    <tableColumn id="2782" xr3:uid="{4BBEE2F5-9B0A-5540-BC49-EE3A1B226A1F}" name="Column2764"/>
    <tableColumn id="2783" xr3:uid="{02D038ED-99A6-074A-B82F-A014B5C69520}" name="Column2765"/>
    <tableColumn id="2784" xr3:uid="{3005A24B-33C0-AB45-B205-6626F4847249}" name="Column2766"/>
    <tableColumn id="2785" xr3:uid="{5135D370-C69C-4F48-BA77-B34CBE1A4D93}" name="Column2767"/>
    <tableColumn id="2786" xr3:uid="{DED099BE-1D11-EC41-89E0-ECB095F9F31D}" name="Column2768"/>
    <tableColumn id="2787" xr3:uid="{2FB964B0-49D8-5343-B6E6-322C8E468346}" name="Column2769"/>
    <tableColumn id="2788" xr3:uid="{6E261CC6-D169-6141-ABC6-9BD6AD6BFC50}" name="Column2770"/>
    <tableColumn id="2789" xr3:uid="{575684F9-CD13-8641-9DC3-1387481C8068}" name="Column2771"/>
    <tableColumn id="2790" xr3:uid="{0D59D6DF-EA49-4946-A887-5DBBE22283B8}" name="Column2772"/>
    <tableColumn id="2791" xr3:uid="{F046D935-C8FD-E046-88F9-80A724C9913D}" name="Column2773"/>
    <tableColumn id="2792" xr3:uid="{D266360B-85B6-0542-87BF-131DD179E748}" name="Column2774"/>
    <tableColumn id="2793" xr3:uid="{42264B3F-96FF-0945-A3AD-1035A0533B04}" name="Column2775"/>
    <tableColumn id="2794" xr3:uid="{AC994B3A-B135-A34F-9650-53B6D8F0319F}" name="Column2776"/>
    <tableColumn id="2795" xr3:uid="{C4DCEC81-DEE7-E545-B4D7-BAF3395D270B}" name="Column2777"/>
    <tableColumn id="2796" xr3:uid="{F16DFCFF-9D31-E94D-94AC-9B391E86E3A2}" name="Column2778"/>
    <tableColumn id="2797" xr3:uid="{09285382-8079-634D-9DB6-9DA09B9C127A}" name="Column2779"/>
    <tableColumn id="2798" xr3:uid="{6396559E-C992-4241-A591-E206CF161FA0}" name="Column2780"/>
    <tableColumn id="2799" xr3:uid="{EB2869AC-8C43-0D44-9BE3-AE12AF310192}" name="Column2781"/>
    <tableColumn id="2800" xr3:uid="{6704B096-25AD-174F-A702-C578418D1210}" name="Column2782"/>
    <tableColumn id="2801" xr3:uid="{170E2933-EA02-BF4D-9A97-C8816829E134}" name="Column2783"/>
    <tableColumn id="2802" xr3:uid="{CF8BF7BA-34F3-C84D-A70C-FC8D5DB30257}" name="Column2784"/>
    <tableColumn id="2803" xr3:uid="{1385CB87-F531-0D41-887D-D5F9A8D161C5}" name="Column2785"/>
    <tableColumn id="2804" xr3:uid="{49AB2600-AA36-454D-AAB0-78FD205CC141}" name="Column2786"/>
    <tableColumn id="2805" xr3:uid="{08E811C3-9FA5-074C-9E0B-F6FA1E4D472F}" name="Column2787"/>
    <tableColumn id="2806" xr3:uid="{2F660EAB-A9DE-5F43-A793-F5D283CF583E}" name="Column2788"/>
    <tableColumn id="2807" xr3:uid="{D43CBC32-2300-F244-BCE6-F531407F3092}" name="Column2789"/>
    <tableColumn id="2808" xr3:uid="{AA64ACA9-B1A0-7E40-97FA-BC0727153EC7}" name="Column2790"/>
    <tableColumn id="2809" xr3:uid="{D1B85EB2-7962-7343-B94B-909D4F71C8CA}" name="Column2791"/>
    <tableColumn id="2810" xr3:uid="{D228DA80-C42C-7947-BA6F-919BE195BE79}" name="Column2792"/>
    <tableColumn id="2811" xr3:uid="{8C461B64-2780-CD42-871C-4BBC0E3C11A4}" name="Column2793"/>
    <tableColumn id="2812" xr3:uid="{5ABCA3FF-2EA8-1141-9C7F-5F8902112B66}" name="Column2794"/>
    <tableColumn id="2813" xr3:uid="{11020EE9-C6F0-B343-88C0-4F4A6E6516B4}" name="Column2795"/>
    <tableColumn id="2814" xr3:uid="{04318648-B919-1E4A-B7D3-336C80A59E4B}" name="Column2796"/>
    <tableColumn id="2815" xr3:uid="{8798B88A-D797-2743-8B77-E822B5B4C876}" name="Column2797"/>
    <tableColumn id="2816" xr3:uid="{24680D37-D854-384A-B9E9-39690BE65DF8}" name="Column2798"/>
    <tableColumn id="2817" xr3:uid="{A00E0B16-3043-9E41-8FAD-9CC300121AC7}" name="Column2799"/>
    <tableColumn id="2818" xr3:uid="{E17880EB-FEEB-1547-8A7F-78D8FE435BFC}" name="Column2800"/>
    <tableColumn id="2819" xr3:uid="{5CC3DCB2-264C-5B49-B29D-5BDAB3EA910B}" name="Column2801"/>
    <tableColumn id="2820" xr3:uid="{3B882056-9998-8F4F-A148-E24CFF68F808}" name="Column2802"/>
    <tableColumn id="2821" xr3:uid="{6F913030-8AC0-FE45-9AF5-49BEEC32EC44}" name="Column2803"/>
    <tableColumn id="2822" xr3:uid="{626FBB9E-F4B6-174D-ADD2-19A6106D2BCC}" name="Column2804"/>
    <tableColumn id="2823" xr3:uid="{D182CF41-4300-244B-B82D-097BA59E95AD}" name="Column2805"/>
    <tableColumn id="2824" xr3:uid="{CA4E0403-58F1-EA46-A875-5B8F83947BB0}" name="Column2806"/>
    <tableColumn id="2825" xr3:uid="{FE770CD3-006D-0F40-8044-0B34880D3C6D}" name="Column2807"/>
    <tableColumn id="2826" xr3:uid="{67ADF5C0-75A6-E946-A907-B10EB02A0958}" name="Column2808"/>
    <tableColumn id="2827" xr3:uid="{D8118BDB-8ED8-D34A-9227-54907A957521}" name="Column2809"/>
    <tableColumn id="2828" xr3:uid="{BDD19FA5-F40C-5943-A2C0-91BA03532D46}" name="Column2810"/>
    <tableColumn id="2829" xr3:uid="{B3390CA8-CA39-3640-8253-1C8C3AC7C1BB}" name="Column2811"/>
    <tableColumn id="2830" xr3:uid="{D90883D6-576D-4D4A-A56F-7739426591CD}" name="Column2812"/>
    <tableColumn id="2831" xr3:uid="{32B94825-CE36-8E40-B05F-7AB5E16B2A05}" name="Column2813"/>
    <tableColumn id="2832" xr3:uid="{2D091208-96D2-3A42-874D-F41195B9B4A0}" name="Column2814"/>
    <tableColumn id="2833" xr3:uid="{514FF1A5-960C-B242-9273-5E87ED7B7A34}" name="Column2815"/>
    <tableColumn id="2834" xr3:uid="{37548A6C-1387-6841-88A1-6D671F64EFF2}" name="Column2816"/>
    <tableColumn id="2835" xr3:uid="{C0DAB3A1-6A52-9B4D-97F6-8BB693201EFD}" name="Column2817"/>
    <tableColumn id="2836" xr3:uid="{D85A6AE3-7BF7-5F4B-9799-8D5EFDD1404D}" name="Column2818"/>
    <tableColumn id="2837" xr3:uid="{E36458FF-B771-B844-BE6E-82C4F7BD0B40}" name="Column2819"/>
    <tableColumn id="2838" xr3:uid="{812897B0-EC95-8C46-819A-F25DAECA8C7F}" name="Column2820"/>
    <tableColumn id="2839" xr3:uid="{C016282A-BE60-B048-ABAB-3414410DCE50}" name="Column2821"/>
    <tableColumn id="2840" xr3:uid="{2E437162-B036-9940-A19B-2588C6844AAC}" name="Column2822"/>
    <tableColumn id="2841" xr3:uid="{B3B1D84D-412A-0047-95B1-AE10B239B5B4}" name="Column2823"/>
    <tableColumn id="2842" xr3:uid="{19D5F1B3-BB14-9049-8A4D-7F9F7AA84131}" name="Column2824"/>
    <tableColumn id="2843" xr3:uid="{B65F04DE-B69F-9F45-AB9E-AC3D0BB980C6}" name="Column2825"/>
    <tableColumn id="2844" xr3:uid="{A68B0223-82F7-2F4A-ACF4-3C80B31D36AD}" name="Column2826"/>
    <tableColumn id="2845" xr3:uid="{348D9A9E-CDCE-3F4F-82A8-6EBA63520C1F}" name="Column2827"/>
    <tableColumn id="2846" xr3:uid="{EBBE78B9-6CEA-014D-900C-AF07FD1B30AD}" name="Column2828"/>
    <tableColumn id="2847" xr3:uid="{92BA4073-977F-024F-9F10-650D615BEEE7}" name="Column2829"/>
    <tableColumn id="2848" xr3:uid="{F4F912CE-90C9-8A48-9059-29CED18953BE}" name="Column2830"/>
    <tableColumn id="2849" xr3:uid="{9ABF42EB-150D-EA43-8FA7-472938A91351}" name="Column2831"/>
    <tableColumn id="2850" xr3:uid="{DD602DF6-7994-AD47-B5B0-583E5AFEB731}" name="Column2832"/>
    <tableColumn id="2851" xr3:uid="{A41F493A-0D54-524D-AD9A-EE7B1F8DC527}" name="Column2833"/>
    <tableColumn id="2852" xr3:uid="{E3ED3ECF-21CB-3243-B808-A0D23568F720}" name="Column2834"/>
    <tableColumn id="2853" xr3:uid="{4DA161D2-C5B2-3040-BC07-BB19ABEDF7E5}" name="Column2835"/>
    <tableColumn id="2854" xr3:uid="{FDF2DD5F-AE2B-BA40-AA14-C8AFFDC234A8}" name="Column2836"/>
    <tableColumn id="2855" xr3:uid="{54811C7F-B720-184D-998B-977F54E9E878}" name="Column2837"/>
    <tableColumn id="2856" xr3:uid="{B5CA8AC5-DE02-5142-B28E-A9F764242C79}" name="Column2838"/>
    <tableColumn id="2857" xr3:uid="{B98341E5-F8BC-8D41-A91A-3B76CC6D6B12}" name="Column2839"/>
    <tableColumn id="2858" xr3:uid="{70FC32CD-908E-0D4E-B745-AC5B82D98C27}" name="Column2840"/>
    <tableColumn id="2859" xr3:uid="{614D0E14-2445-D44B-AF56-A9EB9CE4DF1A}" name="Column2841"/>
    <tableColumn id="2860" xr3:uid="{9E1F9F5F-3285-884E-86DC-620EAFB7CF5E}" name="Column2842"/>
    <tableColumn id="2861" xr3:uid="{61B6D21D-CF51-B645-8310-A4A8D6EA5747}" name="Column2843"/>
    <tableColumn id="2862" xr3:uid="{729CB7D9-21FB-464F-8A52-F3C7C3D03280}" name="Column2844"/>
    <tableColumn id="2863" xr3:uid="{54A4BA92-85C6-ED40-91E7-25CC0B834B17}" name="Column2845"/>
    <tableColumn id="2864" xr3:uid="{56838516-80EA-7E4E-8C17-87C1F68613BF}" name="Column2846"/>
    <tableColumn id="2865" xr3:uid="{723650AC-A43E-0947-978E-57AF7302787D}" name="Column2847"/>
    <tableColumn id="2866" xr3:uid="{A6BD455E-A1CA-CF41-A318-31C90EC30E98}" name="Column2848"/>
    <tableColumn id="2867" xr3:uid="{BF5D8224-66AC-A242-A1FF-3DDC25234047}" name="Column2849"/>
    <tableColumn id="2868" xr3:uid="{C97576D5-E124-114D-B2F5-07C55854A1A0}" name="Column2850"/>
    <tableColumn id="2869" xr3:uid="{694C78B9-F868-ED40-8D27-D93A7AB337B1}" name="Column2851"/>
    <tableColumn id="2870" xr3:uid="{E38A0379-13F8-2E43-80F3-F03DC08A2852}" name="Column2852"/>
    <tableColumn id="2871" xr3:uid="{CEFC487F-20C2-B942-885C-0B822E28D402}" name="Column2853"/>
    <tableColumn id="2872" xr3:uid="{E84651DE-86BE-E342-BAEF-66C7CD9A54B3}" name="Column2854"/>
    <tableColumn id="2873" xr3:uid="{00672E8F-D360-E247-8052-5128DBEB167A}" name="Column2855"/>
    <tableColumn id="2874" xr3:uid="{E5593CA1-79AF-E742-8537-2D92185C90A2}" name="Column2856"/>
    <tableColumn id="2875" xr3:uid="{F6788101-949C-6741-8D41-071C564C9AED}" name="Column2857"/>
    <tableColumn id="2876" xr3:uid="{2CDAFA04-83A3-E941-A9D7-CA33E378EF93}" name="Column2858"/>
    <tableColumn id="2877" xr3:uid="{186A7D97-456C-BA4D-9E63-3110C46D7718}" name="Column2859"/>
    <tableColumn id="2878" xr3:uid="{AA4C9ADC-0C7C-3C42-9C66-2C5EC3C6B355}" name="Column2860"/>
    <tableColumn id="2879" xr3:uid="{FCFB2CC1-F8F2-0F42-8B8A-BC14F8C27A37}" name="Column2861"/>
    <tableColumn id="2880" xr3:uid="{FD7CA26F-8AAB-1F44-BDEC-34C1B4AF3D6D}" name="Column2862"/>
    <tableColumn id="2881" xr3:uid="{11FB40E6-45BC-6F4A-816B-44BE432B2905}" name="Column2863"/>
    <tableColumn id="2882" xr3:uid="{50C205C2-91BF-C749-8528-2B54F89FE9D6}" name="Column2864"/>
    <tableColumn id="2883" xr3:uid="{648620DE-26A4-B84C-8608-C38794CB6D8C}" name="Column2865"/>
    <tableColumn id="2884" xr3:uid="{E8D90334-4359-A443-95F0-EE6B71510BEC}" name="Column2866"/>
    <tableColumn id="2885" xr3:uid="{D980DA26-7517-4349-966D-F125A5B09A6C}" name="Column2867"/>
    <tableColumn id="2886" xr3:uid="{4186AB69-33DC-9F44-9D84-E8F652EF7A88}" name="Column2868"/>
    <tableColumn id="2887" xr3:uid="{3C9D9631-0EED-9148-AB58-87D11FE90BA9}" name="Column2869"/>
    <tableColumn id="2888" xr3:uid="{FF1A692F-9E22-9741-9CC0-D98EE2973B1D}" name="Column2870"/>
    <tableColumn id="2889" xr3:uid="{DCE18EEF-8876-D749-8F63-0EFA2177FF7A}" name="Column2871"/>
    <tableColumn id="2890" xr3:uid="{EC2BD9D0-383E-DF43-8769-B36D93645AEE}" name="Column2872"/>
    <tableColumn id="2891" xr3:uid="{DD3CB5B5-08EB-3846-AAD8-8083B0C9EE4D}" name="Column2873"/>
    <tableColumn id="2892" xr3:uid="{045BCA1A-8689-3B48-AE0D-C32811317189}" name="Column2874"/>
    <tableColumn id="2893" xr3:uid="{5A11A6AE-8518-D643-AA0F-564C1BAD3EE1}" name="Column2875"/>
    <tableColumn id="2894" xr3:uid="{5F0D046D-7035-A743-AF6E-A8039256A0C7}" name="Column2876"/>
    <tableColumn id="2895" xr3:uid="{CDA293C1-9815-0D41-AF01-E22212BF9FC6}" name="Column2877"/>
    <tableColumn id="2896" xr3:uid="{BA96D6CB-ECFF-974D-A457-A38FE60313C0}" name="Column2878"/>
    <tableColumn id="2897" xr3:uid="{9742BDD8-FDAC-7549-AB29-D454254FD78B}" name="Column2879"/>
    <tableColumn id="2898" xr3:uid="{01D07374-B579-C944-B302-71C1A9C6C994}" name="Column2880"/>
    <tableColumn id="2899" xr3:uid="{B599D02F-F595-D64C-A7C1-18A054940B73}" name="Column2881"/>
    <tableColumn id="2900" xr3:uid="{705BAB97-12DC-9449-9AB5-AB6FD1054F51}" name="Column2882"/>
    <tableColumn id="2901" xr3:uid="{4E6E9A84-6110-1442-B893-60EA6F9157C6}" name="Column2883"/>
    <tableColumn id="2902" xr3:uid="{7620C69B-86B7-CA41-9009-81E52A01C97E}" name="Column2884"/>
    <tableColumn id="2903" xr3:uid="{280EBB37-582C-0549-B22D-2EB9FA367491}" name="Column2885"/>
    <tableColumn id="2904" xr3:uid="{D364D224-855C-074A-B78E-940B3C9EA63F}" name="Column2886"/>
    <tableColumn id="2905" xr3:uid="{D7D44D2F-08FF-6640-BC89-7A628A83D05D}" name="Column2887"/>
    <tableColumn id="2906" xr3:uid="{9FAC7CB4-7D11-1247-855C-EAFED2F039B0}" name="Column2888"/>
    <tableColumn id="2907" xr3:uid="{24973055-C68D-1A4D-BCAD-3937B208A945}" name="Column2889"/>
    <tableColumn id="2908" xr3:uid="{BFB27C12-FCC4-7545-9D92-1B80900F606F}" name="Column2890"/>
    <tableColumn id="2909" xr3:uid="{D21D1208-BE37-D444-9C01-7B25361704B5}" name="Column2891"/>
    <tableColumn id="2910" xr3:uid="{25FE346B-A63F-7C4A-9BFD-1BAEEC42E35D}" name="Column2892"/>
    <tableColumn id="2911" xr3:uid="{83B58A7A-A061-B346-AC4E-639BBE735C33}" name="Column2893"/>
    <tableColumn id="2912" xr3:uid="{64BCAFD6-5876-604B-BC64-FA988D8A9708}" name="Column2894"/>
    <tableColumn id="2913" xr3:uid="{686678AD-85B9-4F4C-90D5-C13A43C2B37F}" name="Column2895"/>
    <tableColumn id="2914" xr3:uid="{381C1EF1-40E8-214E-9E96-6C3C3F38A111}" name="Column2896"/>
    <tableColumn id="2915" xr3:uid="{5161FCA6-972E-6F41-AC2F-56C6AD347E04}" name="Column2897"/>
    <tableColumn id="2916" xr3:uid="{504E3A7C-387E-5045-859B-FCAD7A5F71EE}" name="Column2898"/>
    <tableColumn id="2917" xr3:uid="{449A1AC4-C8C9-D94A-83DD-234A0E014F81}" name="Column2899"/>
    <tableColumn id="2918" xr3:uid="{580C69D2-9B31-EA4B-82EC-DBF99A27AB32}" name="Column2900"/>
    <tableColumn id="2919" xr3:uid="{9D46E289-8C63-C449-B2DB-2A023C9157EF}" name="Column2901"/>
    <tableColumn id="2920" xr3:uid="{0A51FE73-021B-FD44-8A65-FA0D515219FC}" name="Column2902"/>
    <tableColumn id="2921" xr3:uid="{BF65D855-9D96-4142-9E55-8C4DCDF049F3}" name="Column2903"/>
    <tableColumn id="2922" xr3:uid="{D9FEB228-F64C-E841-893F-01EEFC40310D}" name="Column2904"/>
    <tableColumn id="2923" xr3:uid="{74776526-464D-8B48-941B-7FF498876D7A}" name="Column2905"/>
    <tableColumn id="2924" xr3:uid="{D5A30760-6251-1B4F-9B63-8A9D3079266E}" name="Column2906"/>
    <tableColumn id="2925" xr3:uid="{3A84F9ED-16DD-3F45-A442-5079E567B58D}" name="Column2907"/>
    <tableColumn id="2926" xr3:uid="{FF1BCC59-549E-884A-92EE-60D823D23F0B}" name="Column2908"/>
    <tableColumn id="2927" xr3:uid="{9D3410D4-C08E-AC4B-A128-2E9A2552ED87}" name="Column2909"/>
    <tableColumn id="2928" xr3:uid="{C2DDB70A-1C78-584A-9EF8-73F05704491C}" name="Column2910"/>
    <tableColumn id="2929" xr3:uid="{62CD6666-C03E-804E-B778-69B7C3261291}" name="Column2911"/>
    <tableColumn id="2930" xr3:uid="{13316CED-F8D5-5A49-B199-0A1370F792E8}" name="Column2912"/>
    <tableColumn id="2931" xr3:uid="{3806DF0E-A05A-084C-BB5A-43D0C1E2797C}" name="Column2913"/>
    <tableColumn id="2932" xr3:uid="{2EC749E9-25A7-2040-AA09-092BFB8BA25D}" name="Column2914"/>
    <tableColumn id="2933" xr3:uid="{EC154161-5445-6A45-9729-2620D163EAF6}" name="Column2915"/>
    <tableColumn id="2934" xr3:uid="{DA11E247-25E0-3F47-A280-4D9ADF9EA02A}" name="Column2916"/>
    <tableColumn id="2935" xr3:uid="{B6B284C0-50AE-6345-8169-50109D9B37A1}" name="Column2917"/>
    <tableColumn id="2936" xr3:uid="{66CD13A2-5E95-1543-A3A9-6AC23E6F61D2}" name="Column2918"/>
    <tableColumn id="2937" xr3:uid="{4E1C4437-FA5A-2243-91EE-738A4DCAA22A}" name="Column2919"/>
    <tableColumn id="2938" xr3:uid="{2DC327B2-80EE-D34B-9F8A-D7D04D0A00A8}" name="Column2920"/>
    <tableColumn id="2939" xr3:uid="{FF2DB0E0-81A8-B04A-80E6-0F8B2613F895}" name="Column2921"/>
    <tableColumn id="2940" xr3:uid="{E790FE1C-2766-4144-9C38-51DD6D90DFAD}" name="Column2922"/>
    <tableColumn id="2941" xr3:uid="{ACF298E3-B5B4-6341-B2E9-A29734CD5F7D}" name="Column2923"/>
    <tableColumn id="2942" xr3:uid="{F664C6F3-000E-4E41-A5FA-FC3BE50114CC}" name="Column2924"/>
    <tableColumn id="2943" xr3:uid="{46C5F2A1-CF3F-9542-A31F-30A55ED1EFFC}" name="Column2925"/>
    <tableColumn id="2944" xr3:uid="{684DA421-70E0-244B-92E0-190F446FE782}" name="Column2926"/>
    <tableColumn id="2945" xr3:uid="{A82A5BC9-2917-D34E-A421-696F91F12EEA}" name="Column2927"/>
    <tableColumn id="2946" xr3:uid="{B57A73DD-A9E3-A747-B3E0-1D351E078BAA}" name="Column2928"/>
    <tableColumn id="2947" xr3:uid="{CBEB75C1-E25F-FE42-A36C-95755C6FD2CF}" name="Column2929"/>
    <tableColumn id="2948" xr3:uid="{BC870616-B14B-7840-A5E9-8699DC883B1B}" name="Column2930"/>
    <tableColumn id="2949" xr3:uid="{81D472FA-A698-5A4C-9763-C4437F6A6C50}" name="Column2931"/>
    <tableColumn id="2950" xr3:uid="{94AD01BB-3424-AF42-A46E-71928F0D3EF6}" name="Column2932"/>
    <tableColumn id="2951" xr3:uid="{6B319B46-FD24-7E41-BD28-F3E892B5F325}" name="Column2933"/>
    <tableColumn id="2952" xr3:uid="{081D53F8-2001-9D44-94F1-DB37FE233035}" name="Column2934"/>
    <tableColumn id="2953" xr3:uid="{60FADAD2-8BB3-7C45-8596-859A83996D8C}" name="Column2935"/>
    <tableColumn id="2954" xr3:uid="{B8D1BBBA-4B3F-5349-8337-64259DCF1B36}" name="Column2936"/>
    <tableColumn id="2955" xr3:uid="{23412383-C7BE-2941-807C-5D7981F00A76}" name="Column2937"/>
    <tableColumn id="2956" xr3:uid="{EC1E78E7-CF78-1D40-A1AE-FA153E1E12E7}" name="Column2938"/>
    <tableColumn id="2957" xr3:uid="{8713AA41-826A-0C4A-9C6E-AD2F9ACB2DB2}" name="Column2939"/>
    <tableColumn id="2958" xr3:uid="{BC9C2C28-A1BE-9F4D-9C77-30BFA25FE3C2}" name="Column2940"/>
    <tableColumn id="2959" xr3:uid="{0ECA655E-208E-E248-8576-EC6358886882}" name="Column2941"/>
    <tableColumn id="2960" xr3:uid="{18FC2A43-7BC1-8141-8709-46553028FF09}" name="Column2942"/>
    <tableColumn id="2961" xr3:uid="{96390EEC-F4C6-BD41-9D6A-8E3DB1D87BB7}" name="Column2943"/>
    <tableColumn id="2962" xr3:uid="{5268B103-22BF-6B41-88FF-C244A8FC6322}" name="Column2944"/>
    <tableColumn id="2963" xr3:uid="{25F14DE5-088F-E546-9D57-24EAC9249B92}" name="Column2945"/>
    <tableColumn id="2964" xr3:uid="{E886016B-6F25-8046-B0CA-EA5EDD63960C}" name="Column2946"/>
    <tableColumn id="2965" xr3:uid="{CDE5AA67-8890-694B-897D-2E1E312DEE7D}" name="Column2947"/>
    <tableColumn id="2966" xr3:uid="{9417C896-E024-4A40-B898-39540F9EBB9F}" name="Column2948"/>
    <tableColumn id="2967" xr3:uid="{638D93BD-ED42-7B42-AB3C-106DC0898CAA}" name="Column2949"/>
    <tableColumn id="2968" xr3:uid="{276E2F33-9065-344B-89C7-547012A7BACA}" name="Column2950"/>
    <tableColumn id="2969" xr3:uid="{9F2317FC-95A9-0749-88A0-E9F25401CED7}" name="Column2951"/>
    <tableColumn id="2970" xr3:uid="{8B051795-3E7B-B64F-B746-5ECFFE62A240}" name="Column2952"/>
    <tableColumn id="2971" xr3:uid="{6C7A8490-7A8D-F74A-B14D-8C8A0927BC89}" name="Column2953"/>
    <tableColumn id="2972" xr3:uid="{F2E595F5-7F68-0342-B588-7F5237476EAB}" name="Column2954"/>
    <tableColumn id="2973" xr3:uid="{96EF30C2-79EE-D246-A4D7-1FFAB393A144}" name="Column2955"/>
    <tableColumn id="2974" xr3:uid="{93103A50-F0BB-C549-8DFA-0F7208109CF5}" name="Column2956"/>
    <tableColumn id="2975" xr3:uid="{B96036D3-BD66-AA49-B485-D556158740EC}" name="Column2957"/>
    <tableColumn id="2976" xr3:uid="{5F32B311-3613-9F45-9715-3247065C7561}" name="Column2958"/>
    <tableColumn id="2977" xr3:uid="{4D7887AD-D5AC-F743-BF70-1061EBA3F47C}" name="Column2959"/>
    <tableColumn id="2978" xr3:uid="{90B9E894-C482-A54C-AE08-3CFDCB41D790}" name="Column2960"/>
    <tableColumn id="2979" xr3:uid="{6CCA82F1-600C-1740-9154-35775B485540}" name="Column2961"/>
    <tableColumn id="2980" xr3:uid="{0D0CD158-FDCF-4242-A9B6-CD282D03147B}" name="Column2962"/>
    <tableColumn id="2981" xr3:uid="{EE63F642-1096-DA45-A94B-E92F505D13F5}" name="Column2963"/>
    <tableColumn id="2982" xr3:uid="{C862FE18-877F-A44E-BDFE-879687612914}" name="Column2964"/>
    <tableColumn id="2983" xr3:uid="{5C50AF54-4434-AC43-B6D4-4711FCBBA89F}" name="Column2965"/>
    <tableColumn id="2984" xr3:uid="{B38AB0DE-2AEF-DA43-AC8A-5B5EBAA2A8E3}" name="Column2966"/>
    <tableColumn id="2985" xr3:uid="{EAC9695F-5646-DE4D-A985-8191246BD959}" name="Column2967"/>
    <tableColumn id="2986" xr3:uid="{B46D92FD-8CF6-BC47-B6EC-6D81FA7EB847}" name="Column2968"/>
    <tableColumn id="2987" xr3:uid="{9B370448-FA5D-9246-94DD-A290BF9B53BA}" name="Column2969"/>
    <tableColumn id="2988" xr3:uid="{EDA8FA91-4BC3-C842-8891-2FA47ACE9E6D}" name="Column2970"/>
    <tableColumn id="2989" xr3:uid="{FCC05675-76BA-E64D-A33A-811039475E42}" name="Column2971"/>
    <tableColumn id="2990" xr3:uid="{FFC2D8C5-32E0-4544-BAFA-31FAE7C39C4A}" name="Column2972"/>
    <tableColumn id="2991" xr3:uid="{96D9A60A-CBC4-3846-B15E-335F2450994A}" name="Column2973"/>
    <tableColumn id="2992" xr3:uid="{794851CA-4398-5543-ACC2-5BF5B35C0AB2}" name="Column2974"/>
    <tableColumn id="2993" xr3:uid="{A2DDFE39-9974-2048-A9A8-58225B511168}" name="Column2975"/>
    <tableColumn id="2994" xr3:uid="{5773DDE5-82A8-F74C-8334-27A8C49C7971}" name="Column2976"/>
    <tableColumn id="2995" xr3:uid="{E1224484-4E9A-9F4D-961C-B2BEE1E1DEAC}" name="Column2977"/>
    <tableColumn id="2996" xr3:uid="{6148D841-5B62-4C43-8686-73959E45DE9B}" name="Column2978"/>
    <tableColumn id="2997" xr3:uid="{1A4BCB96-70E9-7D4B-B0C3-A78C99C3E6CB}" name="Column2979"/>
    <tableColumn id="2998" xr3:uid="{C459A6E7-86B6-374B-8DFA-5B440295D3B9}" name="Column2980"/>
    <tableColumn id="2999" xr3:uid="{59EAE53E-DFA5-CE47-8A0E-F2868D4B1D40}" name="Column2981"/>
    <tableColumn id="3000" xr3:uid="{5E09B083-067C-F043-BDA4-D3E4009EB1B8}" name="Column2982"/>
    <tableColumn id="3001" xr3:uid="{04C68F6B-44E2-C54D-B213-7E12B79313F2}" name="Column2983"/>
    <tableColumn id="3002" xr3:uid="{D6D4B908-5C25-6D4A-B245-8864AEC7A77E}" name="Column2984"/>
    <tableColumn id="3003" xr3:uid="{9D79FD5F-6AB7-C94B-B3A2-FC2FF91D1A58}" name="Column2985"/>
    <tableColumn id="3004" xr3:uid="{DEE80379-A452-A742-8FB1-7724BFA29CA1}" name="Column2986"/>
    <tableColumn id="3005" xr3:uid="{A9082F75-8DC5-D840-BB36-D2ED7B576E4A}" name="Column2987"/>
    <tableColumn id="3006" xr3:uid="{1ED64589-E21F-8540-A890-F655BA28008C}" name="Column2988"/>
    <tableColumn id="3007" xr3:uid="{9F7BFF61-2658-1242-B11E-1A5B5DB9AFCA}" name="Column2989"/>
    <tableColumn id="3008" xr3:uid="{0474ECD5-18E7-4142-829A-5EAC48114097}" name="Column2990"/>
    <tableColumn id="3009" xr3:uid="{8C813FC6-DE11-A14C-94B8-A40E1E72D4F7}" name="Column2991"/>
    <tableColumn id="3010" xr3:uid="{DACE124A-05AF-0945-B7D7-5B74B395A024}" name="Column2992"/>
    <tableColumn id="3011" xr3:uid="{264EE6CC-0625-F547-9522-FBBF4B66E54E}" name="Column2993"/>
    <tableColumn id="3012" xr3:uid="{6AA5E9C7-B8D8-AF40-A9F0-67A48904200B}" name="Column2994"/>
    <tableColumn id="3013" xr3:uid="{B6463C70-4AD8-284A-AA74-D75C8F7CAA8B}" name="Column2995"/>
    <tableColumn id="3014" xr3:uid="{CBA42FC2-DF54-B549-818F-2047DB1CD8B3}" name="Column2996"/>
    <tableColumn id="3015" xr3:uid="{E23478D9-CE4B-E34E-89BA-386F60040648}" name="Column2997"/>
    <tableColumn id="3016" xr3:uid="{AE90EDC2-E353-4A44-92A1-15CFAB03687F}" name="Column2998"/>
    <tableColumn id="3017" xr3:uid="{9439572E-CBC7-A04F-B6CC-AB91704BC62E}" name="Column2999"/>
    <tableColumn id="3018" xr3:uid="{17ED6922-9CB9-5A4C-ACD8-3F7A274D9044}" name="Column3000"/>
    <tableColumn id="3019" xr3:uid="{6CE3EDC7-472D-664E-A9AA-0F2FC03AA1AA}" name="Column3001"/>
    <tableColumn id="3020" xr3:uid="{D095EA1A-5170-2E43-8477-5901B5064046}" name="Column3002"/>
    <tableColumn id="3021" xr3:uid="{17B30DCA-D252-0B43-8863-774F0705A25E}" name="Column3003"/>
    <tableColumn id="3022" xr3:uid="{A337BA13-860F-E94F-B162-C7F0530A319A}" name="Column3004"/>
    <tableColumn id="3023" xr3:uid="{9A4C172A-3271-6942-8403-9A8DF01D1721}" name="Column3005"/>
    <tableColumn id="3024" xr3:uid="{1F29E681-71A7-184B-B144-8DF7BCAD8A4F}" name="Column3006"/>
    <tableColumn id="3025" xr3:uid="{5137BFCF-8681-7A46-8B92-74643DD40A7B}" name="Column3007"/>
    <tableColumn id="3026" xr3:uid="{D2B39E1B-E39C-D746-9631-DE6D64700221}" name="Column3008"/>
    <tableColumn id="3027" xr3:uid="{3A9FE46B-6F9E-0647-ACA7-F556E6B1344E}" name="Column3009"/>
    <tableColumn id="3028" xr3:uid="{DBD0D58A-DF31-4140-8FD2-DB284DB3E864}" name="Column3010"/>
    <tableColumn id="3029" xr3:uid="{B0EB1DE0-F003-8247-B705-DC4C611C1925}" name="Column3011"/>
    <tableColumn id="3030" xr3:uid="{694D2B45-251F-1E48-AF31-5FEF81AEDDDF}" name="Column3012"/>
    <tableColumn id="3031" xr3:uid="{ADFBE85A-E254-B74D-A186-EEE893982F1F}" name="Column3013"/>
    <tableColumn id="3032" xr3:uid="{305E3D05-1FC8-F043-AF54-48AEE5CCED0F}" name="Column3014"/>
    <tableColumn id="3033" xr3:uid="{176EE315-6BB4-3C40-9977-A423D716A74E}" name="Column3015"/>
    <tableColumn id="3034" xr3:uid="{EE55D89C-A74D-9349-903A-36EE985B9326}" name="Column3016"/>
    <tableColumn id="3035" xr3:uid="{CCD1E9FC-8C53-CF43-9B06-C3C90CE9CEF7}" name="Column3017"/>
    <tableColumn id="3036" xr3:uid="{00476486-F344-5441-877F-42045BD5D3E4}" name="Column3018"/>
    <tableColumn id="3037" xr3:uid="{2E3235D7-4C79-1442-887B-265E5D8292D2}" name="Column3019"/>
    <tableColumn id="3038" xr3:uid="{75623532-C636-8D46-B30B-0AC239E83E05}" name="Column3020"/>
    <tableColumn id="3039" xr3:uid="{2162F1AC-F65A-5644-8D17-001238D587A5}" name="Column3021"/>
    <tableColumn id="3040" xr3:uid="{7AA6618E-8B1B-3A49-A363-158B78366420}" name="Column3022"/>
    <tableColumn id="3041" xr3:uid="{3E6EAEBD-741D-6147-930F-26530EDEE041}" name="Column3023"/>
    <tableColumn id="3042" xr3:uid="{91C737FA-96CF-7842-9205-541782EFF24C}" name="Column3024"/>
    <tableColumn id="3043" xr3:uid="{2909F9B8-9187-FB49-9167-5F41FC095A0A}" name="Column3025"/>
    <tableColumn id="3044" xr3:uid="{EE0B6C93-2A7E-434D-A844-7675C182B1B1}" name="Column3026"/>
    <tableColumn id="3045" xr3:uid="{003B04FC-F90D-9A4D-8358-EF35F6544D28}" name="Column3027"/>
    <tableColumn id="3046" xr3:uid="{749B7AE5-04C3-7342-89CA-79D683EB551A}" name="Column3028"/>
    <tableColumn id="3047" xr3:uid="{5B53BED7-300B-FA43-951F-10F5646DCB93}" name="Column3029"/>
    <tableColumn id="3048" xr3:uid="{3C55D358-5C58-3249-9161-536EE390F0FE}" name="Column3030"/>
    <tableColumn id="3049" xr3:uid="{D33A9E7F-E1D6-5349-B6A5-9617B47D34CC}" name="Column3031"/>
    <tableColumn id="3050" xr3:uid="{6CD962B2-DDD1-D843-AD86-A16152BC282F}" name="Column3032"/>
    <tableColumn id="3051" xr3:uid="{3947DF42-3A46-0E46-B394-F2C63405377A}" name="Column3033"/>
    <tableColumn id="3052" xr3:uid="{2D745C5E-B0CB-5F47-80C9-0FA01ADB41AC}" name="Column3034"/>
    <tableColumn id="3053" xr3:uid="{B7963757-1BDE-8A4C-83E4-10D52D52F8E6}" name="Column3035"/>
    <tableColumn id="3054" xr3:uid="{813DB289-5230-7E47-878C-7714429A3BF7}" name="Column3036"/>
    <tableColumn id="3055" xr3:uid="{115E0DD4-F2C5-D547-A604-D61BC9858FF7}" name="Column3037"/>
    <tableColumn id="3056" xr3:uid="{18817F01-3F48-904B-B0C4-6CB52419E146}" name="Column3038"/>
    <tableColumn id="3057" xr3:uid="{2B034089-DD80-DF4A-BD2B-0F41F83C583D}" name="Column3039"/>
    <tableColumn id="3058" xr3:uid="{2A070D51-86E1-B647-8212-B3A8A39AEFF1}" name="Column3040"/>
    <tableColumn id="3059" xr3:uid="{DE3C707C-1E90-2B45-9D11-F0FE4E4D65A7}" name="Column3041"/>
    <tableColumn id="3060" xr3:uid="{CB18AA28-9240-6949-9732-6C30F2622E19}" name="Column3042"/>
    <tableColumn id="3061" xr3:uid="{664E15FB-9178-E54B-8CA7-D742A03BB079}" name="Column3043"/>
    <tableColumn id="3062" xr3:uid="{D8B9D947-0A18-EA45-9367-1915B4D1BF58}" name="Column3044"/>
    <tableColumn id="3063" xr3:uid="{5C6FA15B-C98D-1E4D-A6D2-4A339B6CAF9C}" name="Column3045"/>
    <tableColumn id="3064" xr3:uid="{326B4C17-8577-2C46-830A-5A7E6EAA6DCE}" name="Column3046"/>
    <tableColumn id="3065" xr3:uid="{451C2722-AB7F-B74E-9C1C-60F730AE0699}" name="Column3047"/>
    <tableColumn id="3066" xr3:uid="{5AA85B74-2ADD-DB4D-88C6-AB2400B093BA}" name="Column3048"/>
    <tableColumn id="3067" xr3:uid="{BD3615B1-D24B-0D4C-A1B2-D43C4A4EBB3F}" name="Column3049"/>
    <tableColumn id="3068" xr3:uid="{58068D62-20EA-994B-BA2C-4665DF0FD8B7}" name="Column3050"/>
    <tableColumn id="3069" xr3:uid="{B0023085-C5E2-7344-96F1-E5783E2296D1}" name="Column3051"/>
    <tableColumn id="3070" xr3:uid="{B42A71BE-9F32-5841-98F6-81069191C9A4}" name="Column3052"/>
    <tableColumn id="3071" xr3:uid="{FBF4ED1B-EBB1-3A4A-A597-135A36E080AF}" name="Column3053"/>
    <tableColumn id="3072" xr3:uid="{3A68E56A-4BAB-0344-B0AB-335039BCCFE7}" name="Column3054"/>
    <tableColumn id="3073" xr3:uid="{2B0552F6-D285-A84C-ACF8-FAB5A43748D4}" name="Column3055"/>
    <tableColumn id="3074" xr3:uid="{03428849-78AE-4649-84C9-7C4AE4CCC134}" name="Column3056"/>
    <tableColumn id="3075" xr3:uid="{16CB5495-47E1-D341-9D13-0550C7A06720}" name="Column3057"/>
    <tableColumn id="3076" xr3:uid="{F9D54F8D-4FB1-5742-B3B9-90F4231B446A}" name="Column3058"/>
    <tableColumn id="3077" xr3:uid="{21E625AC-1778-624F-BCE6-E7D12A8EF18B}" name="Column3059"/>
    <tableColumn id="3078" xr3:uid="{FC28780A-3A5B-834A-ADCD-3D476E4808C4}" name="Column3060"/>
    <tableColumn id="3079" xr3:uid="{49B4505D-985E-D14B-A72E-E9B8B9EF644B}" name="Column3061"/>
    <tableColumn id="3080" xr3:uid="{1207125B-8D60-EF45-A573-5A425C0B864E}" name="Column3062"/>
    <tableColumn id="3081" xr3:uid="{C32B8BB2-AA53-244B-AB76-0F164C3DD105}" name="Column3063"/>
    <tableColumn id="3082" xr3:uid="{0C2EFB1B-DE6E-EA41-80EB-16764A1BB425}" name="Column3064"/>
    <tableColumn id="3083" xr3:uid="{9BCDDCB9-A344-654F-A720-1280102F3D85}" name="Column3065"/>
    <tableColumn id="3084" xr3:uid="{BB30B778-C3BD-E34E-B364-08A277441974}" name="Column3066"/>
    <tableColumn id="3085" xr3:uid="{EAB0FA91-41D8-5940-A919-92E2F024A086}" name="Column3067"/>
    <tableColumn id="3086" xr3:uid="{BBC88D41-0CD6-F04F-B20E-A7B21C970975}" name="Column3068"/>
    <tableColumn id="3087" xr3:uid="{393D3EB1-3A78-D042-B0F1-5A5A3097E6E5}" name="Column3069"/>
    <tableColumn id="3088" xr3:uid="{9501ED41-957B-5149-B394-9C42C2957999}" name="Column3070"/>
    <tableColumn id="3089" xr3:uid="{ECF2A4E2-AB53-1A45-A03E-CDC9DA8FABA0}" name="Column3071"/>
    <tableColumn id="3090" xr3:uid="{1E9B04EF-9FE3-594E-9238-86B6DF6E5E79}" name="Column3072"/>
    <tableColumn id="3091" xr3:uid="{E843FE86-4507-D347-8042-6E593E267FF1}" name="Column3073"/>
    <tableColumn id="3092" xr3:uid="{489D4A97-38A5-0543-BA80-18DDE45E0C80}" name="Column3074"/>
    <tableColumn id="3093" xr3:uid="{77F9221B-A9D9-4D40-8E1D-14FA5B0FCEAB}" name="Column3075"/>
    <tableColumn id="3094" xr3:uid="{DF088927-5778-6F43-93CC-164665CA6E1B}" name="Column3076"/>
    <tableColumn id="3095" xr3:uid="{924A4140-13F1-EE45-B9D4-71B206DB1180}" name="Column3077"/>
    <tableColumn id="3096" xr3:uid="{5D08F008-C2E9-804C-B78F-B5F3A42C9AFD}" name="Column3078"/>
    <tableColumn id="3097" xr3:uid="{ED9E6FD0-F16E-2A4F-9434-FBAA0925A41D}" name="Column3079"/>
    <tableColumn id="3098" xr3:uid="{FC671B2A-69FC-A04C-9761-12453A8319BB}" name="Column3080"/>
    <tableColumn id="3099" xr3:uid="{09E05797-B65C-1740-9A33-ABEE845B3F7B}" name="Column3081"/>
    <tableColumn id="3100" xr3:uid="{D8094143-44A7-4C45-B489-ECE81F4A3D6A}" name="Column3082"/>
    <tableColumn id="3101" xr3:uid="{C56FCEE4-2C70-7D48-8F64-8FAA23826774}" name="Column3083"/>
    <tableColumn id="3102" xr3:uid="{ABD08537-3AF6-AE49-9745-F20D29F9F974}" name="Column3084"/>
    <tableColumn id="3103" xr3:uid="{75F1630A-9BFA-BD46-801A-BB6620007616}" name="Column3085"/>
    <tableColumn id="3104" xr3:uid="{8D6AB8CC-BEB7-2C40-9BF1-FBF4F826EEA3}" name="Column3086"/>
    <tableColumn id="3105" xr3:uid="{50B4C1B4-E678-FE4C-AD8F-F6A5C7588892}" name="Column3087"/>
    <tableColumn id="3106" xr3:uid="{A079D959-6A6C-9043-8FBC-B806088B10F1}" name="Column3088"/>
    <tableColumn id="3107" xr3:uid="{5205B6EE-1BD0-6347-BE3F-2C68D9842D45}" name="Column3089"/>
    <tableColumn id="3108" xr3:uid="{A5A6D2A4-EA04-8948-98D5-70F2E87C06A7}" name="Column3090"/>
    <tableColumn id="3109" xr3:uid="{211DB7C0-FB34-124E-A209-CE28B50E9CFF}" name="Column3091"/>
    <tableColumn id="3110" xr3:uid="{F4407BFE-4155-CC4F-9B65-C2E4C2BF86F7}" name="Column3092"/>
    <tableColumn id="3111" xr3:uid="{57F80EF6-D579-AC4C-85B3-413A00922A4F}" name="Column3093"/>
    <tableColumn id="3112" xr3:uid="{22A2C9BB-6249-4F42-9427-D2C24740A1B5}" name="Column3094"/>
    <tableColumn id="3113" xr3:uid="{0D110C15-A27D-004E-BFF5-F19C8296E70C}" name="Column3095"/>
    <tableColumn id="3114" xr3:uid="{8BFFD224-E20B-BE4C-8248-E68B11985D1E}" name="Column3096"/>
    <tableColumn id="3115" xr3:uid="{11236585-1D5F-D749-9201-90AE91F81B7D}" name="Column3097"/>
    <tableColumn id="3116" xr3:uid="{57172299-FBCB-E344-966C-A63E0B6FE89E}" name="Column3098"/>
    <tableColumn id="3117" xr3:uid="{562053A7-4BB2-A04F-8EC3-4D81B496C991}" name="Column3099"/>
    <tableColumn id="3118" xr3:uid="{62A41DD9-EC95-EA45-A1FD-FD960D1C4969}" name="Column3100"/>
    <tableColumn id="3119" xr3:uid="{8F6C83A9-0743-B348-BFEC-B0FD0C62869D}" name="Column3101"/>
    <tableColumn id="3120" xr3:uid="{1795E1A1-8C93-EE4A-8D2F-758AA75FDB6B}" name="Column3102"/>
    <tableColumn id="3121" xr3:uid="{D7602195-BE4C-584A-9492-A8CB366603AD}" name="Column3103"/>
    <tableColumn id="3122" xr3:uid="{7059C39D-A487-0F45-A7D8-1185D44ADB99}" name="Column3104"/>
    <tableColumn id="3123" xr3:uid="{AE20881C-EA8F-5545-AB23-6F2C85A4A0F8}" name="Column3105"/>
    <tableColumn id="3124" xr3:uid="{A60C84A6-ABCC-2946-99F5-B3296CD5E469}" name="Column3106"/>
    <tableColumn id="3125" xr3:uid="{EB989FD2-7730-1341-A535-FB322BD72E32}" name="Column3107"/>
    <tableColumn id="3126" xr3:uid="{2B5D21AF-08BB-E94D-8F0D-4FFAAEDC1F7D}" name="Column3108"/>
    <tableColumn id="3127" xr3:uid="{E0881A68-D8B3-9F43-8102-DC4EEAF65C8F}" name="Column3109"/>
    <tableColumn id="3128" xr3:uid="{9F55B7CD-D83A-4948-A941-BA70FCE79C07}" name="Column3110"/>
    <tableColumn id="3129" xr3:uid="{5F2A0C57-1652-CD46-A045-CCBB5F4EDCF9}" name="Column3111"/>
    <tableColumn id="3130" xr3:uid="{D10A647D-B119-C347-810B-3A3AE2D26749}" name="Column3112"/>
    <tableColumn id="3131" xr3:uid="{CFB8F10C-A0C9-AD43-9753-BE40FB290038}" name="Column3113"/>
    <tableColumn id="3132" xr3:uid="{D536F6E5-9696-9643-8A39-B5BB3496DA5C}" name="Column3114"/>
    <tableColumn id="3133" xr3:uid="{A7B5F26B-372F-F240-A4D0-547A5A35E8C4}" name="Column3115"/>
    <tableColumn id="3134" xr3:uid="{B1E8AEA5-5C0A-2248-BAB9-EC347654D087}" name="Column3116"/>
    <tableColumn id="3135" xr3:uid="{FB18F96F-6EE6-B040-BBE0-E75B500A267E}" name="Column3117"/>
    <tableColumn id="3136" xr3:uid="{B751E5BA-2130-3E4C-9855-9F882BC7B56A}" name="Column3118"/>
    <tableColumn id="3137" xr3:uid="{5FC6DA3E-2AD5-3D46-AF90-6804A9A29A81}" name="Column3119"/>
    <tableColumn id="3138" xr3:uid="{9747DE2C-D988-2F4C-BA35-9FC296A4B71E}" name="Column3120"/>
    <tableColumn id="3139" xr3:uid="{EF3B49CF-7438-5844-B58B-48AB3692562F}" name="Column3121"/>
    <tableColumn id="3140" xr3:uid="{0A225711-811B-2149-9013-ADE0B8CFAC85}" name="Column3122"/>
    <tableColumn id="3141" xr3:uid="{2C6C21C2-BA8A-514D-ADDA-B728431FB203}" name="Column3123"/>
    <tableColumn id="3142" xr3:uid="{07A1212B-D676-B446-A0DF-D65BA1A0B59A}" name="Column3124"/>
    <tableColumn id="3143" xr3:uid="{BC88599F-FD94-8E4F-9770-15E1FF50CE64}" name="Column3125"/>
    <tableColumn id="3144" xr3:uid="{276CCDF4-98C5-1241-953D-BCD4C76B250C}" name="Column3126"/>
    <tableColumn id="3145" xr3:uid="{0012836A-0C70-9648-AE0A-9D2039002083}" name="Column3127"/>
    <tableColumn id="3146" xr3:uid="{E0C33154-CE1A-974E-A402-F9547626C795}" name="Column3128"/>
    <tableColumn id="3147" xr3:uid="{E722607E-0E37-3D47-A395-8AC71D41B776}" name="Column3129"/>
    <tableColumn id="3148" xr3:uid="{D117BF93-46DC-244F-8547-AA1A63522066}" name="Column3130"/>
    <tableColumn id="3149" xr3:uid="{D2F10050-9DFF-F245-8C18-A221C7FAED0E}" name="Column3131"/>
    <tableColumn id="3150" xr3:uid="{39DE9FC4-D900-AB4E-98DD-1117916125C1}" name="Column3132"/>
    <tableColumn id="3151" xr3:uid="{9B602D27-DB48-0545-9F1B-E44726D1E0CE}" name="Column3133"/>
    <tableColumn id="3152" xr3:uid="{7A642EC4-8B49-864B-A5BD-A52E0E33F264}" name="Column3134"/>
    <tableColumn id="3153" xr3:uid="{61404EF1-2D8C-6342-862A-70B05CA4DA27}" name="Column3135"/>
    <tableColumn id="3154" xr3:uid="{17B0C9C0-FAAA-B147-A23A-47F1E58CB6E4}" name="Column3136"/>
    <tableColumn id="3155" xr3:uid="{75DE1EBA-1BB1-F248-B03E-DB871E5746F7}" name="Column3137"/>
    <tableColumn id="3156" xr3:uid="{1C769290-F28E-5143-829A-399E6DC831CF}" name="Column3138"/>
    <tableColumn id="3157" xr3:uid="{DD267686-2A4E-0347-9DA7-A130F8E14924}" name="Column3139"/>
    <tableColumn id="3158" xr3:uid="{07723BA7-6119-954C-9C0D-D5ADEEE385A9}" name="Column3140"/>
    <tableColumn id="3159" xr3:uid="{735C26B7-59FA-BD49-A753-6D28402B4DC4}" name="Column3141"/>
    <tableColumn id="3160" xr3:uid="{A41F5BA6-DE2B-C341-BD1D-D4A88875DD57}" name="Column3142"/>
    <tableColumn id="3161" xr3:uid="{F5E8ADD4-8B62-C24B-A2E4-DFA12056BC2C}" name="Column3143"/>
    <tableColumn id="3162" xr3:uid="{7BC311A4-8F3E-9B49-AAD8-744EDF1C03BC}" name="Column3144"/>
    <tableColumn id="3163" xr3:uid="{38BB4D3B-4D10-5145-B90B-4647B22BD758}" name="Column3145"/>
    <tableColumn id="3164" xr3:uid="{3DC4F593-7D4E-CC4C-A449-621ECB40C63E}" name="Column3146"/>
    <tableColumn id="3165" xr3:uid="{3B905E5A-5889-4E49-9C54-2C58D6FBE94A}" name="Column3147"/>
    <tableColumn id="3166" xr3:uid="{F71AD9D8-9AAB-9842-893C-F38CBEECA328}" name="Column3148"/>
    <tableColumn id="3167" xr3:uid="{E2535EEE-340B-6549-9EAF-65DED5B82AD4}" name="Column3149"/>
    <tableColumn id="3168" xr3:uid="{0CE30C1A-CB3F-2C41-9A97-E6E63B0E80F4}" name="Column3150"/>
    <tableColumn id="3169" xr3:uid="{FB4C21B1-F85D-0B40-BA69-1C4E616EB8AE}" name="Column3151"/>
    <tableColumn id="3170" xr3:uid="{A1C5AD00-FC7B-9848-8188-8D43BAA0AAA1}" name="Column3152"/>
    <tableColumn id="3171" xr3:uid="{9E9E8E22-8181-3143-B949-AEB7585DCA43}" name="Column3153"/>
    <tableColumn id="3172" xr3:uid="{D3A83BFA-AE3F-B340-B224-BDDFA3B83F05}" name="Column3154"/>
    <tableColumn id="3173" xr3:uid="{5D6074C1-9EFF-D34A-A750-3939DF4F4946}" name="Column3155"/>
    <tableColumn id="3174" xr3:uid="{508A7D13-EE29-FD4A-B251-AE68815FCC26}" name="Column3156"/>
    <tableColumn id="3175" xr3:uid="{DFC1FD13-1736-5A49-BF93-16AFB26B94C5}" name="Column3157"/>
    <tableColumn id="3176" xr3:uid="{5AA3F48F-84B6-2D4D-B2E9-E88ED6243799}" name="Column3158"/>
    <tableColumn id="3177" xr3:uid="{4502A204-067C-F940-9EBF-3E77976395EB}" name="Column3159"/>
    <tableColumn id="3178" xr3:uid="{787951A8-E9DE-3645-9C1F-F10E79AA4FAC}" name="Column3160"/>
    <tableColumn id="3179" xr3:uid="{907DBD22-2650-4D4E-BD46-6EFE3B5425C5}" name="Column3161"/>
    <tableColumn id="3180" xr3:uid="{2BB758F3-1627-EA4D-B86D-7FB00D77ADB9}" name="Column3162"/>
    <tableColumn id="3181" xr3:uid="{7D6C5392-721F-7646-9E75-BD7DDB030C6A}" name="Column3163"/>
    <tableColumn id="3182" xr3:uid="{AE4E98C1-560B-BC4D-9B77-BDD999A82C54}" name="Column3164"/>
    <tableColumn id="3183" xr3:uid="{FE4C7D5B-DD82-C14B-8C16-BD0A23B7F237}" name="Column3165"/>
    <tableColumn id="3184" xr3:uid="{61B886CE-77CE-0540-92EE-B5CFC2666209}" name="Column3166"/>
    <tableColumn id="3185" xr3:uid="{84F9466D-A1DD-7546-A013-6C23A3817B72}" name="Column3167"/>
    <tableColumn id="3186" xr3:uid="{F9C89B8E-335F-F346-8BA1-C89B7F9DC997}" name="Column3168"/>
    <tableColumn id="3187" xr3:uid="{00917676-68D8-0B49-8FF5-556CA62BF6CF}" name="Column3169"/>
    <tableColumn id="3188" xr3:uid="{1DFD04AF-9DA3-8949-B4A8-CBB6F2050158}" name="Column3170"/>
    <tableColumn id="3189" xr3:uid="{7BF566DF-E8F6-4E4D-BE77-8C713BAF7E54}" name="Column3171"/>
    <tableColumn id="3190" xr3:uid="{E5EFC176-A8A8-1542-8980-E91A6C18CA8E}" name="Column3172"/>
    <tableColumn id="3191" xr3:uid="{C7840E48-CC90-4943-BC28-B57AF6824DB7}" name="Column3173"/>
    <tableColumn id="3192" xr3:uid="{F640508C-30E2-6041-BD5D-BEC1295130A1}" name="Column3174"/>
    <tableColumn id="3193" xr3:uid="{AF398D91-E070-E945-B311-A506563FC0F9}" name="Column3175"/>
    <tableColumn id="3194" xr3:uid="{34995F2F-E541-164C-8998-050A978D850B}" name="Column3176"/>
    <tableColumn id="3195" xr3:uid="{D89587B7-C206-2F4C-BDD1-2F05661B742C}" name="Column3177"/>
    <tableColumn id="3196" xr3:uid="{1D2A48A2-C3A6-7D49-B214-4106E72DD2A7}" name="Column3178"/>
    <tableColumn id="3197" xr3:uid="{BE423638-A071-EA4D-98C3-E3B679009651}" name="Column3179"/>
    <tableColumn id="3198" xr3:uid="{88DA9A31-E718-3C4B-B0E0-9423DF5194FB}" name="Column3180"/>
    <tableColumn id="3199" xr3:uid="{35A38C40-E2E8-534D-82AB-3DA0970631B3}" name="Column3181"/>
    <tableColumn id="3200" xr3:uid="{8042F7E2-CE60-9A46-9051-F22056CF13BB}" name="Column3182"/>
    <tableColumn id="3201" xr3:uid="{3E87B28E-E770-A846-B6BD-EEDE444EC910}" name="Column3183"/>
    <tableColumn id="3202" xr3:uid="{A263BBBC-57B3-D34A-95CC-B5E526AA9E25}" name="Column3184"/>
    <tableColumn id="3203" xr3:uid="{52D20018-3D89-D244-A676-A4A16A8A8ADE}" name="Column3185"/>
    <tableColumn id="3204" xr3:uid="{3F90ECE4-371F-6D41-8964-00C0FEAA8549}" name="Column3186"/>
    <tableColumn id="3205" xr3:uid="{14E5D993-A2C7-AB4A-9934-7452BC787A71}" name="Column3187"/>
    <tableColumn id="3206" xr3:uid="{DAAB9230-B86D-A742-BF46-D6706A39B698}" name="Column3188"/>
    <tableColumn id="3207" xr3:uid="{5F84549C-A2D1-3147-B957-5AAE7E1BC514}" name="Column3189"/>
    <tableColumn id="3208" xr3:uid="{95E4600A-57DF-3C4B-9A96-25D23FDC97F2}" name="Column3190"/>
    <tableColumn id="3209" xr3:uid="{FD40A4BA-EBB4-8B4A-9B83-F4D07579239F}" name="Column3191"/>
    <tableColumn id="3210" xr3:uid="{FCC76CBA-0328-7843-9553-5BCD746B4707}" name="Column3192"/>
    <tableColumn id="3211" xr3:uid="{03C5DA34-F369-1B40-AE39-B83BB15D7F17}" name="Column3193"/>
    <tableColumn id="3212" xr3:uid="{E808BCC4-5287-064E-B984-CF5C7975E864}" name="Column3194"/>
    <tableColumn id="3213" xr3:uid="{CC19EC65-39A3-AD49-9FEB-076873CBB6FD}" name="Column3195"/>
    <tableColumn id="3214" xr3:uid="{B6B218B6-FFDD-F643-A85B-043672F65DED}" name="Column3196"/>
    <tableColumn id="3215" xr3:uid="{2F0CD741-B708-7345-BB66-225D6A49AA73}" name="Column3197"/>
    <tableColumn id="3216" xr3:uid="{3B769C37-E044-794F-AF42-B39DE6C140E7}" name="Column3198"/>
    <tableColumn id="3217" xr3:uid="{9CC1A3BE-809D-4345-9462-2E43B7A34631}" name="Column3199"/>
    <tableColumn id="3218" xr3:uid="{B6E319A7-4911-8E4A-9A11-FC1D447D1DD3}" name="Column3200"/>
    <tableColumn id="3219" xr3:uid="{219A306D-E89F-E244-A775-333B1ED4A461}" name="Column3201"/>
    <tableColumn id="3220" xr3:uid="{1FC9EED0-45FD-AD47-934A-B61B16D1BEDC}" name="Column3202"/>
    <tableColumn id="3221" xr3:uid="{485D705A-5AB1-A648-98DE-D9D692DF5BCA}" name="Column3203"/>
    <tableColumn id="3222" xr3:uid="{F42ADA50-FF02-084E-97BC-DB5B233D0722}" name="Column3204"/>
    <tableColumn id="3223" xr3:uid="{6D0BE45B-1A2E-3941-B2E0-DF93860253D0}" name="Column3205"/>
    <tableColumn id="3224" xr3:uid="{7D87C3D4-00E0-AA4D-AF7D-DE600486D049}" name="Column3206"/>
    <tableColumn id="3225" xr3:uid="{67E2244B-491D-ED4A-A1CA-51AA0849F0A7}" name="Column3207"/>
    <tableColumn id="3226" xr3:uid="{0AA47BA0-2FFE-0743-BDD4-2DDA91A97C27}" name="Column3208"/>
    <tableColumn id="3227" xr3:uid="{D42929A3-5788-8D49-B32C-0644FC44C94A}" name="Column3209"/>
    <tableColumn id="3228" xr3:uid="{698E0F52-EC8E-7E42-AF48-3DBF6A3324C7}" name="Column3210"/>
    <tableColumn id="3229" xr3:uid="{C50699A9-39D4-7746-848D-163F46FAC60A}" name="Column3211"/>
    <tableColumn id="3230" xr3:uid="{2BDF4D03-AF36-FC42-B53B-7B46BCBB49FA}" name="Column3212"/>
    <tableColumn id="3231" xr3:uid="{9F84397C-F418-2E43-82DB-4C14009DCAD0}" name="Column3213"/>
    <tableColumn id="3232" xr3:uid="{1D905628-9DCB-DE42-82E2-F6A9FF83E0CD}" name="Column3214"/>
    <tableColumn id="3233" xr3:uid="{A1EA8987-9D6C-1C4F-9E1C-AE5F77C665A1}" name="Column3215"/>
    <tableColumn id="3234" xr3:uid="{F03030EA-0C9E-EC41-9706-CD47FBEC89AE}" name="Column3216"/>
    <tableColumn id="3235" xr3:uid="{48D095E8-D3AC-E54F-B8A4-1EC981B3B937}" name="Column3217"/>
    <tableColumn id="3236" xr3:uid="{7ED672F7-7432-1B4E-B9BE-00A1DF28D810}" name="Column3218"/>
    <tableColumn id="3237" xr3:uid="{EB9490EF-4A1B-3740-AD03-16BBF1D0F4F6}" name="Column3219"/>
    <tableColumn id="3238" xr3:uid="{6E0B93C1-4FE7-B941-AD55-CE360F70DD1C}" name="Column3220"/>
    <tableColumn id="3239" xr3:uid="{E78AC922-EB79-784D-B040-48DBD9387814}" name="Column3221"/>
    <tableColumn id="3240" xr3:uid="{8DDB34AB-8C08-624C-A80F-1CC3BCB8F5F5}" name="Column3222"/>
    <tableColumn id="3241" xr3:uid="{D67AECC6-8085-E04F-9A7A-93DE1DD75593}" name="Column3223"/>
    <tableColumn id="3242" xr3:uid="{138A1795-8C58-BD49-9E4A-5014B41E514A}" name="Column3224"/>
    <tableColumn id="3243" xr3:uid="{0F14366A-592B-3E42-A282-8F6400D86B97}" name="Column3225"/>
    <tableColumn id="3244" xr3:uid="{7450D862-1D5B-C14B-96F7-8299861F8BB7}" name="Column3226"/>
    <tableColumn id="3245" xr3:uid="{7EE3E13C-2FE2-EC48-885B-585F6AC90888}" name="Column3227"/>
    <tableColumn id="3246" xr3:uid="{CA1DCC3A-0A7C-F946-A81C-49766D27DC25}" name="Column3228"/>
    <tableColumn id="3247" xr3:uid="{0255C7B2-8D87-AF4D-B455-68A0C764809E}" name="Column3229"/>
    <tableColumn id="3248" xr3:uid="{51E7542F-CAB3-A14C-9D72-7D4F2FF51D15}" name="Column3230"/>
    <tableColumn id="3249" xr3:uid="{5EA23781-39F2-1149-B297-D0E1219DA3CC}" name="Column3231"/>
    <tableColumn id="3250" xr3:uid="{AFE000A0-9404-3F43-9DB4-6DFD6EA183AA}" name="Column3232"/>
    <tableColumn id="3251" xr3:uid="{FA4FFC79-4D1B-2B40-AF79-DF288718E829}" name="Column3233"/>
    <tableColumn id="3252" xr3:uid="{F466BF46-788C-2542-BAEC-A9D6E7FA48DF}" name="Column3234"/>
    <tableColumn id="3253" xr3:uid="{D3D6C555-F94A-7E42-8246-10B93C7C89C9}" name="Column3235"/>
    <tableColumn id="3254" xr3:uid="{A93E9BDD-A9AA-8C41-9020-8F1A5F90D997}" name="Column3236"/>
    <tableColumn id="3255" xr3:uid="{6597C35F-14B0-4744-BB00-670A20457BDD}" name="Column3237"/>
    <tableColumn id="3256" xr3:uid="{A46CFFB4-F11E-8B4B-BC25-4693CAEB5A3E}" name="Column3238"/>
    <tableColumn id="3257" xr3:uid="{0B97592E-E7C6-0741-862D-EC3B51615475}" name="Column3239"/>
    <tableColumn id="3258" xr3:uid="{04560562-F3D1-314A-B7F8-AFC07BFBFC0C}" name="Column3240"/>
    <tableColumn id="3259" xr3:uid="{522F21B8-A480-6D4C-808C-7EA05615E5F4}" name="Column3241"/>
    <tableColumn id="3260" xr3:uid="{A950CE20-4416-1D47-84B0-EF0E8A1CE6A8}" name="Column3242"/>
    <tableColumn id="3261" xr3:uid="{26985E95-917C-6549-BC5C-A9D3901CE920}" name="Column3243"/>
    <tableColumn id="3262" xr3:uid="{6CC00CB7-68FD-0A4E-B7D6-EA01E1AF44C4}" name="Column3244"/>
    <tableColumn id="3263" xr3:uid="{39841170-797E-8F40-9D29-29918171BF73}" name="Column3245"/>
    <tableColumn id="3264" xr3:uid="{E5DBED09-6266-7148-AFD8-E029DA8E59A6}" name="Column3246"/>
    <tableColumn id="3265" xr3:uid="{F43C36B9-DF00-794C-A7CD-7360B33F32E3}" name="Column3247"/>
    <tableColumn id="3266" xr3:uid="{74EA9B81-EEC4-1542-ABF4-FE7F6FB425EC}" name="Column3248"/>
    <tableColumn id="3267" xr3:uid="{914C9B56-93E7-B24D-B2CA-68744284127E}" name="Column3249"/>
    <tableColumn id="3268" xr3:uid="{694FCF3D-6E6B-AC4C-99CD-21EB90EA4F8B}" name="Column3250"/>
    <tableColumn id="3269" xr3:uid="{2B1FBBE8-5161-1141-8F3B-F8B2311787B7}" name="Column3251"/>
    <tableColumn id="3270" xr3:uid="{BA5EE9F1-5685-1E47-97DE-5C77A59DE6F0}" name="Column3252"/>
    <tableColumn id="3271" xr3:uid="{27B3BF73-DD4E-1245-B8B9-02822594A8EF}" name="Column3253"/>
    <tableColumn id="3272" xr3:uid="{7181C2B3-3E4D-2F49-9FF5-3169230344EB}" name="Column3254"/>
    <tableColumn id="3273" xr3:uid="{E3414F01-E0E3-5D43-BD2C-16F9CB984A02}" name="Column3255"/>
    <tableColumn id="3274" xr3:uid="{8AD65836-54E3-5F4E-A73E-213316162BEB}" name="Column3256"/>
    <tableColumn id="3275" xr3:uid="{07CF23D0-230E-D54F-99A7-F9ED1869354B}" name="Column3257"/>
    <tableColumn id="3276" xr3:uid="{EBAA639D-4D82-DA49-9A7C-BCADDE8134FA}" name="Column3258"/>
    <tableColumn id="3277" xr3:uid="{2487F867-3394-3344-A538-70B9824E2610}" name="Column3259"/>
    <tableColumn id="3278" xr3:uid="{0A642806-1972-FF4B-93E8-2F2F363184AD}" name="Column3260"/>
    <tableColumn id="3279" xr3:uid="{B3C77304-95F5-F241-9464-71B8ADF0426A}" name="Column3261"/>
    <tableColumn id="3280" xr3:uid="{2E26731F-0A13-F04D-A07B-172C58CD87FE}" name="Column3262"/>
    <tableColumn id="3281" xr3:uid="{725CAFDF-DEF4-D749-A654-FE2B8804E221}" name="Column3263"/>
    <tableColumn id="3282" xr3:uid="{4BE88AF8-F63D-F840-8F57-A5966CD597DD}" name="Column3264"/>
    <tableColumn id="3283" xr3:uid="{9E930430-F585-D74D-B0E1-2CEB4C895CAD}" name="Column3265"/>
    <tableColumn id="3284" xr3:uid="{B838FE85-2CFD-A841-AAF8-01DF81383654}" name="Column3266"/>
    <tableColumn id="3285" xr3:uid="{58EBFAFF-C591-E045-A3B4-55DC803E8B14}" name="Column3267"/>
    <tableColumn id="3286" xr3:uid="{4F290D8C-E9DC-E947-AFF8-20451D89F293}" name="Column3268"/>
    <tableColumn id="3287" xr3:uid="{79B71443-FBCD-F648-86C5-42C3E81159FF}" name="Column3269"/>
    <tableColumn id="3288" xr3:uid="{CC28E255-64AB-4040-93B5-3467A8932C4C}" name="Column3270"/>
    <tableColumn id="3289" xr3:uid="{C19457CB-8699-8843-A9B3-7A3B11FB8ACB}" name="Column3271"/>
    <tableColumn id="3290" xr3:uid="{F5069921-98CC-8648-8CEC-0E08257E53E7}" name="Column3272"/>
    <tableColumn id="3291" xr3:uid="{3760FF10-D744-BA4A-B48F-AB36DA5D8B07}" name="Column3273"/>
    <tableColumn id="3292" xr3:uid="{F2959A2D-D28F-2241-9DF8-0BF47EC851BE}" name="Column3274"/>
    <tableColumn id="3293" xr3:uid="{AAD16FAB-855C-5D46-98F9-FBAFE26EB09A}" name="Column3275"/>
    <tableColumn id="3294" xr3:uid="{05923795-D929-AA4C-8B66-8E4B299C9425}" name="Column3276"/>
    <tableColumn id="3295" xr3:uid="{E9C8ACC3-4971-A240-A6A5-6DF3588E49EC}" name="Column3277"/>
    <tableColumn id="3296" xr3:uid="{DB09B6C5-4C1A-2C48-972F-F6565EC0BD9E}" name="Column3278"/>
    <tableColumn id="3297" xr3:uid="{70DD6E75-C28F-F148-80A0-F9126FAD3AAB}" name="Column3279"/>
    <tableColumn id="3298" xr3:uid="{66B3C93D-A6A9-0644-B06F-64B2F3874A92}" name="Column3280"/>
    <tableColumn id="3299" xr3:uid="{A0A745DB-6E1C-EF4B-9284-411595CB0C2A}" name="Column3281"/>
    <tableColumn id="3300" xr3:uid="{0CF4D0AC-D396-B441-82AA-0A499B378600}" name="Column3282"/>
    <tableColumn id="3301" xr3:uid="{0002A539-BFB0-904F-94BB-7ABE454713F5}" name="Column3283"/>
    <tableColumn id="3302" xr3:uid="{6744C8E7-DDD6-FE43-BC73-C07E7C805042}" name="Column3284"/>
    <tableColumn id="3303" xr3:uid="{B55FA324-79BA-9542-96F7-77079D17B138}" name="Column3285"/>
    <tableColumn id="3304" xr3:uid="{E819CB76-797E-3541-A78F-135603A9E01A}" name="Column3286"/>
    <tableColumn id="3305" xr3:uid="{5C8FE8B2-7633-8742-926E-48B3B6E1405F}" name="Column3287"/>
    <tableColumn id="3306" xr3:uid="{0C70C14B-E8AF-FA47-8176-BF5EDAAEFA73}" name="Column3288"/>
    <tableColumn id="3307" xr3:uid="{AF92A3AC-7D75-044C-9D01-ED88124678B0}" name="Column3289"/>
    <tableColumn id="3308" xr3:uid="{16DBC18B-D975-1048-9686-50247DBE72CA}" name="Column3290"/>
    <tableColumn id="3309" xr3:uid="{431ECC91-A5CB-984E-8710-3214E53369CE}" name="Column3291"/>
    <tableColumn id="3310" xr3:uid="{E766F793-24CC-CB42-9521-0EFD8AFAB744}" name="Column3292"/>
    <tableColumn id="3311" xr3:uid="{8C5DD2EE-27DF-2D46-8FC0-A983F5717A0C}" name="Column3293"/>
    <tableColumn id="3312" xr3:uid="{873C826D-EB45-6040-86EA-D6D476A1F620}" name="Column3294"/>
    <tableColumn id="3313" xr3:uid="{E54CF6B3-6ACA-D24D-8641-512A30EF47DA}" name="Column3295"/>
    <tableColumn id="3314" xr3:uid="{D8CF12CE-9ED8-1443-9881-52B6B850F3C5}" name="Column3296"/>
    <tableColumn id="3315" xr3:uid="{E03F3FE9-06C8-DB44-A6FF-885CD002ED5B}" name="Column3297"/>
    <tableColumn id="3316" xr3:uid="{9B4D3425-E5B6-CA41-9473-112C868F4DAE}" name="Column3298"/>
    <tableColumn id="3317" xr3:uid="{0F423F81-E9B1-D642-A6DF-BC8391C59D6F}" name="Column3299"/>
    <tableColumn id="3318" xr3:uid="{3C313850-C80A-CC45-ADC0-F2C0398583CF}" name="Column3300"/>
    <tableColumn id="3319" xr3:uid="{E02BDCE0-8B3D-104E-8C18-BB9B55646C7E}" name="Column3301"/>
    <tableColumn id="3320" xr3:uid="{79AC22E0-9B39-3449-B178-05CD4EB52BE0}" name="Column3302"/>
    <tableColumn id="3321" xr3:uid="{CF51337B-BB52-DD40-8AFE-D421BE50BBC8}" name="Column3303"/>
    <tableColumn id="3322" xr3:uid="{81860092-25FC-4B45-8503-305A5CBB87C7}" name="Column3304"/>
    <tableColumn id="3323" xr3:uid="{6E0E7B47-39D8-DD47-8917-42F1F3ACE5D6}" name="Column3305"/>
    <tableColumn id="3324" xr3:uid="{6CB4871C-DE79-1F4E-93DE-6375F026FB86}" name="Column3306"/>
    <tableColumn id="3325" xr3:uid="{0F89BCA2-65FF-634D-B7F5-095DC4537AEE}" name="Column3307"/>
    <tableColumn id="3326" xr3:uid="{3C15DBFA-3578-674E-8FE7-1F402FF44E72}" name="Column3308"/>
    <tableColumn id="3327" xr3:uid="{2D4F6200-8483-1F46-8DBE-30893CB282D4}" name="Column3309"/>
    <tableColumn id="3328" xr3:uid="{B55E440B-8FA5-1E48-83AD-D6CC627C981D}" name="Column3310"/>
    <tableColumn id="3329" xr3:uid="{CFDF65C3-76B5-5C4E-8834-D1716F61FC22}" name="Column3311"/>
    <tableColumn id="3330" xr3:uid="{C186AB93-B27E-D141-B1B2-B27F6AEBE197}" name="Column3312"/>
    <tableColumn id="3331" xr3:uid="{5BCA08F5-110B-F64C-9FDA-5DA31E6837E1}" name="Column3313"/>
    <tableColumn id="3332" xr3:uid="{443F20A6-4C02-2044-87FA-38E6061E34C3}" name="Column3314"/>
    <tableColumn id="3333" xr3:uid="{420864A1-C8A4-AD43-A20E-4BEB52F23A48}" name="Column3315"/>
    <tableColumn id="3334" xr3:uid="{D8BB0FA1-5F4C-8B44-950F-FF6789B2698C}" name="Column3316"/>
    <tableColumn id="3335" xr3:uid="{80430B01-E3EA-FA4E-83A9-AA80675F78B2}" name="Column3317"/>
    <tableColumn id="3336" xr3:uid="{B41103BF-0CA8-FE4D-9544-5D79EA2A4F80}" name="Column3318"/>
    <tableColumn id="3337" xr3:uid="{EDEDF7DF-5F79-BC48-ADC7-A2D81816E429}" name="Column3319"/>
    <tableColumn id="3338" xr3:uid="{E8162D6A-A1EF-334F-BBF7-502916BDBF0B}" name="Column3320"/>
    <tableColumn id="3339" xr3:uid="{7769B685-C290-4244-BAC2-D5D334383207}" name="Column3321"/>
    <tableColumn id="3340" xr3:uid="{93641BE1-B64E-2749-8EFE-D5C385D75DC7}" name="Column3322"/>
    <tableColumn id="3341" xr3:uid="{4CB7717B-5EB4-AD40-B635-BE449C15321B}" name="Column3323"/>
    <tableColumn id="3342" xr3:uid="{C0B743FF-A7C8-CA49-82F4-963154D4B21F}" name="Column3324"/>
    <tableColumn id="3343" xr3:uid="{F1FAF44E-BF38-7E44-914F-0B9FF9C41861}" name="Column3325"/>
    <tableColumn id="3344" xr3:uid="{FABAD4EC-F4B8-564B-86CE-C6A27A2AF71A}" name="Column3326"/>
    <tableColumn id="3345" xr3:uid="{4A098B5D-E889-9940-BEEB-AFBAB8A93517}" name="Column3327"/>
    <tableColumn id="3346" xr3:uid="{CFA3D77B-1EB7-E544-9A45-2D84549DBABE}" name="Column3328"/>
    <tableColumn id="3347" xr3:uid="{C39A0620-5A3A-364E-A3A6-1F56D0479113}" name="Column3329"/>
    <tableColumn id="3348" xr3:uid="{54995109-DC54-044A-97FA-90BBA6F539ED}" name="Column3330"/>
    <tableColumn id="3349" xr3:uid="{0E497C0E-3B17-3C43-BD53-BD500B9D63AF}" name="Column3331"/>
    <tableColumn id="3350" xr3:uid="{786E54EE-BC07-D74C-A2C8-9E369E52C646}" name="Column3332"/>
    <tableColumn id="3351" xr3:uid="{BE484CD7-6A54-B94C-A912-1393C220E843}" name="Column3333"/>
    <tableColumn id="3352" xr3:uid="{2140C8B9-5AE6-124F-9246-1B401D2CA933}" name="Column3334"/>
    <tableColumn id="3353" xr3:uid="{DD2CFEF9-1CD4-734D-A28E-50591D8DE068}" name="Column3335"/>
    <tableColumn id="3354" xr3:uid="{23C9F533-E86C-BB4F-B2A6-B48186B3A3A2}" name="Column3336"/>
    <tableColumn id="3355" xr3:uid="{9FC35699-12DF-6B46-8EFD-E86B2EC36589}" name="Column3337"/>
    <tableColumn id="3356" xr3:uid="{6CE02D15-F667-7D49-B743-B1E21084FDF6}" name="Column3338"/>
    <tableColumn id="3357" xr3:uid="{C3D05E2B-80E9-C948-BC50-3C11656237B6}" name="Column3339"/>
    <tableColumn id="3358" xr3:uid="{C04CDD7E-DC63-4F47-8952-F039A4539A9A}" name="Column3340"/>
    <tableColumn id="3359" xr3:uid="{B3B0CAE8-2F2F-3848-9AAC-9D722F4DD5C3}" name="Column3341"/>
    <tableColumn id="3360" xr3:uid="{D41189AD-979B-0D47-92C5-874EF69B021D}" name="Column3342"/>
    <tableColumn id="3361" xr3:uid="{A4711873-4786-F349-B02B-638501FAC6AB}" name="Column3343"/>
    <tableColumn id="3362" xr3:uid="{09FE0A7F-FDDC-6640-BB21-39F8A2A1767F}" name="Column3344"/>
    <tableColumn id="3363" xr3:uid="{C998A19E-7BA6-0B43-97F0-B618A4E80E09}" name="Column3345"/>
    <tableColumn id="3364" xr3:uid="{6C3CB8B4-613A-C840-BC41-B2F3395C4C16}" name="Column3346"/>
    <tableColumn id="3365" xr3:uid="{0E1AC9A6-F8B0-F345-8091-5B4A006CB54B}" name="Column3347"/>
    <tableColumn id="3366" xr3:uid="{05BB7B1A-C975-1543-B7F8-0BB2BF1D17E5}" name="Column3348"/>
    <tableColumn id="3367" xr3:uid="{1B760E2F-A4C8-6C42-BD9E-D185BE05878E}" name="Column3349"/>
    <tableColumn id="3368" xr3:uid="{DBF96542-457C-674C-886A-84BB7B344533}" name="Column3350"/>
    <tableColumn id="3369" xr3:uid="{7262B502-2FE3-ED47-9DB3-CACAD0D064AA}" name="Column3351"/>
    <tableColumn id="3370" xr3:uid="{CD6D1A3B-DF83-644F-923A-190DE918E5EF}" name="Column3352"/>
    <tableColumn id="3371" xr3:uid="{41A6C09F-3917-CA46-89B6-6BEC9071F13F}" name="Column3353"/>
    <tableColumn id="3372" xr3:uid="{C0D65745-1874-574E-9F0E-CADBE117374E}" name="Column3354"/>
    <tableColumn id="3373" xr3:uid="{16756925-3167-3A44-9421-6A54B167C25E}" name="Column3355"/>
    <tableColumn id="3374" xr3:uid="{0D2C092A-C895-C04C-8DC4-C13CE30E5F4D}" name="Column3356"/>
    <tableColumn id="3375" xr3:uid="{FC1F5314-B4E5-9E42-99E9-9639BCA7EF14}" name="Column3357"/>
    <tableColumn id="3376" xr3:uid="{49272587-E77F-1744-B034-93CB1A923B6E}" name="Column3358"/>
    <tableColumn id="3377" xr3:uid="{77CD1BA0-D33B-F64D-8170-569906CB9757}" name="Column3359"/>
    <tableColumn id="3378" xr3:uid="{C739361E-D878-FE4A-A21D-353F065DAE45}" name="Column3360"/>
    <tableColumn id="3379" xr3:uid="{BBA88C19-D71B-8E49-87CB-D20E602A3E1D}" name="Column3361"/>
    <tableColumn id="3380" xr3:uid="{FA15267D-A0BF-6B4A-BE03-A426C039FA8C}" name="Column3362"/>
    <tableColumn id="3381" xr3:uid="{BF658678-DD2F-3948-BD20-DBA26B2B446F}" name="Column3363"/>
    <tableColumn id="3382" xr3:uid="{37B6B810-7196-614C-A1BE-1F29F54B2214}" name="Column3364"/>
    <tableColumn id="3383" xr3:uid="{B6E98B89-4AAC-2E46-BCCD-99418E9CE0E8}" name="Column3365"/>
    <tableColumn id="3384" xr3:uid="{CF2F4066-B860-2C4F-A47F-B880996C2D57}" name="Column3366"/>
    <tableColumn id="3385" xr3:uid="{63D1E58C-2EB5-6447-93AA-8A119BD8378B}" name="Column3367"/>
    <tableColumn id="3386" xr3:uid="{81F2E8D4-9E0B-DD4D-B2D2-69F6BC127928}" name="Column3368"/>
    <tableColumn id="3387" xr3:uid="{E06D03B0-51DE-CA41-BBA0-F9A27807B5D1}" name="Column3369"/>
    <tableColumn id="3388" xr3:uid="{D0E2EB29-6DFC-F444-A047-813B692A6406}" name="Column3370"/>
    <tableColumn id="3389" xr3:uid="{7F30DC2D-61C2-744F-B640-08A213223897}" name="Column3371"/>
    <tableColumn id="3390" xr3:uid="{49F94BB5-3B85-0B4C-85B9-827D26CDB00B}" name="Column3372"/>
    <tableColumn id="3391" xr3:uid="{E1D2BDC1-ED0C-3C4D-8732-978B91887518}" name="Column3373"/>
    <tableColumn id="3392" xr3:uid="{63D9C5D7-B40C-8F41-86CB-26586EED73D5}" name="Column3374"/>
    <tableColumn id="3393" xr3:uid="{465D364F-0900-6349-9BDF-7B7A367A9DFC}" name="Column3375"/>
    <tableColumn id="3394" xr3:uid="{246B8B4E-CA60-6B42-9448-AA384BCAA2E5}" name="Column3376"/>
    <tableColumn id="3395" xr3:uid="{3A348FD7-BCA2-CD48-9D6E-A822FDC067EF}" name="Column3377"/>
    <tableColumn id="3396" xr3:uid="{5110B25C-0E90-2649-A950-B0E345B7BC51}" name="Column3378"/>
    <tableColumn id="3397" xr3:uid="{A3272169-DF6C-B849-82C9-F7F0B4924A96}" name="Column3379"/>
    <tableColumn id="3398" xr3:uid="{5CCC265B-E3F3-2F45-906E-9CAD00271FDB}" name="Column3380"/>
    <tableColumn id="3399" xr3:uid="{A014BEA1-2AE6-5E4C-BD69-06AB7CD5FE07}" name="Column3381"/>
    <tableColumn id="3400" xr3:uid="{7059FC05-295D-1A46-9D40-B2488771CA70}" name="Column3382"/>
    <tableColumn id="3401" xr3:uid="{CB81AD96-C0F6-D740-BC49-F2220E62765E}" name="Column3383"/>
    <tableColumn id="3402" xr3:uid="{F82C78BD-A429-AB4E-B015-5044C354BAEE}" name="Column3384"/>
    <tableColumn id="3403" xr3:uid="{E2698C68-2159-CB4A-8085-C7FB8EB6C2AB}" name="Column3385"/>
    <tableColumn id="3404" xr3:uid="{4AB00DAE-D360-094F-91F2-2D31A9175835}" name="Column3386"/>
    <tableColumn id="3405" xr3:uid="{0DF877C6-DB49-2C44-B338-56DE5F13C476}" name="Column3387"/>
    <tableColumn id="3406" xr3:uid="{6E9B263A-F41A-4D4E-A6E5-A10327D8062C}" name="Column3388"/>
    <tableColumn id="3407" xr3:uid="{188258A9-E6D2-6B44-911E-AFD82AC49114}" name="Column3389"/>
    <tableColumn id="3408" xr3:uid="{D1BEE145-B3AE-7E40-97D2-795CCF59629C}" name="Column3390"/>
    <tableColumn id="3409" xr3:uid="{E3E0B995-D158-E541-A4BF-B36D6A6983E0}" name="Column3391"/>
    <tableColumn id="3410" xr3:uid="{808A11EF-9B48-5346-89CC-5D100F4E6196}" name="Column3392"/>
    <tableColumn id="3411" xr3:uid="{80D49E1D-C6E0-5747-B113-D1536C5EB2F4}" name="Column3393"/>
    <tableColumn id="3412" xr3:uid="{EB4AF223-CFB4-8B4D-BBF4-622FF571F722}" name="Column3394"/>
    <tableColumn id="3413" xr3:uid="{E88D24F4-AB44-634C-940B-0463DC892EEB}" name="Column3395"/>
    <tableColumn id="3414" xr3:uid="{38B2A8DF-8B4F-6E4E-B259-9EE5EC60D433}" name="Column3396"/>
    <tableColumn id="3415" xr3:uid="{9EB2480F-5CC4-A043-BAE0-2704F8EB2DD9}" name="Column3397"/>
    <tableColumn id="3416" xr3:uid="{266C8038-1D35-B849-B215-835B0497651F}" name="Column3398"/>
    <tableColumn id="3417" xr3:uid="{B7A99877-8F9F-0940-8E0A-9C5935461F3B}" name="Column3399"/>
    <tableColumn id="3418" xr3:uid="{751AEC84-C8B3-4447-ADFA-D495AA9F16BC}" name="Column3400"/>
    <tableColumn id="3419" xr3:uid="{EB4D49C7-F26F-4D47-ABC7-D1482B8EFFD9}" name="Column3401"/>
    <tableColumn id="3420" xr3:uid="{C964985E-F113-9640-83C4-0B24C7A2C29B}" name="Column3402"/>
    <tableColumn id="3421" xr3:uid="{F7B6CA43-4620-EE47-B84C-FEAD438E8C1A}" name="Column3403"/>
    <tableColumn id="3422" xr3:uid="{7A333327-0BD6-824F-8646-CD2078B5BEB2}" name="Column3404"/>
    <tableColumn id="3423" xr3:uid="{67B24C66-B83A-1E43-8B7B-8C388363FE58}" name="Column3405"/>
    <tableColumn id="3424" xr3:uid="{2508E3F7-1F04-F14F-940A-52DB8BDC5270}" name="Column3406"/>
    <tableColumn id="3425" xr3:uid="{41BB9DC0-4C2A-EF41-A357-322B1114961A}" name="Column3407"/>
    <tableColumn id="3426" xr3:uid="{096B5BA8-B994-DA4D-BE60-471DEC41032C}" name="Column3408"/>
    <tableColumn id="3427" xr3:uid="{E331A78B-3A4A-0B45-8228-725A8699DF15}" name="Column3409"/>
    <tableColumn id="3428" xr3:uid="{533427D9-3033-8840-B193-8921CE01497B}" name="Column3410"/>
    <tableColumn id="3429" xr3:uid="{1FC47700-B66E-FC44-8624-4C0C0EA99E51}" name="Column3411"/>
    <tableColumn id="3430" xr3:uid="{64069D59-1293-6D42-82D3-20FCC43E3770}" name="Column3412"/>
    <tableColumn id="3431" xr3:uid="{B5597A22-4AF6-104C-9151-491E07CC4C6F}" name="Column3413"/>
    <tableColumn id="3432" xr3:uid="{ED17ED4F-3378-1846-A435-5904849C9036}" name="Column3414"/>
    <tableColumn id="3433" xr3:uid="{FEB95BF0-5AE7-8141-BA94-C2847D8B461C}" name="Column3415"/>
    <tableColumn id="3434" xr3:uid="{3F2C5203-E992-4F44-B410-651770D5D2D0}" name="Column3416"/>
    <tableColumn id="3435" xr3:uid="{A0F50B71-3BE3-2342-936C-11C1403854FE}" name="Column3417"/>
    <tableColumn id="3436" xr3:uid="{4DBFC842-2D1D-6A46-9C40-253C015886DD}" name="Column3418"/>
    <tableColumn id="3437" xr3:uid="{15A69A30-D7D8-1B4F-8940-53E48078B1AB}" name="Column3419"/>
    <tableColumn id="3438" xr3:uid="{4BE8C14F-CA94-AA40-8940-B9C96E7F13E5}" name="Column3420"/>
    <tableColumn id="3439" xr3:uid="{E71120A5-4B03-5346-8189-1F080D110132}" name="Column3421"/>
    <tableColumn id="3440" xr3:uid="{07C9CD63-FDBC-1C45-9ADB-76A8515440FC}" name="Column3422"/>
    <tableColumn id="3441" xr3:uid="{19169EC7-C67B-F64E-B419-F0FB1F9C88E6}" name="Column3423"/>
    <tableColumn id="3442" xr3:uid="{D155F008-1A9C-A64A-B16D-645045DDE9F8}" name="Column3424"/>
    <tableColumn id="3443" xr3:uid="{CFA466C7-A581-C34F-8B44-4DB6EABBCCF3}" name="Column3425"/>
    <tableColumn id="3444" xr3:uid="{2C4BFB3F-685B-3443-966F-E8916D85B1FB}" name="Column3426"/>
    <tableColumn id="3445" xr3:uid="{BFAA3B2F-6E55-E548-89A2-B68820F9E499}" name="Column3427"/>
    <tableColumn id="3446" xr3:uid="{70C3BC98-8F36-024D-B600-2FB0098A7896}" name="Column3428"/>
    <tableColumn id="3447" xr3:uid="{738A5886-E479-B040-8519-42ED1924AFCE}" name="Column3429"/>
    <tableColumn id="3448" xr3:uid="{BFED08F3-EEE6-374E-BE48-5CE93E441D74}" name="Column3430"/>
    <tableColumn id="3449" xr3:uid="{AD4F3CF2-01F1-AC48-8DB9-23A330A29652}" name="Column3431"/>
    <tableColumn id="3450" xr3:uid="{BD98F6BB-EDD5-1941-9041-F3115EA18684}" name="Column3432"/>
    <tableColumn id="3451" xr3:uid="{02F09848-0E60-FB46-89F7-DF0DD838AC6D}" name="Column3433"/>
    <tableColumn id="3452" xr3:uid="{3C74792C-B3AA-074C-A633-FA988D073BEA}" name="Column3434"/>
    <tableColumn id="3453" xr3:uid="{57D74AC5-F5FF-EA4F-B949-3FE29008FE13}" name="Column3435"/>
    <tableColumn id="3454" xr3:uid="{BAC0F26B-15F5-2344-8913-E4E493786CC2}" name="Column3436"/>
    <tableColumn id="3455" xr3:uid="{834849A0-8BE4-6A41-A794-C86FC48581C6}" name="Column3437"/>
    <tableColumn id="3456" xr3:uid="{16FBF186-3CCE-B24D-8B2F-732C4555A596}" name="Column3438"/>
    <tableColumn id="3457" xr3:uid="{B28B48E4-AA3F-9745-9474-88EB55334E73}" name="Column3439"/>
    <tableColumn id="3458" xr3:uid="{778596F3-B58F-974F-B64F-241087A04BFB}" name="Column3440"/>
    <tableColumn id="3459" xr3:uid="{D66F21C9-829C-F748-B831-5F15573549E7}" name="Column3441"/>
    <tableColumn id="3460" xr3:uid="{7213FC76-0945-D046-A5CF-C8691EDE858F}" name="Column3442"/>
    <tableColumn id="3461" xr3:uid="{F71F5B9F-B42A-5B44-B5D7-A70115F3AE79}" name="Column3443"/>
    <tableColumn id="3462" xr3:uid="{FB77336E-07A2-844A-A838-AE896234A5A3}" name="Column3444"/>
    <tableColumn id="3463" xr3:uid="{1D778872-F8D3-4D4F-8A15-AC2CC19B26D9}" name="Column3445"/>
    <tableColumn id="3464" xr3:uid="{E3FEC9EF-EB38-5548-8144-BA4C6F663C67}" name="Column3446"/>
    <tableColumn id="3465" xr3:uid="{F9E38AE0-D55E-DB40-81C1-02B33BD9395D}" name="Column3447"/>
    <tableColumn id="3466" xr3:uid="{C7136E79-D410-284B-A8F2-7DAEA0F2DFF8}" name="Column3448"/>
    <tableColumn id="3467" xr3:uid="{110EC9A6-8FA3-EC4E-9AAE-E8185DED5AA9}" name="Column3449"/>
    <tableColumn id="3468" xr3:uid="{7631C37A-4EC2-2142-B2D2-6C2D63FCE230}" name="Column3450"/>
    <tableColumn id="3469" xr3:uid="{AC3350C4-B9AE-EE49-9C7C-51801E5DFC2B}" name="Column3451"/>
    <tableColumn id="3470" xr3:uid="{B5711907-6B81-C64E-B30B-61653F07C7EA}" name="Column3452"/>
    <tableColumn id="3471" xr3:uid="{B273DDD4-5AC2-FA45-B0DB-D07E87C9C342}" name="Column3453"/>
    <tableColumn id="3472" xr3:uid="{09698570-8B51-E441-BB60-0EBD6F0DD4BC}" name="Column3454"/>
    <tableColumn id="3473" xr3:uid="{E25C9F98-165F-F64F-89F4-5FD20DB5CCFA}" name="Column3455"/>
    <tableColumn id="3474" xr3:uid="{89646AA7-1EA5-D043-BEB0-2BB102F70952}" name="Column3456"/>
    <tableColumn id="3475" xr3:uid="{5DF689B7-70AE-8643-95FF-6534B48ABF4B}" name="Column3457"/>
    <tableColumn id="3476" xr3:uid="{134C32FC-BE51-C242-A2A1-DC13ED8D4AFB}" name="Column3458"/>
    <tableColumn id="3477" xr3:uid="{70398D69-033D-EE4B-A6CA-29A2CC4CA99C}" name="Column3459"/>
    <tableColumn id="3478" xr3:uid="{C4F34C0F-B9C2-F041-8A8E-C52865F5B918}" name="Column3460"/>
    <tableColumn id="3479" xr3:uid="{9911B568-2777-5F44-9F81-AC3D33E8E72F}" name="Column3461"/>
    <tableColumn id="3480" xr3:uid="{C931C2FD-E71F-3B4A-BE96-1BBC75CB4AE4}" name="Column3462"/>
    <tableColumn id="3481" xr3:uid="{6160F926-E993-F34E-8055-7F95F84CCFA1}" name="Column3463"/>
    <tableColumn id="3482" xr3:uid="{F73F1E1D-2930-2442-A9DC-B6DCD499DDE4}" name="Column3464"/>
    <tableColumn id="3483" xr3:uid="{8BC23ED4-FCAA-1A45-93D9-B26ADC79F6DF}" name="Column3465"/>
    <tableColumn id="3484" xr3:uid="{134779A6-BAB9-8747-8D3C-25A5406B9E23}" name="Column3466"/>
    <tableColumn id="3485" xr3:uid="{C8254740-2088-BF45-8264-5DDADA566DC9}" name="Column3467"/>
    <tableColumn id="3486" xr3:uid="{DC9FD21E-F626-EA4C-A2CA-9E33015B074A}" name="Column3468"/>
    <tableColumn id="3487" xr3:uid="{BD31E4A9-680A-D24F-ACBA-B69A7EA55E2B}" name="Column3469"/>
    <tableColumn id="3488" xr3:uid="{80FB5741-5B3E-814B-A2FF-778E92B09F03}" name="Column3470"/>
    <tableColumn id="3489" xr3:uid="{92A32942-F570-914D-B58E-6C5C06D6DF28}" name="Column3471"/>
    <tableColumn id="3490" xr3:uid="{41EC0EA6-14BC-0846-9D47-532A7290E512}" name="Column3472"/>
    <tableColumn id="3491" xr3:uid="{A87406BF-3A62-DE43-8BC9-79C22FC479EE}" name="Column3473"/>
    <tableColumn id="3492" xr3:uid="{E4D07B8D-1475-0A44-A076-B3EA04BC2C25}" name="Column3474"/>
    <tableColumn id="3493" xr3:uid="{5160B145-B8B2-8548-9099-76E7D0238340}" name="Column3475"/>
    <tableColumn id="3494" xr3:uid="{966E1F85-93F2-8F4F-818A-8B792872BC3F}" name="Column3476"/>
    <tableColumn id="3495" xr3:uid="{285FA4E3-2A7D-A94D-8EA5-CF5E447AB18C}" name="Column3477"/>
    <tableColumn id="3496" xr3:uid="{7457398F-EA86-7B47-BD3D-BA1EDC8BC056}" name="Column3478"/>
    <tableColumn id="3497" xr3:uid="{2F405F56-86B4-B342-B2AF-B7E89F829469}" name="Column3479"/>
    <tableColumn id="3498" xr3:uid="{7F650FE4-5AA4-C742-9FC6-5E610800B0BB}" name="Column3480"/>
    <tableColumn id="3499" xr3:uid="{56067468-785E-974B-B95F-C613A46D8C19}" name="Column3481"/>
    <tableColumn id="3500" xr3:uid="{72C2DBD5-3AFA-944E-A1CD-AB33A64BC09C}" name="Column3482"/>
    <tableColumn id="3501" xr3:uid="{4962A8DB-5266-1045-BFB7-6BD8DC02AA10}" name="Column3483"/>
    <tableColumn id="3502" xr3:uid="{C84E1AEA-1CA8-9049-A01A-F127FA62D1A7}" name="Column3484"/>
    <tableColumn id="3503" xr3:uid="{EEE1AC3A-5676-D14D-81BE-1E443055AF0B}" name="Column3485"/>
    <tableColumn id="3504" xr3:uid="{C0D44233-D28C-E940-B40A-9D485D556222}" name="Column3486"/>
    <tableColumn id="3505" xr3:uid="{1CE56847-2852-BB45-A208-C57F531230DD}" name="Column3487"/>
    <tableColumn id="3506" xr3:uid="{E915D69D-674B-F946-9C13-AE1BF1A0E332}" name="Column3488"/>
    <tableColumn id="3507" xr3:uid="{65493050-7DD2-1D4F-9C8A-218BE99C8ECB}" name="Column3489"/>
    <tableColumn id="3508" xr3:uid="{4546B155-0EE0-824C-B41A-143EEDEF702D}" name="Column3490"/>
    <tableColumn id="3509" xr3:uid="{A7E89168-93D8-9F4B-8A8C-65FEBAD53D6B}" name="Column3491"/>
    <tableColumn id="3510" xr3:uid="{EE48C09B-07D2-9342-9106-DF9A6B9BDC4C}" name="Column3492"/>
    <tableColumn id="3511" xr3:uid="{82185806-7E2B-9A49-A4C3-E007DDF97113}" name="Column3493"/>
    <tableColumn id="3512" xr3:uid="{FB3A30E4-9B44-E845-8C09-E061E1B9635E}" name="Column3494"/>
    <tableColumn id="3513" xr3:uid="{5E628D6C-7003-C341-9594-3A0D08A1CE44}" name="Column3495"/>
    <tableColumn id="3514" xr3:uid="{2D6A9453-6EFC-BB4F-A4EE-B4E59E024943}" name="Column3496"/>
    <tableColumn id="3515" xr3:uid="{54B03E49-D84C-A24C-A6CC-8352D25D7424}" name="Column3497"/>
    <tableColumn id="3516" xr3:uid="{3D03F409-D31F-6140-B777-231C1BC891D7}" name="Column3498"/>
    <tableColumn id="3517" xr3:uid="{7E7FBF1C-D47B-CB4A-A56C-78F50A6029BB}" name="Column3499"/>
    <tableColumn id="3518" xr3:uid="{40FA66CC-893A-B64E-9B98-D50FC0FB11CB}" name="Column3500"/>
    <tableColumn id="3519" xr3:uid="{5F267A48-777C-E642-9912-497401AD099C}" name="Column3501"/>
    <tableColumn id="3520" xr3:uid="{2FF82C25-4A88-0143-8B56-571EE7482DF2}" name="Column3502"/>
    <tableColumn id="3521" xr3:uid="{E05A22E3-6DD2-E442-A043-7D51FD391861}" name="Column3503"/>
    <tableColumn id="3522" xr3:uid="{DADFC0DA-3E0C-FE4D-97FF-F97980148681}" name="Column3504"/>
    <tableColumn id="3523" xr3:uid="{8E2CF012-8BD5-3945-8405-40426629AAC4}" name="Column3505"/>
    <tableColumn id="3524" xr3:uid="{58A14063-F0E2-C545-97CB-884EB169053C}" name="Column3506"/>
    <tableColumn id="3525" xr3:uid="{19A0C9AE-DB96-5549-B49B-31DB754F89F6}" name="Column3507"/>
    <tableColumn id="3526" xr3:uid="{6A6D2F02-6561-F348-9415-F434DABD2853}" name="Column3508"/>
    <tableColumn id="3527" xr3:uid="{E441D05D-A54B-424A-B7EC-6D9FC0CD7906}" name="Column3509"/>
    <tableColumn id="3528" xr3:uid="{966DD5A2-21F2-354C-958A-8E8A2151148D}" name="Column3510"/>
    <tableColumn id="3529" xr3:uid="{99013B7E-B994-924F-A902-C32D1E881144}" name="Column3511"/>
    <tableColumn id="3530" xr3:uid="{5C10FE86-2EA1-D941-BC05-CF25F625387B}" name="Column3512"/>
    <tableColumn id="3531" xr3:uid="{6F5D6260-F9A3-364C-A45E-24E1C45CF0B9}" name="Column3513"/>
    <tableColumn id="3532" xr3:uid="{B7C678BC-C51B-4D4C-8457-569F678920A1}" name="Column3514"/>
    <tableColumn id="3533" xr3:uid="{2806BEB9-C349-EF4B-9ECC-29AF3726B930}" name="Column3515"/>
    <tableColumn id="3534" xr3:uid="{E1DCA2C0-4AB8-F94D-8DE1-DA079FE29720}" name="Column3516"/>
    <tableColumn id="3535" xr3:uid="{0CFCAD2E-58AD-A942-B5AC-278CD2A03430}" name="Column3517"/>
    <tableColumn id="3536" xr3:uid="{2AE4DE98-AA2A-C844-9978-FB99B98A1CBA}" name="Column3518"/>
    <tableColumn id="3537" xr3:uid="{06631366-2490-9841-8D2A-3033620E3814}" name="Column3519"/>
    <tableColumn id="3538" xr3:uid="{570D0B8D-0FCE-6C4A-9E03-88445B58F155}" name="Column3520"/>
    <tableColumn id="3539" xr3:uid="{F020810E-BB76-684F-ADA8-DA846CA3DFE6}" name="Column3521"/>
    <tableColumn id="3540" xr3:uid="{D10BF1ED-9DC2-6B44-8234-50A932EFF31A}" name="Column3522"/>
    <tableColumn id="3541" xr3:uid="{C65EFB1C-3A8B-074B-A5BD-D38CF52498A8}" name="Column3523"/>
    <tableColumn id="3542" xr3:uid="{51F8437C-9999-824B-BD1C-C3EC1A818F5E}" name="Column3524"/>
    <tableColumn id="3543" xr3:uid="{61CBA7FB-DDC5-384A-932F-CE640172B684}" name="Column3525"/>
    <tableColumn id="3544" xr3:uid="{7C9F917E-0B64-074C-B3AE-D7B4F5D8ECC9}" name="Column3526"/>
    <tableColumn id="3545" xr3:uid="{DF93ED33-DB0E-5C41-98CE-73FD447D2293}" name="Column3527"/>
    <tableColumn id="3546" xr3:uid="{7E5E419A-37AA-234E-AE38-3EA173BE5E27}" name="Column3528"/>
    <tableColumn id="3547" xr3:uid="{4408D2A9-BB3A-D24F-8754-004F6E5795C5}" name="Column3529"/>
    <tableColumn id="3548" xr3:uid="{9D8900F2-72DA-3646-AFDF-60D951E43586}" name="Column3530"/>
    <tableColumn id="3549" xr3:uid="{9EA2157C-94D9-014C-9A91-7631FD83295B}" name="Column3531"/>
    <tableColumn id="3550" xr3:uid="{2D8D91C0-40BE-104A-A3FB-EDAB209078A8}" name="Column3532"/>
    <tableColumn id="3551" xr3:uid="{0ECFB326-66B8-F448-BF2C-4FEFECAFB784}" name="Column3533"/>
    <tableColumn id="3552" xr3:uid="{4760D342-C8A2-E343-950E-ACEFABFCF437}" name="Column3534"/>
    <tableColumn id="3553" xr3:uid="{F90B3A81-333C-D942-981A-33CA7613CC03}" name="Column3535"/>
    <tableColumn id="3554" xr3:uid="{56E8A03E-0E29-F242-9A44-2AC098D823C9}" name="Column3536"/>
    <tableColumn id="3555" xr3:uid="{2FFBCD54-F4FE-7443-8226-6E12C864AAF3}" name="Column3537"/>
    <tableColumn id="3556" xr3:uid="{4D03F3F2-3237-0D4A-AAE7-1E81CD6B40F0}" name="Column3538"/>
    <tableColumn id="3557" xr3:uid="{C91D66DB-3BCF-0D42-83CE-2057CCE17EDE}" name="Column3539"/>
    <tableColumn id="3558" xr3:uid="{F79599F4-C6DD-4E4F-9462-EEBD14EF3C4C}" name="Column3540"/>
    <tableColumn id="3559" xr3:uid="{D75CE6D7-7930-C445-B7B2-64805765FE2B}" name="Column3541"/>
    <tableColumn id="3560" xr3:uid="{40BA7D23-7D2A-E542-9D1E-00A6E971067E}" name="Column3542"/>
    <tableColumn id="3561" xr3:uid="{A27D3D36-2BAF-EE43-877C-7CAE7906FB7F}" name="Column3543"/>
    <tableColumn id="3562" xr3:uid="{ED788A8D-DBB6-994D-AEED-28694F676BA6}" name="Column3544"/>
    <tableColumn id="3563" xr3:uid="{1BC5A259-4E21-7C43-81E1-B0DD1C77506D}" name="Column3545"/>
    <tableColumn id="3564" xr3:uid="{08F4B495-A0B1-BA4E-B7FB-2F924A87AC33}" name="Column3546"/>
    <tableColumn id="3565" xr3:uid="{7C9938B1-35CD-214E-8714-EA3C2F807687}" name="Column3547"/>
    <tableColumn id="3566" xr3:uid="{1B7A99D0-FF8D-6045-8482-9E79FA54C1AA}" name="Column3548"/>
    <tableColumn id="3567" xr3:uid="{FB7BC21A-0A9D-944A-91DF-3093A083BAC2}" name="Column3549"/>
    <tableColumn id="3568" xr3:uid="{081B433E-3AE2-EA47-B5AF-062110334A45}" name="Column3550"/>
    <tableColumn id="3569" xr3:uid="{6911B130-5CE5-8047-BC69-87A6493006DB}" name="Column3551"/>
    <tableColumn id="3570" xr3:uid="{3ECF3063-BCBE-6448-B514-A1CADA367EC2}" name="Column3552"/>
    <tableColumn id="3571" xr3:uid="{457E557D-D823-C44A-8005-8CB43B5415F0}" name="Column3553"/>
    <tableColumn id="3572" xr3:uid="{B5E98A59-B9A6-164C-9C52-686EE525EE24}" name="Column3554"/>
    <tableColumn id="3573" xr3:uid="{6B743153-04BE-9C47-80FB-579955FCF53D}" name="Column3555"/>
    <tableColumn id="3574" xr3:uid="{F514DA4E-6A38-C741-89DE-3F0B20D15EFE}" name="Column3556"/>
    <tableColumn id="3575" xr3:uid="{14F5396D-7981-A349-B69D-CDD5B51365C7}" name="Column3557"/>
    <tableColumn id="3576" xr3:uid="{538C58A4-287B-A847-BEB3-97CDE479DA6F}" name="Column3558"/>
    <tableColumn id="3577" xr3:uid="{A74A10CB-7A87-EE4C-BE21-050B67813782}" name="Column3559"/>
    <tableColumn id="3578" xr3:uid="{86A23CDD-43D3-5B4D-805D-BC05BFD2E75B}" name="Column3560"/>
    <tableColumn id="3579" xr3:uid="{DA06B78D-3C43-2549-A119-56A42FDE83B6}" name="Column3561"/>
    <tableColumn id="3580" xr3:uid="{3CE62915-515F-6B4B-8D40-1D1F7450D3E5}" name="Column3562"/>
    <tableColumn id="3581" xr3:uid="{25278666-D332-7042-8AD3-4998445227B8}" name="Column3563"/>
    <tableColumn id="3582" xr3:uid="{661B17A4-F645-AD4B-AA1C-733D1A747058}" name="Column3564"/>
    <tableColumn id="3583" xr3:uid="{661E02C5-B602-5D4F-9307-24C7F4A762AA}" name="Column3565"/>
    <tableColumn id="3584" xr3:uid="{B35D2F49-45E1-7C42-9F91-E4C3B1EC6D3A}" name="Column3566"/>
    <tableColumn id="3585" xr3:uid="{6EE2F724-DDBE-D74C-BFAA-205474835553}" name="Column3567"/>
    <tableColumn id="3586" xr3:uid="{6ED1D3BD-2D94-7A4F-B704-503A152A2CCC}" name="Column3568"/>
    <tableColumn id="3587" xr3:uid="{B51155DC-E870-FB41-9C01-55BF8EEB84D6}" name="Column3569"/>
    <tableColumn id="3588" xr3:uid="{A4DA8CAC-F50E-FA47-BA83-798126AB5BEA}" name="Column3570"/>
    <tableColumn id="3589" xr3:uid="{4A5C5F99-734C-6649-B9BE-5801F1798776}" name="Column3571"/>
    <tableColumn id="3590" xr3:uid="{AE482010-1D8C-9045-A1AC-6F9FD57149D4}" name="Column3572"/>
    <tableColumn id="3591" xr3:uid="{6A240853-DAC6-C945-87FA-3FB8E37F110C}" name="Column3573"/>
    <tableColumn id="3592" xr3:uid="{02D5A4E9-657D-3D4D-A868-16A279C8996C}" name="Column3574"/>
    <tableColumn id="3593" xr3:uid="{4FF63D7B-1A53-5540-BDA6-565E568EAB23}" name="Column3575"/>
    <tableColumn id="3594" xr3:uid="{CEDDE4F7-5629-D94B-984E-B5F689FB7D8A}" name="Column3576"/>
    <tableColumn id="3595" xr3:uid="{152E7DA3-0F0C-264A-A217-25BCA6D2FAEF}" name="Column3577"/>
    <tableColumn id="3596" xr3:uid="{CD9011B3-7945-F445-9B27-FCA12BC7DC3D}" name="Column3578"/>
    <tableColumn id="3597" xr3:uid="{2E9D297B-DEFB-9342-A1A5-794061046ACF}" name="Column3579"/>
    <tableColumn id="3598" xr3:uid="{956544BC-76B0-354D-B6CE-447B4856567C}" name="Column3580"/>
    <tableColumn id="3599" xr3:uid="{C09E5136-F8E0-EF4F-8011-EFCEFE18359B}" name="Column3581"/>
    <tableColumn id="3600" xr3:uid="{2192ACC9-3D3F-8B47-9780-504D242D96C2}" name="Column3582"/>
    <tableColumn id="3601" xr3:uid="{7883A2CA-255C-2840-84EC-9719A6C2609A}" name="Column3583"/>
    <tableColumn id="3602" xr3:uid="{4712C570-4894-F743-AD80-6D078C6D4C41}" name="Column3584"/>
    <tableColumn id="3603" xr3:uid="{4634C664-3621-124E-B82A-20217646F49E}" name="Column3585"/>
    <tableColumn id="3604" xr3:uid="{D9836747-4858-BA41-AF44-8CF920DD5EC1}" name="Column3586"/>
    <tableColumn id="3605" xr3:uid="{217E198F-8FE5-BF48-B769-05005B6963CA}" name="Column3587"/>
    <tableColumn id="3606" xr3:uid="{9CB94A0A-F6FA-A44D-BF4F-605427C52C23}" name="Column3588"/>
    <tableColumn id="3607" xr3:uid="{D6A61D27-AF32-B54A-84B5-A967E1FD48B7}" name="Column3589"/>
    <tableColumn id="3608" xr3:uid="{63501676-E9E6-914B-816A-9B5F308BC6C5}" name="Column3590"/>
    <tableColumn id="3609" xr3:uid="{D98A3915-1CB6-1E41-9606-37D4CBF9BC3A}" name="Column3591"/>
    <tableColumn id="3610" xr3:uid="{A1939C53-6EB1-C34C-8200-A1FDC68A135F}" name="Column3592"/>
    <tableColumn id="3611" xr3:uid="{A1881CDF-4465-D14D-8BEB-394BDCDBA2A9}" name="Column3593"/>
    <tableColumn id="3612" xr3:uid="{6EF953C0-30EB-C44F-A22E-A9D08D7D3B9B}" name="Column3594"/>
    <tableColumn id="3613" xr3:uid="{FEBE6187-0874-054E-8428-B5B6BEDE329A}" name="Column3595"/>
    <tableColumn id="3614" xr3:uid="{3020B07F-166B-5145-902B-C5334E52C60A}" name="Column3596"/>
    <tableColumn id="3615" xr3:uid="{B31BF325-7F0F-324B-8CCC-7F8B99A55C01}" name="Column3597"/>
    <tableColumn id="3616" xr3:uid="{01429BA0-8687-3841-B0C5-7E27C86F5E7B}" name="Column3598"/>
    <tableColumn id="3617" xr3:uid="{55400C5A-FBFD-5A44-8C4A-CD1E457784CA}" name="Column3599"/>
    <tableColumn id="3618" xr3:uid="{DC9FFC24-2C16-A047-87F6-571A01220567}" name="Column3600"/>
    <tableColumn id="3619" xr3:uid="{E666B1B8-082D-4A4E-9052-6AE10D487CA6}" name="Column3601"/>
    <tableColumn id="3620" xr3:uid="{E77105AF-CCDE-8448-AA3B-9EFD468128B2}" name="Column3602"/>
    <tableColumn id="3621" xr3:uid="{1A6666E7-33DA-CA46-961F-6A4D7D808C41}" name="Column3603"/>
    <tableColumn id="3622" xr3:uid="{4339920F-6811-D240-8F13-6BECEFE72B70}" name="Column3604"/>
    <tableColumn id="3623" xr3:uid="{D16AFED7-F4D8-9F45-B3A4-FBBF65A8E026}" name="Column3605"/>
    <tableColumn id="3624" xr3:uid="{1E36914D-A660-6047-BD44-F56A19B2D79A}" name="Column3606"/>
    <tableColumn id="3625" xr3:uid="{75EFA4AA-E087-1346-8B70-1FDA3F286D8D}" name="Column3607"/>
    <tableColumn id="3626" xr3:uid="{4EC400EC-F2EA-5947-B699-F26B4B67B67F}" name="Column3608"/>
    <tableColumn id="3627" xr3:uid="{39D5C7FE-BBB6-3D46-ABEE-F58A5BFA1989}" name="Column3609"/>
    <tableColumn id="3628" xr3:uid="{BAAC386D-094A-CB46-8E09-929E7D819069}" name="Column3610"/>
    <tableColumn id="3629" xr3:uid="{E9745D57-BDD2-8A47-93D4-1D761D5C9441}" name="Column3611"/>
    <tableColumn id="3630" xr3:uid="{7EE7ECA2-8C9F-BD44-AA0D-CB4E353A430B}" name="Column3612"/>
    <tableColumn id="3631" xr3:uid="{D63733E4-A3BE-5347-8591-69EA69050FF9}" name="Column3613"/>
    <tableColumn id="3632" xr3:uid="{EFA192C0-68B0-334B-9DFB-AA47EE70A74D}" name="Column3614"/>
    <tableColumn id="3633" xr3:uid="{E68EFBFE-4803-4044-B520-D4AF517B1E52}" name="Column3615"/>
    <tableColumn id="3634" xr3:uid="{258DA3CD-FBC4-C44B-8057-DA77A2817B6B}" name="Column3616"/>
    <tableColumn id="3635" xr3:uid="{0A730190-B42A-A14E-A38C-93B5F23521EF}" name="Column3617"/>
    <tableColumn id="3636" xr3:uid="{29ABF620-C10F-0E4C-BDE3-06FB17DE50F8}" name="Column3618"/>
    <tableColumn id="3637" xr3:uid="{EE86641D-3747-AC48-9737-40657BEE2EA5}" name="Column3619"/>
    <tableColumn id="3638" xr3:uid="{D7E8F14D-58D3-C849-B5CE-B59C0636E433}" name="Column3620"/>
    <tableColumn id="3639" xr3:uid="{4CC494AA-8D50-8E42-9E5D-3402875482E5}" name="Column3621"/>
    <tableColumn id="3640" xr3:uid="{921F8745-5976-D447-B0DE-BEB7E5624128}" name="Column3622"/>
    <tableColumn id="3641" xr3:uid="{FF207B07-E4DF-494C-82A5-73A62BE6380F}" name="Column3623"/>
    <tableColumn id="3642" xr3:uid="{7EEFB6C8-15C0-3A45-90FD-09BF5E223E30}" name="Column3624"/>
    <tableColumn id="3643" xr3:uid="{D72047DC-CD19-B44B-BB2B-3CD56A39B38E}" name="Column3625"/>
    <tableColumn id="3644" xr3:uid="{B4A98C4C-DE7C-3B4D-905E-F22C999B7B4E}" name="Column3626"/>
    <tableColumn id="3645" xr3:uid="{9A821910-FB64-844D-93C6-F158A2E1A3F7}" name="Column3627"/>
    <tableColumn id="3646" xr3:uid="{A155646B-3E30-AF4E-99C4-86B608A1AB44}" name="Column3628"/>
    <tableColumn id="3647" xr3:uid="{77E2EDC7-0266-D542-9474-7C68B3CED765}" name="Column3629"/>
    <tableColumn id="3648" xr3:uid="{FC1407FA-3132-6E45-8012-BF61F8AF3C12}" name="Column3630"/>
    <tableColumn id="3649" xr3:uid="{0BE90F21-865C-6546-9731-A4792465AF6A}" name="Column3631"/>
    <tableColumn id="3650" xr3:uid="{8E374B1D-28BD-5546-8DA4-5895EFB0875C}" name="Column3632"/>
    <tableColumn id="3651" xr3:uid="{411A54BB-4703-194B-A574-4C3B2EB63073}" name="Column3633"/>
    <tableColumn id="3652" xr3:uid="{7B8936CB-461B-2A4D-BA9F-D0EF499738FF}" name="Column3634"/>
    <tableColumn id="3653" xr3:uid="{54E201CB-1C11-064C-BAB3-F8386AE66A84}" name="Column3635"/>
    <tableColumn id="3654" xr3:uid="{83D14844-DD02-0B4D-BBE2-B5150697E102}" name="Column3636"/>
    <tableColumn id="3655" xr3:uid="{1A9AF48A-81F8-B845-9AF1-E7143437CD5F}" name="Column3637"/>
    <tableColumn id="3656" xr3:uid="{E3A3A7F5-3CC4-6545-BB54-A3779C58B59C}" name="Column3638"/>
    <tableColumn id="3657" xr3:uid="{EFE376A6-C179-FE4D-905D-4AD7A6F48B4D}" name="Column3639"/>
    <tableColumn id="3658" xr3:uid="{837BD9B6-1461-4C40-B119-533C96B61686}" name="Column3640"/>
    <tableColumn id="3659" xr3:uid="{AA1BA017-E135-AE47-BEE0-4626C9415E47}" name="Column3641"/>
    <tableColumn id="3660" xr3:uid="{9FBFE533-1BCD-994D-94DE-488739BA89D2}" name="Column3642"/>
    <tableColumn id="3661" xr3:uid="{64BB3FE3-38D4-8749-9EBB-202069F6C455}" name="Column3643"/>
    <tableColumn id="3662" xr3:uid="{E7D2F1D0-F00A-B948-ACDD-D0AAAB33439D}" name="Column3644"/>
    <tableColumn id="3663" xr3:uid="{636761A0-429F-4845-9CB9-D912803A43FF}" name="Column3645"/>
    <tableColumn id="3664" xr3:uid="{96400C41-604D-BC49-9925-7D133ADC4E7A}" name="Column3646"/>
    <tableColumn id="3665" xr3:uid="{3B40B89C-CD61-5844-A890-0F5500C24AF3}" name="Column3647"/>
    <tableColumn id="3666" xr3:uid="{7A080CA7-0EF3-D24D-88B3-A9CD0057B4DA}" name="Column3648"/>
    <tableColumn id="3667" xr3:uid="{15CCAF92-1568-364F-AF8A-CE7779181542}" name="Column3649"/>
    <tableColumn id="3668" xr3:uid="{A5AC1755-7AAF-4849-BB52-C2C39293A8DF}" name="Column3650"/>
    <tableColumn id="3669" xr3:uid="{CF1A5FB1-A170-0F41-AF78-2504F84D7ED8}" name="Column3651"/>
    <tableColumn id="3670" xr3:uid="{06AFE29B-339E-3B43-AC53-A3E4559FD8CA}" name="Column3652"/>
    <tableColumn id="3671" xr3:uid="{3B284C83-9D45-3E4A-AFDD-0A008D308218}" name="Column3653"/>
    <tableColumn id="3672" xr3:uid="{8AF36103-4560-774A-BB04-FC50FD193B51}" name="Column3654"/>
    <tableColumn id="3673" xr3:uid="{0CBBD698-285A-7C43-B5DA-C2F33EEA5166}" name="Column3655"/>
    <tableColumn id="3674" xr3:uid="{F5AD9CDA-3238-9941-A8B3-625EC51A1C6B}" name="Column3656"/>
    <tableColumn id="3675" xr3:uid="{E9BDBDE3-2529-024C-A815-74B77E1C2317}" name="Column3657"/>
    <tableColumn id="3676" xr3:uid="{8642111A-CE6B-3942-98BD-8541C5B2F952}" name="Column3658"/>
    <tableColumn id="3677" xr3:uid="{CB08F09F-D6AA-A54C-A702-1961F9C6BC6C}" name="Column3659"/>
    <tableColumn id="3678" xr3:uid="{7D3033B8-CD72-0B4E-8B81-AD9205AE0321}" name="Column3660"/>
    <tableColumn id="3679" xr3:uid="{08A94803-14DD-0344-AF2C-A5E7347945A7}" name="Column3661"/>
    <tableColumn id="3680" xr3:uid="{0D31611A-A1EA-F542-B3B5-EAD1C48ACE75}" name="Column3662"/>
    <tableColumn id="3681" xr3:uid="{0DAAD9E4-81D8-D849-9FD0-E4589E94DBB3}" name="Column3663"/>
    <tableColumn id="3682" xr3:uid="{1F526206-F963-1241-80F1-2AA1DD3F8DFC}" name="Column3664"/>
    <tableColumn id="3683" xr3:uid="{97A45337-049B-6F46-88C1-5FE2A11CFC0A}" name="Column3665"/>
    <tableColumn id="3684" xr3:uid="{F9F5E434-C0A4-3B4E-B71D-6E6FA4F34A15}" name="Column3666"/>
    <tableColumn id="3685" xr3:uid="{284A25BF-1FCB-C14A-9BC3-5041C46D8D7F}" name="Column3667"/>
    <tableColumn id="3686" xr3:uid="{C7E47A4A-0E0C-7B49-BDD6-CE6A978200E0}" name="Column3668"/>
    <tableColumn id="3687" xr3:uid="{45A0E428-4CF0-0844-AB2D-33EF6D380430}" name="Column3669"/>
    <tableColumn id="3688" xr3:uid="{275DB018-F771-8342-A745-327AD3654A0B}" name="Column3670"/>
    <tableColumn id="3689" xr3:uid="{C88CF8B0-CDAD-654B-9E56-78CEFFAC248F}" name="Column3671"/>
    <tableColumn id="3690" xr3:uid="{A2B9A829-E2C4-234D-8356-CF7D333ADE85}" name="Column3672"/>
    <tableColumn id="3691" xr3:uid="{DF88E4DC-5C07-0C4E-9442-5F6316C072A9}" name="Column3673"/>
    <tableColumn id="3692" xr3:uid="{A1FF8CCC-F145-DC42-990B-AC5A129A4321}" name="Column3674"/>
    <tableColumn id="3693" xr3:uid="{A874E23C-85CD-464A-8E28-060DF1FF3C23}" name="Column3675"/>
    <tableColumn id="3694" xr3:uid="{0F5F633A-7A0C-A34F-A1C0-24DF62F45BA9}" name="Column3676"/>
    <tableColumn id="3695" xr3:uid="{1AC7F7D6-B96A-F74B-BDB8-96B820140E67}" name="Column3677"/>
    <tableColumn id="3696" xr3:uid="{88E0075D-8F1D-3940-B31E-EC3CE8C1E6A8}" name="Column3678"/>
    <tableColumn id="3697" xr3:uid="{4DA6B0E8-984A-284F-A88F-FA901E198CB6}" name="Column3679"/>
    <tableColumn id="3698" xr3:uid="{CBC7DA18-88BE-4F42-A758-1E39DF06B411}" name="Column3680"/>
    <tableColumn id="3699" xr3:uid="{ADED9DA9-0FE5-EA40-BD9B-1D8761F02BB2}" name="Column3681"/>
    <tableColumn id="3700" xr3:uid="{A77FAFBB-628F-F24E-8DD6-B932C1374E69}" name="Column3682"/>
    <tableColumn id="3701" xr3:uid="{497257F3-03B0-8C44-8282-ADF2AE6AE6CE}" name="Column3683"/>
    <tableColumn id="3702" xr3:uid="{1C6094B4-4AB3-1640-BCA2-26FAD456FDD6}" name="Column3684"/>
    <tableColumn id="3703" xr3:uid="{7F0B6C65-30C8-B741-AF84-CA1E850A35D3}" name="Column3685"/>
    <tableColumn id="3704" xr3:uid="{9DB8D3C7-9475-1B45-82D0-4FA4C9F0A515}" name="Column3686"/>
    <tableColumn id="3705" xr3:uid="{5F8B8D3D-95FB-B44B-A7D7-15F02CB6B888}" name="Column3687"/>
    <tableColumn id="3706" xr3:uid="{9C6ADD90-45C7-5C4C-BACE-70E390752198}" name="Column3688"/>
    <tableColumn id="3707" xr3:uid="{1DA29E89-CAE6-FF4E-9839-E0AD10B56B65}" name="Column3689"/>
    <tableColumn id="3708" xr3:uid="{ACBCE0D0-C6A7-0F4D-9523-A5ED2531615D}" name="Column3690"/>
    <tableColumn id="3709" xr3:uid="{4281B2FD-AFB2-2649-BE06-F8F2F124E1D1}" name="Column3691"/>
    <tableColumn id="3710" xr3:uid="{1008661E-EB04-1342-93BF-65FEC4D85D09}" name="Column3692"/>
    <tableColumn id="3711" xr3:uid="{960D271C-AABC-BC4A-91B2-66271A69FE58}" name="Column3693"/>
    <tableColumn id="3712" xr3:uid="{A492E5DE-2689-3A4E-AA0A-5C59ED0C456B}" name="Column3694"/>
    <tableColumn id="3713" xr3:uid="{966FCA72-26A3-E842-B2D0-A123EC12BB33}" name="Column3695"/>
    <tableColumn id="3714" xr3:uid="{42780F8B-B569-3E48-B002-4C0ACB1DCB13}" name="Column3696"/>
    <tableColumn id="3715" xr3:uid="{7833DBD9-D620-9343-A3C2-5486FED14E28}" name="Column3697"/>
    <tableColumn id="3716" xr3:uid="{DEB5F858-FEB2-6C4C-80D3-DCCCB94A1D95}" name="Column3698"/>
    <tableColumn id="3717" xr3:uid="{4BB52614-2D41-8D4D-A2E4-9DADCBE71170}" name="Column3699"/>
    <tableColumn id="3718" xr3:uid="{486E6AB2-302A-604A-9975-3157A72886FB}" name="Column3700"/>
    <tableColumn id="3719" xr3:uid="{E3C461AA-342E-9D45-9E25-5D2C5B5D4F9A}" name="Column3701"/>
    <tableColumn id="3720" xr3:uid="{F64C6E55-5915-CB41-B784-03F5E706ED18}" name="Column3702"/>
    <tableColumn id="3721" xr3:uid="{A06FDB01-3BD2-6249-BF7C-7DC8E1079719}" name="Column3703"/>
    <tableColumn id="3722" xr3:uid="{2521D0D5-9609-AD43-AFCF-224052B2AE01}" name="Column3704"/>
    <tableColumn id="3723" xr3:uid="{C4F4B0CB-81F1-FA4A-BA53-1C59BD60A22A}" name="Column3705"/>
    <tableColumn id="3724" xr3:uid="{42DBF2ED-C868-BE4B-812D-2677A0561EE0}" name="Column3706"/>
    <tableColumn id="3725" xr3:uid="{F56EDB46-1530-6F4A-B7BA-A113569D9B68}" name="Column3707"/>
    <tableColumn id="3726" xr3:uid="{3C1E62DC-089A-FB4E-A9E7-A28CE135DE9C}" name="Column3708"/>
    <tableColumn id="3727" xr3:uid="{83DB7AB0-4521-634F-A245-E6C6D0EBEF24}" name="Column3709"/>
    <tableColumn id="3728" xr3:uid="{20190ED5-F123-2F44-A992-C0B7B2C452FF}" name="Column3710"/>
    <tableColumn id="3729" xr3:uid="{6E4CE83A-3F7A-C843-A1E1-117F66837338}" name="Column3711"/>
    <tableColumn id="3730" xr3:uid="{14186379-527E-DE4F-89C6-765B6D2C4E1E}" name="Column3712"/>
    <tableColumn id="3731" xr3:uid="{C4ED81B6-C1C1-3B41-85D6-719E9B4D95A4}" name="Column3713"/>
    <tableColumn id="3732" xr3:uid="{A9BEBC6B-4446-9A4E-8ACE-4EF4DAF23B25}" name="Column3714"/>
    <tableColumn id="3733" xr3:uid="{471453FA-9E7A-D549-AC92-355DC7E78DCF}" name="Column3715"/>
    <tableColumn id="3734" xr3:uid="{03F01B08-75E1-424A-A0A9-86482F883CFC}" name="Column3716"/>
    <tableColumn id="3735" xr3:uid="{FA126A22-5C0F-FE44-9D75-CAF4235A0414}" name="Column3717"/>
    <tableColumn id="3736" xr3:uid="{69E2ADD2-0422-704F-A322-D696E13FA773}" name="Column3718"/>
    <tableColumn id="3737" xr3:uid="{AF590E1A-ABD5-E44C-8E23-75E8ACB4FCC4}" name="Column3719"/>
    <tableColumn id="3738" xr3:uid="{1AE0DB7E-FA49-E448-A822-76B386704470}" name="Column3720"/>
    <tableColumn id="3739" xr3:uid="{043186E6-A89F-994E-9812-188F21542D0F}" name="Column3721"/>
    <tableColumn id="3740" xr3:uid="{DEFCEF78-1F86-F24A-A9F1-E7D47E062012}" name="Column3722"/>
    <tableColumn id="3741" xr3:uid="{21B9909C-41FE-8546-9387-E283683E551D}" name="Column3723"/>
    <tableColumn id="3742" xr3:uid="{58D4DA63-CB66-4645-8CD6-74C43B8CE247}" name="Column3724"/>
    <tableColumn id="3743" xr3:uid="{CFA5BAC6-1458-7240-9AFA-47FB35C64910}" name="Column3725"/>
    <tableColumn id="3744" xr3:uid="{04461837-450F-1C4A-B856-A92BF0C76A17}" name="Column3726"/>
    <tableColumn id="3745" xr3:uid="{A2355683-968B-F943-8F3A-789B51FFF557}" name="Column3727"/>
    <tableColumn id="3746" xr3:uid="{A9AC26BD-D206-5042-87C1-DD2B74130BFD}" name="Column3728"/>
    <tableColumn id="3747" xr3:uid="{A4E77505-2D4E-8344-BC47-165158DA9A68}" name="Column3729"/>
    <tableColumn id="3748" xr3:uid="{28F810BC-453C-AA43-8809-4294F2801215}" name="Column3730"/>
    <tableColumn id="3749" xr3:uid="{4D13F5DE-2CF2-314C-BC8D-5A53A134D5AD}" name="Column3731"/>
    <tableColumn id="3750" xr3:uid="{79FB13F8-7ACA-6E4D-9A80-976CEDE3DEFE}" name="Column3732"/>
    <tableColumn id="3751" xr3:uid="{0E5FC7C1-E04D-7146-9468-67C9B8B6B65D}" name="Column3733"/>
    <tableColumn id="3752" xr3:uid="{44024B62-EB3C-AF44-AC56-E6DD3D7D69E9}" name="Column3734"/>
    <tableColumn id="3753" xr3:uid="{C77146E0-6DC5-6543-9491-0E046C170575}" name="Column3735"/>
    <tableColumn id="3754" xr3:uid="{2DE58E4C-A12A-224B-9E3D-8E94F2DB43FC}" name="Column3736"/>
    <tableColumn id="3755" xr3:uid="{019A7285-BBC8-4045-8B6D-5531BBCE36DF}" name="Column3737"/>
    <tableColumn id="3756" xr3:uid="{A122CCE0-7FB3-5E49-84B5-84FCC62B0AB8}" name="Column3738"/>
    <tableColumn id="3757" xr3:uid="{D0922E86-CA32-4D40-BA60-68B431FC3380}" name="Column3739"/>
    <tableColumn id="3758" xr3:uid="{FCF82958-37C4-C846-8FB4-A4C5D45DD9E5}" name="Column3740"/>
    <tableColumn id="3759" xr3:uid="{B6621195-9FDE-8E49-B901-2BD8B9277B94}" name="Column3741"/>
    <tableColumn id="3760" xr3:uid="{D1D983BD-EE43-2B44-9B70-3343CA690A3D}" name="Column3742"/>
    <tableColumn id="3761" xr3:uid="{7D114585-2171-8042-B9EB-465A4B17DCE4}" name="Column3743"/>
    <tableColumn id="3762" xr3:uid="{F842D3B8-05B3-3747-9B4D-48D98D8374DC}" name="Column3744"/>
    <tableColumn id="3763" xr3:uid="{5676C249-5E1B-3A46-9D0E-B56BBEBD95B3}" name="Column3745"/>
    <tableColumn id="3764" xr3:uid="{00D3EC72-3748-9E4E-8302-F1F5A8A49562}" name="Column3746"/>
    <tableColumn id="3765" xr3:uid="{4BD35F93-3ADB-F644-B02F-B200D1327930}" name="Column3747"/>
    <tableColumn id="3766" xr3:uid="{BFA83CEA-C1AB-454C-8FAF-45C47E02B0AE}" name="Column3748"/>
    <tableColumn id="3767" xr3:uid="{FEDEB40F-2570-B44C-A69B-8FBC8514EF67}" name="Column3749"/>
    <tableColumn id="3768" xr3:uid="{AAA83463-B575-1342-B4D0-0D3A475FAC13}" name="Column3750"/>
    <tableColumn id="3769" xr3:uid="{BFB59DB7-6981-0444-82CD-0211C8C53ACD}" name="Column3751"/>
    <tableColumn id="3770" xr3:uid="{E83F3DDB-2CD5-5C40-A889-5FEE218F1184}" name="Column3752"/>
    <tableColumn id="3771" xr3:uid="{9305C4D1-9264-2B4C-9D4E-4FBE459248DF}" name="Column3753"/>
    <tableColumn id="3772" xr3:uid="{FD51C0C9-A588-7F41-B6D1-B75194F0B514}" name="Column3754"/>
    <tableColumn id="3773" xr3:uid="{C7C4BFC8-EE24-194D-9689-679AD5AA255F}" name="Column3755"/>
    <tableColumn id="3774" xr3:uid="{488A7CBB-C610-C54D-8529-B81A7C3746D9}" name="Column3756"/>
    <tableColumn id="3775" xr3:uid="{7815EC46-5D26-6E4F-91C8-8F9722CEB7B0}" name="Column3757"/>
    <tableColumn id="3776" xr3:uid="{45B5E601-32FA-AF4A-8A0B-8AFE12EEC824}" name="Column3758"/>
    <tableColumn id="3777" xr3:uid="{8F53675B-2F48-B942-9A39-89A27FAF7A92}" name="Column3759"/>
    <tableColumn id="3778" xr3:uid="{678328BB-BFAF-904D-8B5E-5ACAF4730946}" name="Column3760"/>
    <tableColumn id="3779" xr3:uid="{6D122BE2-2103-DB40-990C-9B6DA4A4488B}" name="Column3761"/>
    <tableColumn id="3780" xr3:uid="{18728112-7F0A-8440-882A-2FA605496A6D}" name="Column3762"/>
    <tableColumn id="3781" xr3:uid="{C8C9B93B-60F1-8E44-B104-5F865DB98785}" name="Column3763"/>
    <tableColumn id="3782" xr3:uid="{93A25D21-5929-BB4B-BD28-F0C077A2D8E8}" name="Column3764"/>
    <tableColumn id="3783" xr3:uid="{D1B7A33B-6137-224D-8468-DEE5C796085D}" name="Column3765"/>
    <tableColumn id="3784" xr3:uid="{9A6BD99C-63F6-A141-A8D8-9DF70AF4AD96}" name="Column3766"/>
    <tableColumn id="3785" xr3:uid="{C1F2FCF4-7E09-AB49-A3AA-263CD49B63C0}" name="Column3767"/>
    <tableColumn id="3786" xr3:uid="{CBC01B32-39E1-C44E-A404-66D5CD5BB17D}" name="Column3768"/>
    <tableColumn id="3787" xr3:uid="{B3E73643-BDBF-5F4D-B800-02123A8F0913}" name="Column3769"/>
    <tableColumn id="3788" xr3:uid="{51995B32-2960-0642-8014-389794E320B3}" name="Column3770"/>
    <tableColumn id="3789" xr3:uid="{F1FB8B91-105A-A147-AF89-84306333321E}" name="Column3771"/>
    <tableColumn id="3790" xr3:uid="{106542EB-F1C7-CD44-94E5-4412F1BFA16E}" name="Column3772"/>
    <tableColumn id="3791" xr3:uid="{B698D90C-9457-4A4C-944B-F6CE374B74F5}" name="Column3773"/>
    <tableColumn id="3792" xr3:uid="{0FBD6C36-CE79-B943-A609-FE888681C59E}" name="Column3774"/>
    <tableColumn id="3793" xr3:uid="{CA445BDF-D354-8D46-A3E6-5437D7E0EC43}" name="Column3775"/>
    <tableColumn id="3794" xr3:uid="{267A54F6-574B-C640-BF05-CD5C8DB738C4}" name="Column3776"/>
    <tableColumn id="3795" xr3:uid="{2ED02C53-D49B-B24C-AB42-E82779805939}" name="Column3777"/>
    <tableColumn id="3796" xr3:uid="{0496AE60-42CF-B641-8F73-2EFC356A0AE0}" name="Column3778"/>
    <tableColumn id="3797" xr3:uid="{5DA586F2-2DAE-7340-BA96-1E92CB3A31A8}" name="Column3779"/>
    <tableColumn id="3798" xr3:uid="{9DFE1187-DED2-214B-B245-8F2F689288FD}" name="Column3780"/>
    <tableColumn id="3799" xr3:uid="{FDC60AFA-AFB0-AF40-BC2C-21C68362CE2E}" name="Column3781"/>
    <tableColumn id="3800" xr3:uid="{DA28D76E-1092-7842-902C-609B1F953D80}" name="Column3782"/>
    <tableColumn id="3801" xr3:uid="{3B5D4BB5-CC59-964A-A575-6B1343FC5E94}" name="Column3783"/>
    <tableColumn id="3802" xr3:uid="{BB07E397-B0C8-6140-8F29-D130606A417B}" name="Column3784"/>
    <tableColumn id="3803" xr3:uid="{C1C6047E-7BF9-6C48-87CE-291C397D70C4}" name="Column3785"/>
    <tableColumn id="3804" xr3:uid="{D4AAC48F-06DB-9A4F-924F-C271DC0D4350}" name="Column3786"/>
    <tableColumn id="3805" xr3:uid="{15A7343D-F071-7743-B38A-FB941A157F41}" name="Column3787"/>
    <tableColumn id="3806" xr3:uid="{B0246815-057F-6D42-A43C-4AEDE68F07E0}" name="Column3788"/>
    <tableColumn id="3807" xr3:uid="{22406603-161A-4441-9D88-390162EC000B}" name="Column3789"/>
    <tableColumn id="3808" xr3:uid="{FE2C1972-939D-2A4B-95FA-A1094929AEC3}" name="Column3790"/>
    <tableColumn id="3809" xr3:uid="{619BFA70-1C1C-A540-8075-362E3DE76FC2}" name="Column3791"/>
    <tableColumn id="3810" xr3:uid="{61D59DB5-9793-454D-BF32-B1589C46D546}" name="Column3792"/>
    <tableColumn id="3811" xr3:uid="{7B0C8F6E-6176-5642-B3D9-F6770B2B4255}" name="Column3793"/>
    <tableColumn id="3812" xr3:uid="{D8D666A5-7078-C94C-B782-93889A167B08}" name="Column3794"/>
    <tableColumn id="3813" xr3:uid="{DFEBD793-95C1-B648-A909-6B972857C245}" name="Column3795"/>
    <tableColumn id="3814" xr3:uid="{06926266-C079-2A4A-9F2C-DC28F276C643}" name="Column3796"/>
    <tableColumn id="3815" xr3:uid="{DBEB751B-E163-994A-BF93-90F8C80718F1}" name="Column3797"/>
    <tableColumn id="3816" xr3:uid="{312F1192-4A5F-4642-B1F9-E7215A4C8E12}" name="Column3798"/>
    <tableColumn id="3817" xr3:uid="{82587E41-FBD5-4047-9041-31139A77BF2B}" name="Column3799"/>
    <tableColumn id="3818" xr3:uid="{4F568DC4-815C-BE41-8355-0BB03F454D68}" name="Column3800"/>
    <tableColumn id="3819" xr3:uid="{51875009-177C-294F-888D-DDC47707877A}" name="Column3801"/>
    <tableColumn id="3820" xr3:uid="{E3C09AF6-C5D7-AC4C-AD38-094C67562EFF}" name="Column3802"/>
    <tableColumn id="3821" xr3:uid="{3CAC74A7-067C-B74B-B9D5-0663E2F9419E}" name="Column3803"/>
    <tableColumn id="3822" xr3:uid="{AA727481-9E02-6845-96C2-4704D17FD853}" name="Column3804"/>
    <tableColumn id="3823" xr3:uid="{6D1A7099-56E8-C34D-856D-748500368344}" name="Column3805"/>
    <tableColumn id="3824" xr3:uid="{C4401585-512E-324E-B8F1-287A66D3EC65}" name="Column3806"/>
    <tableColumn id="3825" xr3:uid="{773B0636-6C02-9D4C-94BD-7616DCBAACEF}" name="Column3807"/>
    <tableColumn id="3826" xr3:uid="{E0B69B70-E572-454B-A85E-CDED9D46340F}" name="Column3808"/>
    <tableColumn id="3827" xr3:uid="{25E3CB54-C2D1-FF41-B22F-AF79BCC8ABC2}" name="Column3809"/>
    <tableColumn id="3828" xr3:uid="{4210D39D-3BB1-5D43-B5FD-006092F22579}" name="Column3810"/>
    <tableColumn id="3829" xr3:uid="{96A0D4F6-5D88-E246-8F03-8E6970722EB7}" name="Column3811"/>
    <tableColumn id="3830" xr3:uid="{791C54A0-A004-B045-AF93-135B14A67849}" name="Column3812"/>
    <tableColumn id="3831" xr3:uid="{74C30C64-6D11-BD41-B2E1-50C010A53E6B}" name="Column3813"/>
    <tableColumn id="3832" xr3:uid="{7D756A62-5351-834A-A59F-4CAADE69A574}" name="Column3814"/>
    <tableColumn id="3833" xr3:uid="{8939B740-D39F-0E4C-921C-5EECF073B9DB}" name="Column3815"/>
    <tableColumn id="3834" xr3:uid="{EB2F6008-5D84-6240-9002-B6C12863C89B}" name="Column3816"/>
    <tableColumn id="3835" xr3:uid="{F55A8E17-ECC6-D746-94D1-027AD5625E15}" name="Column3817"/>
    <tableColumn id="3836" xr3:uid="{B1F7B914-F5EB-8B42-9298-421740D4C7DD}" name="Column3818"/>
    <tableColumn id="3837" xr3:uid="{0C3AF4A6-E822-B241-9E52-C8B8AFA02D09}" name="Column3819"/>
    <tableColumn id="3838" xr3:uid="{8127366D-95F8-CA4E-88B9-AFADBDCCD648}" name="Column3820"/>
    <tableColumn id="3839" xr3:uid="{CE0598AF-6F0C-8748-92A5-09251847A63C}" name="Column3821"/>
    <tableColumn id="3840" xr3:uid="{C783C97A-8113-F749-BCDA-CC9DECDC7A15}" name="Column3822"/>
    <tableColumn id="3841" xr3:uid="{CBDCDACC-7C1F-0147-A8FC-D8492B81D9E5}" name="Column3823"/>
    <tableColumn id="3842" xr3:uid="{1082A6E3-605B-934C-8F7E-D3667BD93E57}" name="Column3824"/>
    <tableColumn id="3843" xr3:uid="{4383682E-1973-C643-8F6B-07FCAC2722DE}" name="Column3825"/>
    <tableColumn id="3844" xr3:uid="{0729683A-83FF-5A4E-B671-05902B7394F9}" name="Column3826"/>
    <tableColumn id="3845" xr3:uid="{69C9B980-01FF-FA42-B774-D69A4A4A6374}" name="Column3827"/>
    <tableColumn id="3846" xr3:uid="{EE47C6DD-AFB0-7144-A4ED-C4A3160A3AC7}" name="Column3828"/>
    <tableColumn id="3847" xr3:uid="{C083364D-68FD-B646-AC48-DAA00D20EF97}" name="Column3829"/>
    <tableColumn id="3848" xr3:uid="{FB4B110C-95EE-FC41-9EFE-36D93D1CA45C}" name="Column3830"/>
    <tableColumn id="3849" xr3:uid="{3511B167-CCAD-264B-96E1-5AA0FB67293D}" name="Column3831"/>
    <tableColumn id="3850" xr3:uid="{5725CE1E-F105-9F4C-BEFF-423C85F9E7EF}" name="Column3832"/>
    <tableColumn id="3851" xr3:uid="{F83217B7-D431-CA4E-836F-856834DC6FD5}" name="Column3833"/>
    <tableColumn id="3852" xr3:uid="{56D8511B-8ECA-0342-8DEA-D8C27CCB4E87}" name="Column3834"/>
    <tableColumn id="3853" xr3:uid="{DC8F5FCF-8772-EE42-B537-C159029F2E73}" name="Column3835"/>
    <tableColumn id="3854" xr3:uid="{D9BA4513-EC21-E147-AE32-8FBC6063104D}" name="Column3836"/>
    <tableColumn id="3855" xr3:uid="{811794B4-C845-4748-A263-4DC11F1C7F36}" name="Column3837"/>
    <tableColumn id="3856" xr3:uid="{073AD799-4030-4E41-A266-2BFB001A6FA2}" name="Column3838"/>
    <tableColumn id="3857" xr3:uid="{69CF1909-9632-BC49-9330-5066988B6E8E}" name="Column3839"/>
    <tableColumn id="3858" xr3:uid="{83176B90-C392-744C-9C45-E0AE5781C2F4}" name="Column3840"/>
    <tableColumn id="3859" xr3:uid="{040DD1C6-3406-8844-BB18-4EB2BFE09EFD}" name="Column3841"/>
    <tableColumn id="3860" xr3:uid="{CCFAC473-F404-AF4F-8E83-BEE045114E70}" name="Column3842"/>
    <tableColumn id="3861" xr3:uid="{1A1F0330-9440-754E-95B2-6CCBB2A04D10}" name="Column3843"/>
    <tableColumn id="3862" xr3:uid="{B6BDF205-9126-B442-975A-D4B9243C3CDB}" name="Column3844"/>
    <tableColumn id="3863" xr3:uid="{272ABD0E-C4B5-C640-ACFF-0DA05042A4B2}" name="Column3845"/>
    <tableColumn id="3864" xr3:uid="{7B5AD8C4-C03B-E843-A138-A460DCDE191C}" name="Column3846"/>
    <tableColumn id="3865" xr3:uid="{02D9AC76-560C-194C-A9F4-0A3049050A6A}" name="Column3847"/>
    <tableColumn id="3866" xr3:uid="{7658B3D5-F767-A647-AF0B-A6D4CAA937FF}" name="Column3848"/>
    <tableColumn id="3867" xr3:uid="{FDBDD303-E429-474D-8535-7233A466D4E5}" name="Column3849"/>
    <tableColumn id="3868" xr3:uid="{28136431-50B6-0845-A227-0F35CCA9D16F}" name="Column3850"/>
    <tableColumn id="3869" xr3:uid="{4C6C5DFB-31BE-864A-92A0-F7792BE81E12}" name="Column3851"/>
    <tableColumn id="3870" xr3:uid="{67CAC1A9-FFC6-E840-BE1E-98BB27ED3578}" name="Column3852"/>
    <tableColumn id="3871" xr3:uid="{128F68DC-5FA2-414C-9E46-0ADFB02609CB}" name="Column3853"/>
    <tableColumn id="3872" xr3:uid="{328A1D87-F1A2-FF48-8677-227B35FC58DE}" name="Column3854"/>
    <tableColumn id="3873" xr3:uid="{683E4BFC-AFB9-DF4B-B9E8-B949244C9896}" name="Column3855"/>
    <tableColumn id="3874" xr3:uid="{65F19DB5-7080-0549-9DA8-82E01FF1D045}" name="Column3856"/>
    <tableColumn id="3875" xr3:uid="{8F97EE21-FE83-EF4C-8360-D7E3E758B328}" name="Column3857"/>
    <tableColumn id="3876" xr3:uid="{93CDE0A4-637B-5047-B29F-8603FF15C045}" name="Column3858"/>
    <tableColumn id="3877" xr3:uid="{BB186D42-B557-344C-8DCA-F5EA85E9C18E}" name="Column3859"/>
    <tableColumn id="3878" xr3:uid="{6F9C0619-1B23-E04C-82AA-15E438A841BE}" name="Column3860"/>
    <tableColumn id="3879" xr3:uid="{F767238E-3F18-3346-858C-134920F6598C}" name="Column3861"/>
    <tableColumn id="3880" xr3:uid="{26C426C6-71A7-744E-86F1-90E1F6E3506E}" name="Column3862"/>
    <tableColumn id="3881" xr3:uid="{E6E03ADE-A448-BD4E-8CA8-23BC73542948}" name="Column3863"/>
    <tableColumn id="3882" xr3:uid="{C4E3696B-F392-6A49-894C-5A4370F2B156}" name="Column3864"/>
    <tableColumn id="3883" xr3:uid="{A6F66F72-BDBA-CA4D-943D-ABD1CB6FA8F6}" name="Column3865"/>
    <tableColumn id="3884" xr3:uid="{CA33DB3D-FB37-BB46-9547-3E16A0FF0BA7}" name="Column3866"/>
    <tableColumn id="3885" xr3:uid="{EF9230A9-AF58-154C-AB50-4981B1F870B1}" name="Column3867"/>
    <tableColumn id="3886" xr3:uid="{F587B8B3-7B97-924B-94E3-5E7E6687C77C}" name="Column3868"/>
    <tableColumn id="3887" xr3:uid="{D6C7835E-649F-9445-BAE9-EE06B298CAA5}" name="Column3869"/>
    <tableColumn id="3888" xr3:uid="{AF3C6880-6A2D-004D-8621-238F9E6D6631}" name="Column3870"/>
    <tableColumn id="3889" xr3:uid="{DFD2BB96-9B40-B841-8C35-694CAEEDDEE2}" name="Column3871"/>
    <tableColumn id="3890" xr3:uid="{AA6905CA-D53A-4349-AE1E-EF4F7B2CE3C8}" name="Column3872"/>
    <tableColumn id="3891" xr3:uid="{F3BF4EC3-EA28-1442-A6EF-11182B5352E1}" name="Column3873"/>
    <tableColumn id="3892" xr3:uid="{09564A15-A315-1E47-92FF-BD8874AA5D4B}" name="Column3874"/>
    <tableColumn id="3893" xr3:uid="{308B43A0-0A2F-FB4A-9113-541B259D6B8E}" name="Column3875"/>
    <tableColumn id="3894" xr3:uid="{EB20BAA4-62E6-6C4B-976E-C7F3D89034BB}" name="Column3876"/>
    <tableColumn id="3895" xr3:uid="{C99D0C9C-E76D-C147-A61E-3B716255E034}" name="Column3877"/>
    <tableColumn id="3896" xr3:uid="{A15A9BCF-75F4-AF4E-A4AB-887CC6DFA267}" name="Column3878"/>
    <tableColumn id="3897" xr3:uid="{E32D2AD9-548B-CD43-81F8-AD8C9FF51C72}" name="Column3879"/>
    <tableColumn id="3898" xr3:uid="{7FC0806F-0706-1D42-BF81-DD6FB2D47DAD}" name="Column3880"/>
    <tableColumn id="3899" xr3:uid="{1C22616A-AB36-6D49-81A2-354DE3AC3235}" name="Column3881"/>
    <tableColumn id="3900" xr3:uid="{BAD18B35-1FD1-1E48-A60B-5ECFADFEE7DF}" name="Column3882"/>
    <tableColumn id="3901" xr3:uid="{1948778A-161D-D242-92A9-BBE40D588F59}" name="Column3883"/>
    <tableColumn id="3902" xr3:uid="{756D4E3A-537D-404A-A413-BF7D0CB37A2E}" name="Column3884"/>
    <tableColumn id="3903" xr3:uid="{84627173-C120-9A49-8F32-7F0E2CA14172}" name="Column3885"/>
    <tableColumn id="3904" xr3:uid="{A3640B2C-48EF-DA4B-9B48-48534D2F1704}" name="Column3886"/>
    <tableColumn id="3905" xr3:uid="{EE09983E-C8E4-F24F-91FD-A50B6DFB3218}" name="Column3887"/>
    <tableColumn id="3906" xr3:uid="{52544126-B97F-A542-8F12-0B1A302DE0B0}" name="Column3888"/>
    <tableColumn id="3907" xr3:uid="{6ADA1ADC-55C8-4247-8520-59E65558F053}" name="Column3889"/>
    <tableColumn id="3908" xr3:uid="{6653316F-C51F-E147-AA2E-ADEBE4BEA031}" name="Column3890"/>
    <tableColumn id="3909" xr3:uid="{30A1F704-280B-444E-AAD5-BBA46DE9DDCC}" name="Column3891"/>
    <tableColumn id="3910" xr3:uid="{EB0E7A40-1AE5-184F-9C67-6853B5E58A61}" name="Column3892"/>
    <tableColumn id="3911" xr3:uid="{6024B322-B41E-534B-9D19-683B9A94B979}" name="Column3893"/>
    <tableColumn id="3912" xr3:uid="{4364C90E-9394-8F44-BB4D-4D1ADBC19F87}" name="Column3894"/>
    <tableColumn id="3913" xr3:uid="{9650D09C-C95B-E543-8A6A-76AB8E7DF176}" name="Column3895"/>
    <tableColumn id="3914" xr3:uid="{D557DA5A-3961-1E41-8903-21304E931D8D}" name="Column3896"/>
    <tableColumn id="3915" xr3:uid="{84F10041-CDF1-324F-BEC3-6AB29DBB3074}" name="Column3897"/>
    <tableColumn id="3916" xr3:uid="{105C1873-8966-1A48-84D0-125D09F39E90}" name="Column3898"/>
    <tableColumn id="3917" xr3:uid="{2E41F9C7-8DD0-8041-B628-201C982AC1CF}" name="Column3899"/>
    <tableColumn id="3918" xr3:uid="{AA9D56FE-67DE-A640-925A-878B850BC67B}" name="Column3900"/>
    <tableColumn id="3919" xr3:uid="{20AFCB51-01FF-6C4F-BA29-375FA352B0A1}" name="Column3901"/>
    <tableColumn id="3920" xr3:uid="{7FBDD00A-0A7D-E347-98D7-586C76171B86}" name="Column3902"/>
    <tableColumn id="3921" xr3:uid="{6B43A3D2-1B1A-C542-B84A-AEA902EB2569}" name="Column3903"/>
    <tableColumn id="3922" xr3:uid="{0FB66F35-7DE6-E84F-821A-AF97581A8A8B}" name="Column3904"/>
    <tableColumn id="3923" xr3:uid="{D9F7A672-036A-A346-980A-438AAF2727D6}" name="Column3905"/>
    <tableColumn id="3924" xr3:uid="{8BB46D0B-87ED-4F41-9377-F84FE58A1FE8}" name="Column3906"/>
    <tableColumn id="3925" xr3:uid="{A0579797-DCAC-434F-B824-D30467967BF7}" name="Column3907"/>
    <tableColumn id="3926" xr3:uid="{1826DB4A-3FCF-584D-B1E6-F6A131703FA7}" name="Column3908"/>
    <tableColumn id="3927" xr3:uid="{B08216B5-CB70-5345-9ACD-71E89BCE2811}" name="Column3909"/>
    <tableColumn id="3928" xr3:uid="{24B15441-6067-464C-BB6F-160EE05A12CC}" name="Column3910"/>
    <tableColumn id="3929" xr3:uid="{86248E06-13DA-8B4C-81E3-618ED5888F84}" name="Column3911"/>
    <tableColumn id="3930" xr3:uid="{A768AB82-99D2-6B41-AA9E-83C51BA5E96D}" name="Column3912"/>
    <tableColumn id="3931" xr3:uid="{00086311-9537-4148-837A-307A3EA97406}" name="Column3913"/>
    <tableColumn id="3932" xr3:uid="{12FD1B7F-F079-7D48-9C38-13841D0D2A0A}" name="Column3914"/>
    <tableColumn id="3933" xr3:uid="{F95BB2AB-E24C-1742-BD60-F43E2CD9D55D}" name="Column3915"/>
    <tableColumn id="3934" xr3:uid="{7C6CB158-BBAF-5248-85E3-18203CBB7489}" name="Column3916"/>
    <tableColumn id="3935" xr3:uid="{5107F3A2-A6FA-0E4E-B8DC-908898C168E2}" name="Column3917"/>
    <tableColumn id="3936" xr3:uid="{82BEDCBA-8BDD-D144-869F-32F7DD372DC6}" name="Column3918"/>
    <tableColumn id="3937" xr3:uid="{9E1C7A99-49E3-EF4C-B125-50E7A244D6E3}" name="Column3919"/>
    <tableColumn id="3938" xr3:uid="{727CC9DB-8D28-6A4B-B063-77A119A5362A}" name="Column3920"/>
    <tableColumn id="3939" xr3:uid="{29B9B823-C2D6-9449-9ED8-11B0076B5D9E}" name="Column3921"/>
    <tableColumn id="3940" xr3:uid="{9306D9D7-A4BD-9849-B04F-809493C9AE9C}" name="Column3922"/>
    <tableColumn id="3941" xr3:uid="{8675864E-B403-2347-921E-F3F93F9D94A8}" name="Column3923"/>
    <tableColumn id="3942" xr3:uid="{8B652C59-252E-4A4C-AFCF-89373C0E061C}" name="Column3924"/>
    <tableColumn id="3943" xr3:uid="{4986B677-821B-6845-A21E-E987AC5625CE}" name="Column3925"/>
    <tableColumn id="3944" xr3:uid="{59D6556B-631F-B648-A6B3-13512237EB8B}" name="Column3926"/>
    <tableColumn id="3945" xr3:uid="{329ADDCB-116D-EA43-8E2E-91BC44ABC1E2}" name="Column3927"/>
    <tableColumn id="3946" xr3:uid="{222A3AB5-2192-A747-8F1D-5771D90783BA}" name="Column3928"/>
    <tableColumn id="3947" xr3:uid="{9E1B6F20-7F07-CA46-AFB8-2D7CFDBB9116}" name="Column3929"/>
    <tableColumn id="3948" xr3:uid="{1D91439B-0E6F-EB45-98F8-28515A36BA5F}" name="Column3930"/>
    <tableColumn id="3949" xr3:uid="{44C4C5C1-975D-2F4E-B425-A6BE799B501B}" name="Column3931"/>
    <tableColumn id="3950" xr3:uid="{060EBE7D-26FF-194C-8389-F5B840286438}" name="Column3932"/>
    <tableColumn id="3951" xr3:uid="{4B98ECCE-E617-1048-B738-C1F3B06D7283}" name="Column3933"/>
    <tableColumn id="3952" xr3:uid="{3F1FE011-524F-2D4B-A49E-E1D948B5501B}" name="Column3934"/>
    <tableColumn id="3953" xr3:uid="{4856E617-3F8E-2041-9A2E-DC9752B99C20}" name="Column3935"/>
    <tableColumn id="3954" xr3:uid="{6C72B036-D092-EE4A-94AC-46D0C8B70D08}" name="Column3936"/>
    <tableColumn id="3955" xr3:uid="{436D6872-74D6-2740-9AE7-01BC2B5DB263}" name="Column3937"/>
    <tableColumn id="3956" xr3:uid="{E9530070-2BA8-B941-B39E-38C8E9E587C3}" name="Column3938"/>
    <tableColumn id="3957" xr3:uid="{E26178DE-25D0-6A4B-9F02-8BFD3231FD0F}" name="Column3939"/>
    <tableColumn id="3958" xr3:uid="{C066BC3E-F67E-E141-A952-7D3876251526}" name="Column3940"/>
    <tableColumn id="3959" xr3:uid="{0D562DF0-EB6A-9C49-B843-1798F2BA7050}" name="Column3941"/>
    <tableColumn id="3960" xr3:uid="{A2107A5C-188C-E945-AE75-ED65C6388D3B}" name="Column3942"/>
    <tableColumn id="3961" xr3:uid="{AB79B8AD-BD94-C740-A0BD-E49F63E085A4}" name="Column3943"/>
    <tableColumn id="3962" xr3:uid="{87D62E21-39A3-2244-8B6C-72B9709FB7BF}" name="Column3944"/>
    <tableColumn id="3963" xr3:uid="{2A9FDA1A-8EC0-5D49-BDBC-B899492EAEE2}" name="Column3945"/>
    <tableColumn id="3964" xr3:uid="{065072D4-F5CF-9246-BA1F-FB7DB43C5F59}" name="Column3946"/>
    <tableColumn id="3965" xr3:uid="{9C011D30-772C-F242-83F6-2333547EEAE4}" name="Column3947"/>
    <tableColumn id="3966" xr3:uid="{A50A7723-F4BE-D948-AA1C-1913BCAA983B}" name="Column3948"/>
    <tableColumn id="3967" xr3:uid="{C1FA1174-521E-F047-ACC5-97A53194F6EA}" name="Column3949"/>
    <tableColumn id="3968" xr3:uid="{1ECE3303-960C-954F-9BC8-E3C6506CF0E8}" name="Column3950"/>
    <tableColumn id="3969" xr3:uid="{32E1F6A7-F06B-294C-A37B-3901F95C60C2}" name="Column3951"/>
    <tableColumn id="3970" xr3:uid="{B9812E3D-7AFB-8844-8817-8A165E9B82AE}" name="Column3952"/>
    <tableColumn id="3971" xr3:uid="{B1100E39-5FB0-FB41-A12F-B3E025E7E576}" name="Column3953"/>
    <tableColumn id="3972" xr3:uid="{5B66D066-40EB-F746-ABE4-51B685DAFF16}" name="Column3954"/>
    <tableColumn id="3973" xr3:uid="{91687A1F-EB7B-6C46-93D7-A19A69051712}" name="Column3955"/>
    <tableColumn id="3974" xr3:uid="{705F89FD-4039-B941-A448-C38BC9C023A7}" name="Column3956"/>
    <tableColumn id="3975" xr3:uid="{B57B3181-DF61-D74E-A412-77827A547BFC}" name="Column3957"/>
    <tableColumn id="3976" xr3:uid="{CABE8418-B647-A949-AD99-3F2461B5D60D}" name="Column3958"/>
    <tableColumn id="3977" xr3:uid="{D497A224-403E-E748-AF6E-E1F976B4F9F3}" name="Column3959"/>
    <tableColumn id="3978" xr3:uid="{A22F09DA-2E08-5B44-A629-61D42E8EB382}" name="Column3960"/>
    <tableColumn id="3979" xr3:uid="{75894263-D0F8-434F-8F31-45BFC92FEA48}" name="Column3961"/>
    <tableColumn id="3980" xr3:uid="{2E54B364-D34B-2A48-8C86-9C83F5337683}" name="Column3962"/>
    <tableColumn id="3981" xr3:uid="{DAB79BCC-9E34-EF44-BF8E-1A0E19107465}" name="Column3963"/>
    <tableColumn id="3982" xr3:uid="{5C85CB6F-D703-E845-9242-E086C7CB9187}" name="Column3964"/>
    <tableColumn id="3983" xr3:uid="{44232C48-1519-5940-B846-7B00C6CA79D2}" name="Column3965"/>
    <tableColumn id="3984" xr3:uid="{F0032ABE-29C2-D345-903B-7BA03803CD62}" name="Column3966"/>
    <tableColumn id="3985" xr3:uid="{663D7315-49D8-7543-BBB3-BC78124A41AA}" name="Column3967"/>
    <tableColumn id="3986" xr3:uid="{1B81D347-3897-1B49-B846-F8B40B162005}" name="Column3968"/>
    <tableColumn id="3987" xr3:uid="{2970C697-5555-0D49-AECA-A6CC7AF48210}" name="Column3969"/>
    <tableColumn id="3988" xr3:uid="{6A2E6221-59DB-6A48-A482-DD5C0DD08554}" name="Column3970"/>
    <tableColumn id="3989" xr3:uid="{A1AA1AB9-4CF9-D943-9B27-04CBB6D94DA1}" name="Column3971"/>
    <tableColumn id="3990" xr3:uid="{22C24F16-4B74-8C46-AF01-3AF4483B1387}" name="Column3972"/>
    <tableColumn id="3991" xr3:uid="{15899762-30D7-1E4E-AF1F-DB2B789D4F1D}" name="Column3973"/>
    <tableColumn id="3992" xr3:uid="{AECBD47C-3235-4643-AA57-E0CF2F9DB336}" name="Column3974"/>
    <tableColumn id="3993" xr3:uid="{17D3A256-B74F-E849-94D1-9F813146A43B}" name="Column3975"/>
    <tableColumn id="3994" xr3:uid="{3174B304-EAB5-C14A-BC4F-31A187C627D3}" name="Column3976"/>
    <tableColumn id="3995" xr3:uid="{65666EFA-3393-E041-9520-04CF0A13CDF6}" name="Column3977"/>
    <tableColumn id="3996" xr3:uid="{D9F65C3E-B10A-5643-842A-B8FF87B7BB69}" name="Column3978"/>
    <tableColumn id="3997" xr3:uid="{60439B98-B912-2245-9CA1-F1F7A68FFE07}" name="Column3979"/>
    <tableColumn id="3998" xr3:uid="{719FA3C4-D548-A643-AFB3-CE0CF8584287}" name="Column3980"/>
    <tableColumn id="3999" xr3:uid="{F3A7F067-7A78-E148-9F72-0C062A201D19}" name="Column3981"/>
    <tableColumn id="4000" xr3:uid="{C1B83B82-0614-444D-A826-ED1D9951A5B1}" name="Column3982"/>
    <tableColumn id="4001" xr3:uid="{CF737DF1-0709-9349-A2D5-11B2678663A0}" name="Column3983"/>
    <tableColumn id="4002" xr3:uid="{23CA90A6-5589-AB44-ADA0-1059E18F817E}" name="Column3984"/>
    <tableColumn id="4003" xr3:uid="{0A61C074-CD33-0046-8113-7D77A2D5DDED}" name="Column3985"/>
    <tableColumn id="4004" xr3:uid="{2E891F77-4EA4-4044-8DC1-A9553D9DB4E3}" name="Column3986"/>
    <tableColumn id="4005" xr3:uid="{67D53317-78DC-B442-9190-BE4559B457FE}" name="Column3987"/>
    <tableColumn id="4006" xr3:uid="{30EDC577-0C43-F24F-897A-42836E0A5948}" name="Column3988"/>
    <tableColumn id="4007" xr3:uid="{6748B1BB-AE90-1E4F-BCE6-B9D2E72D8EE0}" name="Column3989"/>
    <tableColumn id="4008" xr3:uid="{1AEE4165-A1A4-CB41-909C-13D9AFF0B2EB}" name="Column3990"/>
    <tableColumn id="4009" xr3:uid="{CE6526D9-9F2E-D841-AD09-FB8A8C449A47}" name="Column3991"/>
    <tableColumn id="4010" xr3:uid="{23C3EBDD-A999-454F-8D3F-61750B453CC3}" name="Column3992"/>
    <tableColumn id="4011" xr3:uid="{F35740F7-337E-6B4B-9DE0-F1C700B60DB8}" name="Column3993"/>
    <tableColumn id="4012" xr3:uid="{58FB20A1-8314-034E-8B15-1BEF92CE25D5}" name="Column3994"/>
    <tableColumn id="4013" xr3:uid="{661F4861-6FBE-9643-A9F9-F5684849C3A9}" name="Column3995"/>
    <tableColumn id="4014" xr3:uid="{A83B07C6-6EDD-7440-B5FB-B7A9559573E8}" name="Column3996"/>
    <tableColumn id="4015" xr3:uid="{9C3E432A-D9B4-2046-A33B-ED680CEB204B}" name="Column3997"/>
    <tableColumn id="4016" xr3:uid="{94C31549-2874-5742-8E9D-EB856FC1CA96}" name="Column3998"/>
    <tableColumn id="4017" xr3:uid="{24E3532F-34D8-C24F-853A-E80F707C1F34}" name="Column3999"/>
    <tableColumn id="4018" xr3:uid="{635B2FD8-FAF4-E54E-B135-5FAB96013219}" name="Column4000"/>
    <tableColumn id="4019" xr3:uid="{E4B88D7E-3C35-8F4A-9635-CDA216F3BA33}" name="Column4001"/>
    <tableColumn id="4020" xr3:uid="{B02698C1-D222-1942-BD50-632557FD78D2}" name="Column4002"/>
    <tableColumn id="4021" xr3:uid="{BAE491B6-2AB8-574D-9617-2D3AD4D43B3E}" name="Column4003"/>
    <tableColumn id="4022" xr3:uid="{7298CA86-4FF1-4249-8742-E7E9A76F973E}" name="Column4004"/>
    <tableColumn id="4023" xr3:uid="{8DBB65BA-F81F-EB46-9FDC-606C344D5B15}" name="Column4005"/>
    <tableColumn id="4024" xr3:uid="{7926B996-F5A8-7342-AB7D-F5162E6AD654}" name="Column4006"/>
    <tableColumn id="4025" xr3:uid="{84273D86-701F-CA4C-BEA6-AFEA09FD96A1}" name="Column4007"/>
    <tableColumn id="4026" xr3:uid="{6254867A-4CA5-7E47-968D-B86B929F9ABF}" name="Column4008"/>
    <tableColumn id="4027" xr3:uid="{4E76697C-E54A-A84C-8E45-8525E9D2F4DA}" name="Column4009"/>
    <tableColumn id="4028" xr3:uid="{57576157-7037-E44F-9DF5-C850960697E8}" name="Column4010"/>
    <tableColumn id="4029" xr3:uid="{D01F213D-1634-3940-949D-0A2DC7ED6290}" name="Column4011"/>
    <tableColumn id="4030" xr3:uid="{3B4F27D0-7A6E-4F4A-B029-93A4EB2F07FD}" name="Column4012"/>
    <tableColumn id="4031" xr3:uid="{AF79933A-0F4F-7F47-AA7D-4DC4CB5F6640}" name="Column4013"/>
    <tableColumn id="4032" xr3:uid="{4F0E0E99-3491-8F4C-A921-B561723D9F17}" name="Column4014"/>
    <tableColumn id="4033" xr3:uid="{B9637CC2-1D89-6940-AD5A-CFB4D8A2E3DA}" name="Column4015"/>
    <tableColumn id="4034" xr3:uid="{3D6608E3-8E8C-B24A-85B9-6D80FF0C321E}" name="Column4016"/>
    <tableColumn id="4035" xr3:uid="{40D5DF1E-904B-A34F-BAC0-302791B446D7}" name="Column4017"/>
    <tableColumn id="4036" xr3:uid="{21E5A133-D34F-E446-B364-43168A571BB4}" name="Column4018"/>
    <tableColumn id="4037" xr3:uid="{2540F948-C780-5747-B9A7-330203707AFB}" name="Column4019"/>
    <tableColumn id="4038" xr3:uid="{27BEFF5E-658B-C846-B105-9043AAC26945}" name="Column4020"/>
    <tableColumn id="4039" xr3:uid="{3B1A4EA4-CF16-B14F-807C-199218EF12AE}" name="Column4021"/>
    <tableColumn id="4040" xr3:uid="{6F95A757-AE83-B845-BA3F-32B7565D5F03}" name="Column4022"/>
    <tableColumn id="4041" xr3:uid="{5157C8FD-C5AB-2A43-A251-108F3018112D}" name="Column4023"/>
    <tableColumn id="4042" xr3:uid="{019A7327-EB43-5448-B99D-2F89551F6B1E}" name="Column4024"/>
    <tableColumn id="4043" xr3:uid="{5CAEF228-E4ED-6049-9EAF-0C1DDB9D85EF}" name="Column4025"/>
    <tableColumn id="4044" xr3:uid="{804E7ADB-F250-FC42-9B7D-14AD0EECFE52}" name="Column4026"/>
    <tableColumn id="4045" xr3:uid="{74922292-1A27-1948-AD74-54E75BD357BF}" name="Column4027"/>
    <tableColumn id="4046" xr3:uid="{0C6CDE4E-EE77-3A4A-BEF1-37F5E10AFBD3}" name="Column4028"/>
    <tableColumn id="4047" xr3:uid="{A77B43C2-A93B-514B-83B2-2BCD031503CD}" name="Column4029"/>
    <tableColumn id="4048" xr3:uid="{D14FBE0D-4EB7-7B43-BE78-1BAEB5F7163A}" name="Column4030"/>
    <tableColumn id="4049" xr3:uid="{AD1A2C51-38BB-EF42-83BB-BA9F2F56BC17}" name="Column4031"/>
    <tableColumn id="4050" xr3:uid="{BA47BAA7-FAD0-9944-97DB-93E5EB93526F}" name="Column4032"/>
    <tableColumn id="4051" xr3:uid="{62BEB2B5-4A3A-A444-8FE2-8CAAD3298EA2}" name="Column4033"/>
    <tableColumn id="4052" xr3:uid="{E75D5483-1953-4146-A5C4-CF49431CE644}" name="Column4034"/>
    <tableColumn id="4053" xr3:uid="{BD663C1A-F7F4-1D41-801B-54BCB44DC7A5}" name="Column4035"/>
    <tableColumn id="4054" xr3:uid="{1DEA5541-AB11-F949-91CB-30858657C9FF}" name="Column4036"/>
    <tableColumn id="4055" xr3:uid="{E0C01D1D-4625-524E-A5ED-5071AFAC4C3F}" name="Column4037"/>
    <tableColumn id="4056" xr3:uid="{F463BDAA-47BA-2243-8F19-8ED6418B46A2}" name="Column4038"/>
    <tableColumn id="4057" xr3:uid="{DB120EB9-8A12-1446-8188-5455FB19A5CE}" name="Column4039"/>
    <tableColumn id="4058" xr3:uid="{4B383DD1-1661-0D4F-B629-99D1FAD0832F}" name="Column4040"/>
    <tableColumn id="4059" xr3:uid="{B887AD0B-5637-AC43-82CE-B7B22B2626AD}" name="Column4041"/>
    <tableColumn id="4060" xr3:uid="{903700E9-AE5D-1A45-A776-363AF52B2FE9}" name="Column4042"/>
    <tableColumn id="4061" xr3:uid="{BC729A09-C38D-7B43-9B3F-EDBBFB004EA1}" name="Column4043"/>
    <tableColumn id="4062" xr3:uid="{B0FD51BB-A0BF-BB4C-BE9C-98766345C8F5}" name="Column4044"/>
    <tableColumn id="4063" xr3:uid="{81004B30-7217-AF41-91EA-59E7859BD047}" name="Column4045"/>
    <tableColumn id="4064" xr3:uid="{CDB82316-3298-4045-8A5F-696B76DE562E}" name="Column4046"/>
    <tableColumn id="4065" xr3:uid="{3B82B119-1C8A-A349-AA79-CFD225541FE4}" name="Column4047"/>
    <tableColumn id="4066" xr3:uid="{4C017FA7-7302-0E4A-A63E-16405A81FF7A}" name="Column4048"/>
    <tableColumn id="4067" xr3:uid="{F453A94B-26CC-0A48-8F38-BEFDE64EDFFD}" name="Column4049"/>
    <tableColumn id="4068" xr3:uid="{475B1130-B499-B841-A4D2-2BF4FE3F5521}" name="Column4050"/>
    <tableColumn id="4069" xr3:uid="{C846404F-E898-3445-B401-062569667E0B}" name="Column4051"/>
    <tableColumn id="4070" xr3:uid="{B6BE8E2B-7541-E944-95D5-7B647C641174}" name="Column4052"/>
    <tableColumn id="4071" xr3:uid="{3DFA9C56-E920-2045-ACDF-C9E482C3711D}" name="Column4053"/>
    <tableColumn id="4072" xr3:uid="{0162FE57-70B2-4244-9FEC-54F5D57E3A62}" name="Column4054"/>
    <tableColumn id="4073" xr3:uid="{BE1F0EE2-2355-D14F-AE01-BB5D432588EC}" name="Column4055"/>
    <tableColumn id="4074" xr3:uid="{03CF268C-4041-6A43-BDB6-93D8D2EE1F91}" name="Column4056"/>
    <tableColumn id="4075" xr3:uid="{F3273783-78EF-994E-8D57-AC091D8ACFBC}" name="Column4057"/>
    <tableColumn id="4076" xr3:uid="{C6B88101-9622-D545-8585-81756701E56C}" name="Column4058"/>
    <tableColumn id="4077" xr3:uid="{75E8BD37-F191-104A-A3DD-2045441C0369}" name="Column4059"/>
    <tableColumn id="4078" xr3:uid="{7D319653-C0D6-8D43-A595-80719CD84889}" name="Column4060"/>
    <tableColumn id="4079" xr3:uid="{42E7C148-66AF-B447-A4F9-DF3EF37D3E2D}" name="Column4061"/>
    <tableColumn id="4080" xr3:uid="{A8C90E71-603C-524D-80E4-66499A1A4D67}" name="Column4062"/>
    <tableColumn id="4081" xr3:uid="{ED6DEA2B-F191-934A-B63C-17E87E30AF4C}" name="Column4063"/>
    <tableColumn id="4082" xr3:uid="{3EB06D39-94E3-6A4F-B0B7-966ABBD0564C}" name="Column4064"/>
    <tableColumn id="4083" xr3:uid="{629C39A0-9791-8744-9E8D-0A5161FE652C}" name="Column4065"/>
    <tableColumn id="4084" xr3:uid="{B447A8B3-5791-B74C-8145-32CF429B5D74}" name="Column4066"/>
    <tableColumn id="4085" xr3:uid="{5DDC62D9-5137-104C-A50F-69974053E6C8}" name="Column4067"/>
    <tableColumn id="4086" xr3:uid="{23C4E246-EC65-0446-ADE3-FE0A2D462213}" name="Column4068"/>
    <tableColumn id="4087" xr3:uid="{EF8B5087-D435-284A-B0E8-1BEB82A0258F}" name="Column4069"/>
    <tableColumn id="4088" xr3:uid="{9CA27CF7-8011-874A-B372-9143D40D3019}" name="Column4070"/>
    <tableColumn id="4089" xr3:uid="{886E1FC3-BA31-3645-9522-8FC3490B2503}" name="Column4071"/>
    <tableColumn id="4090" xr3:uid="{DF69AD4E-36ED-3C48-9A04-971CBE089604}" name="Column4072"/>
    <tableColumn id="4091" xr3:uid="{5B0B70F6-CB90-D942-BF22-0CBC581511AE}" name="Column4073"/>
    <tableColumn id="4092" xr3:uid="{E4ACA2C3-9DBA-9540-A8F0-BBC4AB0813C7}" name="Column4074"/>
    <tableColumn id="4093" xr3:uid="{FECD08C4-A042-B648-811A-9B357F5BDC76}" name="Column4075"/>
    <tableColumn id="4094" xr3:uid="{863422D6-8774-7D4A-912D-2AC357C8E17F}" name="Column4076"/>
    <tableColumn id="4095" xr3:uid="{E0A38FB6-6C9F-FB4F-9B49-6C923E58E1F3}" name="Column4077"/>
    <tableColumn id="4096" xr3:uid="{B21F97DB-BA52-FE40-8D3E-08B170EE3139}" name="Column4078"/>
    <tableColumn id="4097" xr3:uid="{60F7FFB9-9402-5146-B8A4-41528EFA73F9}" name="Column4079"/>
    <tableColumn id="4098" xr3:uid="{7BAEF8E5-351B-3440-A995-8EDF8D34A9A9}" name="Column4080"/>
    <tableColumn id="4099" xr3:uid="{3C58621D-7A62-AA4C-A747-EC43B0E96590}" name="Column4081"/>
    <tableColumn id="4100" xr3:uid="{7BAF8C8D-E9D2-4C4E-AA48-B5F64BC59738}" name="Column4082"/>
    <tableColumn id="4101" xr3:uid="{6773C52D-4666-2C48-8AA2-F8EF17B03308}" name="Column4083"/>
    <tableColumn id="4102" xr3:uid="{25C94EDB-4C58-EC45-B1EA-0241598A8CC7}" name="Column4084"/>
    <tableColumn id="4103" xr3:uid="{111F60F0-FF85-974E-A4E1-EBBC6BF07617}" name="Column4085"/>
    <tableColumn id="4104" xr3:uid="{64BE16EA-4BA0-5D41-8682-3521C0596C18}" name="Column4086"/>
    <tableColumn id="4105" xr3:uid="{8293D139-13FC-CA40-851E-C979BA124176}" name="Column4087"/>
    <tableColumn id="4106" xr3:uid="{6EF22F78-3381-4E4A-AE39-0AEB1A4C32E1}" name="Column4088"/>
    <tableColumn id="4107" xr3:uid="{9C486CB0-CCDE-DC48-B774-6748896C0D21}" name="Column4089"/>
    <tableColumn id="4108" xr3:uid="{156F55A4-4554-2749-BE40-CFF80249E1B5}" name="Column4090"/>
    <tableColumn id="4109" xr3:uid="{8089FC70-5B8F-474B-8825-FF6C64722089}" name="Column4091"/>
    <tableColumn id="4110" xr3:uid="{D64DD453-A838-B644-AB4D-91BD2B293220}" name="Column4092"/>
    <tableColumn id="4111" xr3:uid="{27569DB8-E2F3-3C45-9DCF-10227EB4884A}" name="Column4093"/>
    <tableColumn id="4112" xr3:uid="{F0825EC7-2AA9-7345-BAF6-8D6F15881ADF}" name="Column4094"/>
    <tableColumn id="4113" xr3:uid="{5EB123B6-3BA7-CD41-BD21-00DDD4426117}" name="Column4095"/>
    <tableColumn id="4114" xr3:uid="{911D4EFC-ADB0-5245-8023-D37CC2FFE1CA}" name="Column4096"/>
    <tableColumn id="4115" xr3:uid="{D2AA8697-A7F4-5C4C-88C0-9EDF859E9622}" name="Column4097"/>
    <tableColumn id="4116" xr3:uid="{F809C8F2-1EA3-F749-8962-83BCD7470550}" name="Column4098"/>
    <tableColumn id="4117" xr3:uid="{4D879085-E5BE-5C4E-A2C0-A9AE182E931B}" name="Column4099"/>
    <tableColumn id="4118" xr3:uid="{8AB03DFF-379C-074B-A0DF-A064A8040ED6}" name="Column4100"/>
    <tableColumn id="4119" xr3:uid="{8A453E0F-DF6B-1444-B320-703BDBE98161}" name="Column4101"/>
    <tableColumn id="4120" xr3:uid="{F8EFD89A-9113-4743-B20F-E8768BE2FE16}" name="Column4102"/>
    <tableColumn id="4121" xr3:uid="{25096953-A2CD-AC43-B3EB-60778E1A6CFD}" name="Column4103"/>
    <tableColumn id="4122" xr3:uid="{EE25527A-6E3A-A242-B915-11C99E6D37C8}" name="Column4104"/>
    <tableColumn id="4123" xr3:uid="{D9CEB362-0A2D-6844-BAB7-4156DD287AB8}" name="Column4105"/>
    <tableColumn id="4124" xr3:uid="{4F9D23F3-4AF3-2F44-8CC0-E73A2EAE3543}" name="Column4106"/>
    <tableColumn id="4125" xr3:uid="{5CA6D115-49E3-2543-B61B-E06F209D5826}" name="Column4107"/>
    <tableColumn id="4126" xr3:uid="{75638E84-3189-6042-A628-71B814BF250B}" name="Column4108"/>
    <tableColumn id="4127" xr3:uid="{50E25F45-A7F1-3840-877D-5453FA537389}" name="Column4109"/>
    <tableColumn id="4128" xr3:uid="{ADF7F47E-DF09-1D4B-9A42-FEFDD11C8094}" name="Column4110"/>
    <tableColumn id="4129" xr3:uid="{F3F0F603-448C-374D-9E69-731ABE321C70}" name="Column4111"/>
    <tableColumn id="4130" xr3:uid="{B2615CD5-802D-D943-A13D-D953C6B18D56}" name="Column4112"/>
    <tableColumn id="4131" xr3:uid="{84D092E5-5A67-F844-B299-62216DDAF9E0}" name="Column4113"/>
    <tableColumn id="4132" xr3:uid="{D0BCE041-30E8-784C-86E0-BDBC7E5B9A65}" name="Column4114"/>
    <tableColumn id="4133" xr3:uid="{11D03362-41AA-4E47-B2FE-4D41C0A115CF}" name="Column4115"/>
    <tableColumn id="4134" xr3:uid="{B982A963-79B1-804F-BF41-28032128DD2B}" name="Column4116"/>
    <tableColumn id="4135" xr3:uid="{E952AD72-AA45-0544-89AE-FFBE9B784BA0}" name="Column4117"/>
    <tableColumn id="4136" xr3:uid="{010B759E-A7CB-144A-9ACF-5762A3DA1B6E}" name="Column4118"/>
    <tableColumn id="4137" xr3:uid="{8F8191AD-8434-E44D-AE56-1CAE9FF86223}" name="Column4119"/>
    <tableColumn id="4138" xr3:uid="{79C606FE-BC05-8640-AF72-090FE30A5F49}" name="Column4120"/>
    <tableColumn id="4139" xr3:uid="{672F5406-E190-FE4F-AEA7-A229C64CE330}" name="Column4121"/>
    <tableColumn id="4140" xr3:uid="{C39BC5C9-B518-144E-98DC-BB19E8A2C4D1}" name="Column4122"/>
    <tableColumn id="4141" xr3:uid="{98F06BBE-C065-D342-982B-9DC65A50F50D}" name="Column4123"/>
    <tableColumn id="4142" xr3:uid="{85026756-226A-0C49-AF53-3AE7965EF54A}" name="Column4124"/>
    <tableColumn id="4143" xr3:uid="{2333F008-B903-D045-A1F3-E4EEDE73D5ED}" name="Column4125"/>
    <tableColumn id="4144" xr3:uid="{24367D5A-7A1B-5946-B62E-FD106D98EF0B}" name="Column4126"/>
    <tableColumn id="4145" xr3:uid="{5AD0D7EB-6CD1-B44B-965B-7219CA3470B4}" name="Column4127"/>
    <tableColumn id="4146" xr3:uid="{B8C2D499-2346-E14C-863A-F559A8C8A2A1}" name="Column4128"/>
    <tableColumn id="4147" xr3:uid="{7797A3C5-C834-214E-9E22-8D708C3ACCBE}" name="Column4129"/>
    <tableColumn id="4148" xr3:uid="{B91C1A28-DDC6-AB4D-9C01-39C7E3AD4E4D}" name="Column4130"/>
    <tableColumn id="4149" xr3:uid="{1346C6FD-5E91-1544-BAD9-40EAC070F501}" name="Column4131"/>
    <tableColumn id="4150" xr3:uid="{B9AD4011-CE54-0B46-85B1-B59E16F71200}" name="Column4132"/>
    <tableColumn id="4151" xr3:uid="{2D35D87C-E687-E24C-98E2-6D80B3189EEA}" name="Column4133"/>
    <tableColumn id="4152" xr3:uid="{5A1A6403-2269-814F-8C0E-9A78AEAABE2E}" name="Column4134"/>
    <tableColumn id="4153" xr3:uid="{F1E32401-8967-F64F-83B8-9B9579745C7F}" name="Column4135"/>
    <tableColumn id="4154" xr3:uid="{D78E1D77-7CFF-7B4C-B06B-2FCF1FD6A2E9}" name="Column4136"/>
    <tableColumn id="4155" xr3:uid="{F7F55C6E-1611-F045-A5A1-3BF0AACFA68D}" name="Column4137"/>
    <tableColumn id="4156" xr3:uid="{5C787B0E-2580-CA47-A619-260BFA05992B}" name="Column4138"/>
    <tableColumn id="4157" xr3:uid="{05DB47BF-DAAA-D349-8D20-DEB31576F12D}" name="Column4139"/>
    <tableColumn id="4158" xr3:uid="{18898D7A-B28F-9E40-A0D0-7B3200ACC76B}" name="Column4140"/>
    <tableColumn id="4159" xr3:uid="{2A8A4A08-4D7F-9443-8FBA-063F50ED262D}" name="Column4141"/>
    <tableColumn id="4160" xr3:uid="{ACD56D68-82DC-D648-950F-4002E7EEE275}" name="Column4142"/>
    <tableColumn id="4161" xr3:uid="{64C19812-5A5F-F444-85DE-C6AAC9432BA9}" name="Column4143"/>
    <tableColumn id="4162" xr3:uid="{396D8E6E-1CD6-8E44-919C-1558907C670A}" name="Column4144"/>
    <tableColumn id="4163" xr3:uid="{0DA4EA0F-DF36-B948-8E15-62ED77C456B6}" name="Column4145"/>
    <tableColumn id="4164" xr3:uid="{000463EE-77D6-FD49-B7D5-28E72CD2D39A}" name="Column4146"/>
    <tableColumn id="4165" xr3:uid="{7953B07E-5A92-AE48-9C56-A3668C8B6D47}" name="Column4147"/>
    <tableColumn id="4166" xr3:uid="{1DAF7C37-4E9A-3C40-B805-10D59E81A94B}" name="Column4148"/>
    <tableColumn id="4167" xr3:uid="{C84E3174-0536-9E4B-9618-6D00A796F56D}" name="Column4149"/>
    <tableColumn id="4168" xr3:uid="{CD4BC0A2-3A32-974A-B3A4-E44831E5BC1E}" name="Column4150"/>
    <tableColumn id="4169" xr3:uid="{590544CB-A57F-714B-803A-C7B301C7CF89}" name="Column4151"/>
    <tableColumn id="4170" xr3:uid="{B2196DFF-9291-354C-8BED-4DBDE0D2ABBB}" name="Column4152"/>
    <tableColumn id="4171" xr3:uid="{AD46B45F-A51D-0F49-8706-6D309F89740B}" name="Column4153"/>
    <tableColumn id="4172" xr3:uid="{0209342F-D359-6C4D-B1F7-E22379E390DB}" name="Column4154"/>
    <tableColumn id="4173" xr3:uid="{A7C0F4BC-AD28-5E4C-A1A3-32D777E95A61}" name="Column4155"/>
    <tableColumn id="4174" xr3:uid="{DEB7164E-66B1-8E41-97D1-C1E404FF3806}" name="Column4156"/>
    <tableColumn id="4175" xr3:uid="{92DD1027-478E-964A-99D0-77B22EDEA51A}" name="Column4157"/>
    <tableColumn id="4176" xr3:uid="{9EEFD58A-563A-CD46-B9B6-A714ADC0938D}" name="Column4158"/>
    <tableColumn id="4177" xr3:uid="{816AE625-E9A9-304D-8205-E450AB928753}" name="Column4159"/>
    <tableColumn id="4178" xr3:uid="{7E253DDD-9C70-0841-AFFE-47223D884C72}" name="Column4160"/>
    <tableColumn id="4179" xr3:uid="{4237C330-DAC7-714E-A5B2-AA322D6ADFF3}" name="Column4161"/>
    <tableColumn id="4180" xr3:uid="{116109D3-3011-674B-BDA2-1132A3C376FB}" name="Column4162"/>
    <tableColumn id="4181" xr3:uid="{FCB64D32-4CDD-A043-B037-DD39F7771F93}" name="Column4163"/>
    <tableColumn id="4182" xr3:uid="{96E92766-F822-D14E-A00D-8251C52C7B74}" name="Column4164"/>
    <tableColumn id="4183" xr3:uid="{3FC1D4E6-7D2C-5547-9BFA-F4224D45A568}" name="Column4165"/>
    <tableColumn id="4184" xr3:uid="{5238ECDA-6572-E348-BA80-48E50A4BC898}" name="Column4166"/>
    <tableColumn id="4185" xr3:uid="{3062AC4E-04AB-CA4A-ACA2-671252A73743}" name="Column4167"/>
    <tableColumn id="4186" xr3:uid="{3E8F8363-A257-C649-B9F6-3BAC469F772E}" name="Column4168"/>
    <tableColumn id="4187" xr3:uid="{F53731EE-8E9A-4645-8BFA-D98F417D2F4D}" name="Column4169"/>
    <tableColumn id="4188" xr3:uid="{B267A83F-C5D4-A84B-B067-9C11A20D6612}" name="Column4170"/>
    <tableColumn id="4189" xr3:uid="{ECC38F89-BD7B-1943-B41B-BAD966D7B871}" name="Column4171"/>
    <tableColumn id="4190" xr3:uid="{1D03D2DA-C9B2-1049-8E2C-E9B677FC021D}" name="Column4172"/>
    <tableColumn id="4191" xr3:uid="{5B965ACD-9894-3C40-8612-84A9F23B3933}" name="Column4173"/>
    <tableColumn id="4192" xr3:uid="{90B8882B-2895-7042-8A55-B9510B0E4C60}" name="Column4174"/>
    <tableColumn id="4193" xr3:uid="{5F1637E6-4580-6541-B5FB-B9D292060F82}" name="Column4175"/>
    <tableColumn id="4194" xr3:uid="{6A0AEAE4-7C1B-F741-AB57-D105899E109B}" name="Column4176"/>
    <tableColumn id="4195" xr3:uid="{512AEC6A-1186-1143-B751-F642A33A7B37}" name="Column4177"/>
    <tableColumn id="4196" xr3:uid="{398AC108-E900-FB4E-AA38-5404A74AC9AB}" name="Column4178"/>
    <tableColumn id="4197" xr3:uid="{D29D417B-0F0F-EB44-B395-AF00464DCBF0}" name="Column4179"/>
    <tableColumn id="4198" xr3:uid="{6935CE3C-112B-6A4E-96D1-4EB18558633A}" name="Column4180"/>
    <tableColumn id="4199" xr3:uid="{414D7B73-F5CE-AE4E-88CC-494FF0A6D78C}" name="Column4181"/>
    <tableColumn id="4200" xr3:uid="{35A653D2-4B95-4541-9968-EFF0787E0B2C}" name="Column4182"/>
    <tableColumn id="4201" xr3:uid="{7FCF7909-7E40-3F45-8342-C11844395736}" name="Column4183"/>
    <tableColumn id="4202" xr3:uid="{97F68826-7FA9-4B44-A243-9400B9E26FFC}" name="Column4184"/>
    <tableColumn id="4203" xr3:uid="{2126EA8B-5171-394E-BC01-8D5BB188E490}" name="Column4185"/>
    <tableColumn id="4204" xr3:uid="{04449E0C-0A9F-B64D-966C-7E1B3920CE7D}" name="Column4186"/>
    <tableColumn id="4205" xr3:uid="{17F9576C-8D96-924B-9C87-D2619541E053}" name="Column4187"/>
    <tableColumn id="4206" xr3:uid="{C7845903-0C17-C14B-BC5A-86174225A77C}" name="Column4188"/>
    <tableColumn id="4207" xr3:uid="{5EFD2654-8D2D-1D43-BFE7-7E8B1175F43E}" name="Column4189"/>
    <tableColumn id="4208" xr3:uid="{615BA81A-7061-D747-BEBE-9A051B45CDA6}" name="Column4190"/>
    <tableColumn id="4209" xr3:uid="{F23ED212-609E-CB4D-B49F-4627CA78D052}" name="Column4191"/>
    <tableColumn id="4210" xr3:uid="{F39A677A-66BB-9A46-86E8-20B28F5BE1AC}" name="Column4192"/>
    <tableColumn id="4211" xr3:uid="{83AFC398-A673-B24C-A2DF-C8249503F3B4}" name="Column4193"/>
    <tableColumn id="4212" xr3:uid="{1F752E37-FAEE-F04B-B154-07DE42400E95}" name="Column4194"/>
    <tableColumn id="4213" xr3:uid="{D9C53A77-BA55-6C4F-8B59-B209821EC028}" name="Column4195"/>
    <tableColumn id="4214" xr3:uid="{3BA4DF05-89CC-EC48-BFFB-AE1F46666C6F}" name="Column4196"/>
    <tableColumn id="4215" xr3:uid="{B523DDCE-8464-634D-98CB-1CF593FA5090}" name="Column4197"/>
    <tableColumn id="4216" xr3:uid="{C0F0112A-F8FC-3745-B3ED-C2B9FA020436}" name="Column4198"/>
    <tableColumn id="4217" xr3:uid="{13487E3E-4B91-2F4E-A4E1-3C5D535296A9}" name="Column4199"/>
    <tableColumn id="4218" xr3:uid="{B4EDC128-1655-DE49-A3ED-B2DDB23AA395}" name="Column4200"/>
    <tableColumn id="4219" xr3:uid="{7A8B7EC9-312F-A14D-BC36-4D0649466D14}" name="Column4201"/>
    <tableColumn id="4220" xr3:uid="{3A7268D0-BDA5-B647-8FEE-778DD9944BEB}" name="Column4202"/>
    <tableColumn id="4221" xr3:uid="{0CE3AC90-3A7A-B647-B42D-63E71CB23037}" name="Column4203"/>
    <tableColumn id="4222" xr3:uid="{898A1C26-B260-7943-BABB-F3B6BD91A530}" name="Column4204"/>
    <tableColumn id="4223" xr3:uid="{70B79442-A8C8-FF47-B6B1-EC83C190E769}" name="Column4205"/>
    <tableColumn id="4224" xr3:uid="{97180E03-8854-2944-AADF-DD53EE7599AF}" name="Column4206"/>
    <tableColumn id="4225" xr3:uid="{E89F0FA8-D970-E544-8513-0D3DE22D447D}" name="Column4207"/>
    <tableColumn id="4226" xr3:uid="{E62FFD18-2789-8344-B6A4-9ACDFEB26799}" name="Column4208"/>
    <tableColumn id="4227" xr3:uid="{8923414C-DF2C-8947-8CC0-C99F386761B8}" name="Column4209"/>
    <tableColumn id="4228" xr3:uid="{1C23F4B0-5F50-2846-ACDC-064DA04873C7}" name="Column4210"/>
    <tableColumn id="4229" xr3:uid="{1577F745-EE71-604B-80C9-8756060EEE3A}" name="Column4211"/>
    <tableColumn id="4230" xr3:uid="{70D2CD0B-73C8-BD40-B8D4-B6A160DBE323}" name="Column4212"/>
    <tableColumn id="4231" xr3:uid="{4F4D3E49-2B2E-D142-9074-8C7141C17369}" name="Column4213"/>
    <tableColumn id="4232" xr3:uid="{6D272EBB-7CDC-A54D-A8DD-96D831FFD041}" name="Column4214"/>
    <tableColumn id="4233" xr3:uid="{1671D107-F09F-A544-97F8-344B2A548EB1}" name="Column4215"/>
    <tableColumn id="4234" xr3:uid="{FA1B73D6-C350-334C-AC93-DB5BEF619861}" name="Column4216"/>
    <tableColumn id="4235" xr3:uid="{9B92B9C3-8AEF-3548-90FD-48221B4CCB4C}" name="Column4217"/>
    <tableColumn id="4236" xr3:uid="{02502393-1F48-A54F-973C-0A75651EE61F}" name="Column4218"/>
    <tableColumn id="4237" xr3:uid="{37BB7C32-8147-AB46-93C3-E67635197CF4}" name="Column4219"/>
    <tableColumn id="4238" xr3:uid="{0B3A8CB8-7E28-0C42-8AC9-100F60BB00E6}" name="Column4220"/>
    <tableColumn id="4239" xr3:uid="{D03EABF8-B8DF-C944-BF83-53A677B5297A}" name="Column4221"/>
    <tableColumn id="4240" xr3:uid="{C64E31F6-4C92-C24E-AF9B-99BE58AAE315}" name="Column4222"/>
    <tableColumn id="4241" xr3:uid="{7690A548-9A10-AE4A-82E5-8843E5D49774}" name="Column4223"/>
    <tableColumn id="4242" xr3:uid="{9D4FA3A6-E7CF-9849-BF1B-6025EBCA0557}" name="Column4224"/>
    <tableColumn id="4243" xr3:uid="{D40DF1AE-FBE4-404B-9138-E1B0EBF2A826}" name="Column4225"/>
    <tableColumn id="4244" xr3:uid="{F2CDF7FA-DF69-B040-8875-C573D7E880A0}" name="Column4226"/>
    <tableColumn id="4245" xr3:uid="{F3949FFB-78AA-3346-9C08-1ABFC0EE6B5C}" name="Column4227"/>
    <tableColumn id="4246" xr3:uid="{49C8C4D6-F0EB-6448-93CE-1F9843E760AB}" name="Column4228"/>
    <tableColumn id="4247" xr3:uid="{9257D81E-F8D0-4D4F-A0BD-C507349C9189}" name="Column4229"/>
    <tableColumn id="4248" xr3:uid="{43305F1C-03A4-9444-9ABA-1D1B7FDC6E65}" name="Column4230"/>
    <tableColumn id="4249" xr3:uid="{8A7C3F1D-ED55-0748-918C-C7FD41B07A80}" name="Column4231"/>
    <tableColumn id="4250" xr3:uid="{8F5292E0-AB0E-7149-A1D1-1E6A1DB2762B}" name="Column4232"/>
    <tableColumn id="4251" xr3:uid="{1B02CB6E-9915-9844-B285-29B7EEB5C354}" name="Column4233"/>
    <tableColumn id="4252" xr3:uid="{78DA4575-8603-9E44-8A2F-B0DBB576D02A}" name="Column4234"/>
    <tableColumn id="4253" xr3:uid="{37FD3D68-7063-9C46-947F-C8E897DA3CCC}" name="Column4235"/>
    <tableColumn id="4254" xr3:uid="{4ADA2AD0-E5A6-F145-9A75-05AF3DEE7F73}" name="Column4236"/>
    <tableColumn id="4255" xr3:uid="{52AB50F2-68BA-804D-A3E8-ED4AA9C8DB5E}" name="Column4237"/>
    <tableColumn id="4256" xr3:uid="{079CB65F-9332-244A-9D28-3D441E11EA32}" name="Column4238"/>
    <tableColumn id="4257" xr3:uid="{9E6C87B3-F845-094B-8F27-B2FF56D65825}" name="Column4239"/>
    <tableColumn id="4258" xr3:uid="{DCDFF76A-B3E1-CF49-8302-43CADDC53B2E}" name="Column4240"/>
    <tableColumn id="4259" xr3:uid="{1AD8348C-0073-314D-8076-84A42E68FA98}" name="Column4241"/>
    <tableColumn id="4260" xr3:uid="{4E815A84-3127-8842-9B92-784DAD9FB6C9}" name="Column4242"/>
    <tableColumn id="4261" xr3:uid="{9B5A616E-9CFB-AE47-969F-0AA27DFDAC08}" name="Column4243"/>
    <tableColumn id="4262" xr3:uid="{0F4AD4E3-9B41-8548-AE7B-90F0876166C1}" name="Column4244"/>
    <tableColumn id="4263" xr3:uid="{DE53A221-F7E1-0B4C-872C-4EE358DB67F8}" name="Column4245"/>
    <tableColumn id="4264" xr3:uid="{0746A070-AB4A-AF43-8E11-472E4F579EF0}" name="Column4246"/>
    <tableColumn id="4265" xr3:uid="{1C70F8E4-8A22-E049-8369-65E08E7D4CCE}" name="Column4247"/>
    <tableColumn id="4266" xr3:uid="{4147AC12-AE38-8F42-A6A5-256929412F9F}" name="Column4248"/>
    <tableColumn id="4267" xr3:uid="{283038EB-AA1D-1C45-9EA4-9A9B53BFCBB4}" name="Column4249"/>
    <tableColumn id="4268" xr3:uid="{213142BF-54C0-4A42-9491-E55CF5D735C3}" name="Column4250"/>
    <tableColumn id="4269" xr3:uid="{34111286-2B53-E64D-9095-B1012F3A1CEA}" name="Column4251"/>
    <tableColumn id="4270" xr3:uid="{81584E07-B4B0-1C4B-9570-9D702B179D55}" name="Column4252"/>
    <tableColumn id="4271" xr3:uid="{E184E8A7-CCBD-DE4C-B15F-4B14618EF25A}" name="Column4253"/>
    <tableColumn id="4272" xr3:uid="{71DDC678-9AD7-A54B-8EBA-72079EF3958D}" name="Column4254"/>
    <tableColumn id="4273" xr3:uid="{342FB032-FDC3-5446-A855-9196B39BC133}" name="Column4255"/>
    <tableColumn id="4274" xr3:uid="{FC73C3D8-9CF9-8442-A172-05B66E0A751A}" name="Column4256"/>
    <tableColumn id="4275" xr3:uid="{3F56890D-D378-7344-A417-9C9958B399E3}" name="Column4257"/>
    <tableColumn id="4276" xr3:uid="{4E146675-0133-8C41-B374-C7C14C6D5574}" name="Column4258"/>
    <tableColumn id="4277" xr3:uid="{0D3D8711-97E4-3D41-A029-C6EF1E7D2050}" name="Column4259"/>
    <tableColumn id="4278" xr3:uid="{E472EA74-9746-C04B-AEE3-BDB24C1D003B}" name="Column4260"/>
    <tableColumn id="4279" xr3:uid="{93ADEE28-C3C2-DF4C-BFDF-316A5947B8E6}" name="Column4261"/>
    <tableColumn id="4280" xr3:uid="{CC7A04ED-9139-0546-8A79-538F934DC7DC}" name="Column4262"/>
    <tableColumn id="4281" xr3:uid="{F15D6D6E-3956-0642-B6CF-6EA0940A69C6}" name="Column4263"/>
    <tableColumn id="4282" xr3:uid="{0EF2B527-07F0-5440-84CE-CBB81DD9451C}" name="Column4264"/>
    <tableColumn id="4283" xr3:uid="{5B7641F8-5E29-E747-9705-8FFFF4073AC7}" name="Column4265"/>
    <tableColumn id="4284" xr3:uid="{0B56340B-AFAC-1E4F-AD1F-9453EF61FF1A}" name="Column4266"/>
    <tableColumn id="4285" xr3:uid="{BD75A695-12FD-7A48-A4C0-FFB4B1EA43DC}" name="Column4267"/>
    <tableColumn id="4286" xr3:uid="{CE4DA5CD-05A6-B148-A376-8955A57C1B0C}" name="Column4268"/>
    <tableColumn id="4287" xr3:uid="{6B92045D-462B-B549-B887-427D545737F6}" name="Column4269"/>
    <tableColumn id="4288" xr3:uid="{872FB9DA-2905-9344-A0AF-4E8983F375D0}" name="Column4270"/>
    <tableColumn id="4289" xr3:uid="{42F946C7-C9E6-7141-A3A6-2364A0585E6A}" name="Column4271"/>
    <tableColumn id="4290" xr3:uid="{B3C4C46F-82F6-714E-BE4F-C10C7EEAAD3C}" name="Column4272"/>
    <tableColumn id="4291" xr3:uid="{5869B249-9A00-E34D-ADE0-8D59EB04B2DF}" name="Column4273"/>
    <tableColumn id="4292" xr3:uid="{04BE1B29-F0B9-E246-986A-4E1C7C5CB763}" name="Column4274"/>
    <tableColumn id="4293" xr3:uid="{F790952C-8D20-1A4E-AC50-AF9134C19DD5}" name="Column4275"/>
    <tableColumn id="4294" xr3:uid="{5C1EC821-BC6D-1F4A-AA91-34D4CB4F1E44}" name="Column4276"/>
    <tableColumn id="4295" xr3:uid="{A23268FB-75BC-004D-9A51-94D9A7678274}" name="Column4277"/>
    <tableColumn id="4296" xr3:uid="{4E863F29-D1D5-5F4B-BEC4-4F3A2901F7F7}" name="Column4278"/>
    <tableColumn id="4297" xr3:uid="{A2CF51DC-F07B-0148-9DA9-9AF5CD53B725}" name="Column4279"/>
    <tableColumn id="4298" xr3:uid="{B356D195-7007-284C-BC99-463E03590AAD}" name="Column4280"/>
    <tableColumn id="4299" xr3:uid="{3123C61E-A114-5948-BA60-166C40DE1258}" name="Column4281"/>
    <tableColumn id="4300" xr3:uid="{7B257B00-A07C-3B44-98D5-9BFDB0DDB62F}" name="Column4282"/>
    <tableColumn id="4301" xr3:uid="{D3DF95C7-3B5C-BE4E-BBC0-07F827A8BFB8}" name="Column4283"/>
    <tableColumn id="4302" xr3:uid="{A34856DE-C359-0D43-81F2-2C81CB7CAB51}" name="Column4284"/>
    <tableColumn id="4303" xr3:uid="{6A19489D-D521-9E49-A298-6F24C80CA75E}" name="Column4285"/>
    <tableColumn id="4304" xr3:uid="{CB102B42-B030-6A4B-90B4-0AB223B4B97D}" name="Column4286"/>
    <tableColumn id="4305" xr3:uid="{A8534BC1-EED6-B543-BB9A-E1BF4F52869D}" name="Column4287"/>
    <tableColumn id="4306" xr3:uid="{99CCB54C-A8BF-9A4D-8C0A-DA6A70B542C8}" name="Column4288"/>
    <tableColumn id="4307" xr3:uid="{FD29BA6D-09AA-3A44-BD38-D14A78303710}" name="Column4289"/>
    <tableColumn id="4308" xr3:uid="{254D538A-36B0-D345-8E82-6AEEA7C74922}" name="Column4290"/>
    <tableColumn id="4309" xr3:uid="{B75A3A11-FF63-2E46-8D6E-926BA0A3E166}" name="Column4291"/>
    <tableColumn id="4310" xr3:uid="{6686EFB1-FA1C-E947-A0EE-DB51BEF99096}" name="Column4292"/>
    <tableColumn id="4311" xr3:uid="{F0720C44-A2CE-574F-93F6-810C7743D792}" name="Column4293"/>
    <tableColumn id="4312" xr3:uid="{2EC9A0F7-CE93-CC4C-9239-4AF9C3DD2DEB}" name="Column4294"/>
    <tableColumn id="4313" xr3:uid="{5AF0B48A-FE96-894A-870C-9DEC6D641144}" name="Column4295"/>
    <tableColumn id="4314" xr3:uid="{352F7503-1680-514D-BC74-36630148C6AC}" name="Column4296"/>
    <tableColumn id="4315" xr3:uid="{5A238BF4-B2A7-F445-B6BC-9C424A6F38C1}" name="Column4297"/>
    <tableColumn id="4316" xr3:uid="{41C03D51-782F-FD49-BB77-E8800101191C}" name="Column4298"/>
    <tableColumn id="4317" xr3:uid="{01243611-0147-554B-BD3F-A4DAEE84A90D}" name="Column4299"/>
    <tableColumn id="4318" xr3:uid="{2056DD86-B613-5647-A86E-A52044A239A9}" name="Column4300"/>
    <tableColumn id="4319" xr3:uid="{0443FB2B-AE0F-F34B-BEB9-87D0E6706E2A}" name="Column4301"/>
    <tableColumn id="4320" xr3:uid="{A1C908CE-98B9-6D4F-AB51-F033730F31AF}" name="Column4302"/>
    <tableColumn id="4321" xr3:uid="{9114F417-839F-0542-A5CA-09786D1B4C18}" name="Column4303"/>
    <tableColumn id="4322" xr3:uid="{5093C755-DE44-E442-AF4E-47B77C7A75D1}" name="Column4304"/>
    <tableColumn id="4323" xr3:uid="{797CD3F4-5A5C-8A43-950B-6AA462D28686}" name="Column4305"/>
    <tableColumn id="4324" xr3:uid="{E9891781-63F2-9C4A-BDEC-FAAB2490D8FB}" name="Column4306"/>
    <tableColumn id="4325" xr3:uid="{9422957E-37E2-5148-99CF-EFD5F5E970AF}" name="Column4307"/>
    <tableColumn id="4326" xr3:uid="{1BD3ED74-2630-5047-9B8D-3B2E7E4838A6}" name="Column4308"/>
    <tableColumn id="4327" xr3:uid="{FE0F7B5B-0832-3B45-A437-AEFBD936A93B}" name="Column4309"/>
    <tableColumn id="4328" xr3:uid="{189EB7FD-B5BA-5D4C-A3EB-AB9F09FBB740}" name="Column4310"/>
    <tableColumn id="4329" xr3:uid="{78761F78-F888-CD42-9330-72DD2537ABEE}" name="Column4311"/>
    <tableColumn id="4330" xr3:uid="{61BF58BA-BDFC-A24C-B9A0-11EED6D2141E}" name="Column4312"/>
    <tableColumn id="4331" xr3:uid="{ECF5507A-112F-6346-AFEF-3B13960C0A4A}" name="Column4313"/>
    <tableColumn id="4332" xr3:uid="{ACDBC4B5-C4E9-964B-9E99-6371DC22FD86}" name="Column4314"/>
    <tableColumn id="4333" xr3:uid="{63ECF6A1-CA98-D142-B97B-1B81297434C2}" name="Column4315"/>
    <tableColumn id="4334" xr3:uid="{14DDBC0D-1CCC-2D4D-870E-37D8335D3577}" name="Column4316"/>
    <tableColumn id="4335" xr3:uid="{3810093B-2836-FC46-AAA4-AA2B286A2F89}" name="Column4317"/>
    <tableColumn id="4336" xr3:uid="{0E12CEE4-06DE-AF42-8FEC-A97CA4DF9ACF}" name="Column4318"/>
    <tableColumn id="4337" xr3:uid="{421C168C-7801-624D-961E-7B57BE21BC22}" name="Column4319"/>
    <tableColumn id="4338" xr3:uid="{8007D0B0-5D97-814C-97E4-3CD32BEB07D4}" name="Column4320"/>
    <tableColumn id="4339" xr3:uid="{379D0AB0-AEE6-B644-BEAE-8DE1331E8AA8}" name="Column4321"/>
    <tableColumn id="4340" xr3:uid="{6F314C49-6A76-4448-AFF7-2A8F750C55FA}" name="Column4322"/>
    <tableColumn id="4341" xr3:uid="{8AAC5A57-B1F6-5E4F-85A5-391C7C3CD1CD}" name="Column4323"/>
    <tableColumn id="4342" xr3:uid="{A3FFC7BB-535B-8B43-9003-6481E927643C}" name="Column4324"/>
    <tableColumn id="4343" xr3:uid="{8D55C03E-F166-FA48-A7FA-7DDA5C252A3A}" name="Column4325"/>
    <tableColumn id="4344" xr3:uid="{0C6B59D7-0ECF-074A-B739-E7D9042168F8}" name="Column4326"/>
    <tableColumn id="4345" xr3:uid="{B925D2AA-9060-3942-A7AC-58D6B45237C0}" name="Column4327"/>
    <tableColumn id="4346" xr3:uid="{2F96082A-E672-FF48-90FA-2EDDA7BDB9D4}" name="Column4328"/>
    <tableColumn id="4347" xr3:uid="{270F59BF-4C6E-FE44-A927-FC72BD577F2C}" name="Column4329"/>
    <tableColumn id="4348" xr3:uid="{6DE257EE-7C0D-D64B-9A99-A5013E413364}" name="Column4330"/>
    <tableColumn id="4349" xr3:uid="{AB192070-74EF-4B43-891F-5AAF8B9AAB1B}" name="Column4331"/>
    <tableColumn id="4350" xr3:uid="{FA7AC39D-3BEE-9F40-887D-0B05ECE2B25F}" name="Column4332"/>
    <tableColumn id="4351" xr3:uid="{7420B781-00EB-A140-BC74-00F05F31DD35}" name="Column4333"/>
    <tableColumn id="4352" xr3:uid="{AFB277E9-AA32-3341-B597-FCA34EA1B1CA}" name="Column4334"/>
    <tableColumn id="4353" xr3:uid="{B01F6090-D140-E14D-B126-DE61AB708FC8}" name="Column4335"/>
    <tableColumn id="4354" xr3:uid="{7966DE85-8BF7-5943-966B-4B307CE0308D}" name="Column4336"/>
    <tableColumn id="4355" xr3:uid="{1F6CD32E-9066-604E-BBEC-74FD61FD0005}" name="Column4337"/>
    <tableColumn id="4356" xr3:uid="{29CAC6FC-3D97-9444-A515-1A2E2F3A36D5}" name="Column4338"/>
    <tableColumn id="4357" xr3:uid="{61C15D1A-7946-0A4B-82F9-9741A2FCCE07}" name="Column4339"/>
    <tableColumn id="4358" xr3:uid="{E1D86CEE-5602-9940-BC8F-22A4373C82DB}" name="Column4340"/>
    <tableColumn id="4359" xr3:uid="{B80D69B1-4584-4C47-9BF4-8B6BDC59163F}" name="Column4341"/>
    <tableColumn id="4360" xr3:uid="{BC3CB13B-D98E-A541-BBD8-93C8C222593C}" name="Column4342"/>
    <tableColumn id="4361" xr3:uid="{0CDF0494-9979-2443-826A-7286E02815EC}" name="Column4343"/>
    <tableColumn id="4362" xr3:uid="{3BDAFE74-D927-F846-B224-C76B416CB7C4}" name="Column4344"/>
    <tableColumn id="4363" xr3:uid="{F2A37F11-B20F-304A-9279-CB480089D6B2}" name="Column4345"/>
    <tableColumn id="4364" xr3:uid="{34C371E5-C1ED-C84C-B085-09FBB675910E}" name="Column4346"/>
    <tableColumn id="4365" xr3:uid="{22DE2A4E-26BF-2548-B0FF-F19DF3FC5BB9}" name="Column4347"/>
    <tableColumn id="4366" xr3:uid="{500AFFC2-C17C-9D4C-9B34-D080C2B0B8DF}" name="Column4348"/>
    <tableColumn id="4367" xr3:uid="{5EE9F5BF-6161-4846-9DD3-F486A83214D5}" name="Column4349"/>
    <tableColumn id="4368" xr3:uid="{487CC9F0-8707-2644-AD1F-83B077220E74}" name="Column4350"/>
    <tableColumn id="4369" xr3:uid="{74958A9E-4C38-CF40-B758-EC290E7F9F3D}" name="Column4351"/>
    <tableColumn id="4370" xr3:uid="{B355166F-B52D-FE43-A849-E7484F0457F1}" name="Column4352"/>
    <tableColumn id="4371" xr3:uid="{94A3129C-3343-0749-83F4-2343072E81D3}" name="Column4353"/>
    <tableColumn id="4372" xr3:uid="{7F02F79B-0D18-D846-B52D-11ED96527F22}" name="Column4354"/>
    <tableColumn id="4373" xr3:uid="{87E61B1B-E6B8-5042-885B-A01C0CB1AE87}" name="Column4355"/>
    <tableColumn id="4374" xr3:uid="{FCC46010-8148-754C-9C85-7D9B174E750E}" name="Column4356"/>
    <tableColumn id="4375" xr3:uid="{20989F93-7EA7-C54D-A658-C06B8F8FFA17}" name="Column4357"/>
    <tableColumn id="4376" xr3:uid="{091AB8E1-E84C-D848-8B0E-8070C33D1928}" name="Column4358"/>
    <tableColumn id="4377" xr3:uid="{00924E48-AC31-9E43-851C-662ADF597A74}" name="Column4359"/>
    <tableColumn id="4378" xr3:uid="{2C37D86F-F81C-B04A-BFCF-C1DEAB05A422}" name="Column4360"/>
    <tableColumn id="4379" xr3:uid="{67724877-3EB4-1941-AC60-01ABF7393CD6}" name="Column4361"/>
    <tableColumn id="4380" xr3:uid="{B7FEF5C5-0473-7D48-B1A0-87EAC79F1A1C}" name="Column4362"/>
    <tableColumn id="4381" xr3:uid="{BF3188D0-7181-894F-936D-71C69E3E712F}" name="Column4363"/>
    <tableColumn id="4382" xr3:uid="{5FA729E1-1CB3-104B-98AB-BA1C130D52DD}" name="Column4364"/>
    <tableColumn id="4383" xr3:uid="{7B7DDF9D-E563-E244-8FF9-20C912B58B6D}" name="Column4365"/>
    <tableColumn id="4384" xr3:uid="{CA28A262-AA1A-0345-9CCE-3104A5825504}" name="Column4366"/>
    <tableColumn id="4385" xr3:uid="{34C1949F-013E-774B-85B8-D9A9606A0109}" name="Column4367"/>
    <tableColumn id="4386" xr3:uid="{F42C3A7D-CFCB-D642-991D-5BFA19E9723B}" name="Column4368"/>
    <tableColumn id="4387" xr3:uid="{7C481271-E99C-C545-AC8F-5E8512CB8A30}" name="Column4369"/>
    <tableColumn id="4388" xr3:uid="{D34098EF-4E63-674B-874B-91C799C3DB42}" name="Column4370"/>
    <tableColumn id="4389" xr3:uid="{EABBCF13-26AA-634F-A8DA-9D7E2309182C}" name="Column4371"/>
    <tableColumn id="4390" xr3:uid="{937E4526-B13A-9948-9016-CE1717AB69BE}" name="Column4372"/>
    <tableColumn id="4391" xr3:uid="{8E4C0D09-763A-A448-B837-1E983062E729}" name="Column4373"/>
    <tableColumn id="4392" xr3:uid="{612B0444-FB8D-BA44-8657-B55AF53C113E}" name="Column4374"/>
    <tableColumn id="4393" xr3:uid="{0CFC6D81-65AD-6A4A-99C2-A4893F728A9F}" name="Column4375"/>
    <tableColumn id="4394" xr3:uid="{277A1D33-5A2A-E04B-A79F-FE6D3D3E2A09}" name="Column4376"/>
    <tableColumn id="4395" xr3:uid="{B3A2D3FE-20B2-BB43-BA5D-EDF0EAA98CD2}" name="Column4377"/>
    <tableColumn id="4396" xr3:uid="{BEB3A755-5348-6E40-9A38-003B7330CAD6}" name="Column4378"/>
    <tableColumn id="4397" xr3:uid="{E67C1BBB-0E30-DC4F-904D-EC8B7E02F69B}" name="Column4379"/>
    <tableColumn id="4398" xr3:uid="{DC0D28C4-895E-8443-970F-80F50262C11B}" name="Column4380"/>
    <tableColumn id="4399" xr3:uid="{2020CB9C-6807-184E-A5B4-29E3687E2F96}" name="Column4381"/>
    <tableColumn id="4400" xr3:uid="{DCFF7B54-05F3-444B-B8FB-80CD721F31A5}" name="Column4382"/>
    <tableColumn id="4401" xr3:uid="{E3FA706E-4498-0243-AE3B-655723291168}" name="Column4383"/>
    <tableColumn id="4402" xr3:uid="{E0826CA9-7C08-774A-B623-E07D00D10967}" name="Column4384"/>
    <tableColumn id="4403" xr3:uid="{52874615-4074-3840-AA75-A9724639C8FD}" name="Column4385"/>
    <tableColumn id="4404" xr3:uid="{9ACE669F-174F-B940-A5BD-15FAA2AA889C}" name="Column4386"/>
    <tableColumn id="4405" xr3:uid="{906A5368-1762-5F4C-9648-10CD1E59C9FF}" name="Column4387"/>
    <tableColumn id="4406" xr3:uid="{4F1782E1-846B-8A45-9DF7-C70DC2E2B150}" name="Column4388"/>
    <tableColumn id="4407" xr3:uid="{8F4FA874-177A-6544-8A2D-05B8203AB04E}" name="Column4389"/>
    <tableColumn id="4408" xr3:uid="{E1698E54-DA38-664A-B423-E37EEF227426}" name="Column4390"/>
    <tableColumn id="4409" xr3:uid="{E8D5939A-C12E-FF40-B7D9-0670C7B96CED}" name="Column4391"/>
    <tableColumn id="4410" xr3:uid="{7107B3BA-4161-ED4E-8559-6AE5713DB282}" name="Column4392"/>
    <tableColumn id="4411" xr3:uid="{742D6A68-D53E-CF4D-8D19-0AD18B6121C9}" name="Column4393"/>
    <tableColumn id="4412" xr3:uid="{7E89F228-0B3E-F048-BAA6-D93A76158DA0}" name="Column4394"/>
    <tableColumn id="4413" xr3:uid="{EE750B5B-804A-AB4A-B0F9-A9C3A23EBA2A}" name="Column4395"/>
    <tableColumn id="4414" xr3:uid="{99EDE7D4-97D8-104B-934C-96B38BAAB66E}" name="Column4396"/>
    <tableColumn id="4415" xr3:uid="{65087306-EE8A-A644-959F-9B7766C53357}" name="Column4397"/>
    <tableColumn id="4416" xr3:uid="{590C51D3-1D02-814F-8085-EBBF997CF584}" name="Column4398"/>
    <tableColumn id="4417" xr3:uid="{4510D6CE-D7A4-044D-B9F6-B9F62D01E94B}" name="Column4399"/>
    <tableColumn id="4418" xr3:uid="{92AF8F63-485E-834E-9392-F0EEBE5A1A02}" name="Column4400"/>
    <tableColumn id="4419" xr3:uid="{4D0DA199-1E96-BA44-8E6A-C361B4D811FF}" name="Column4401"/>
    <tableColumn id="4420" xr3:uid="{A76177D3-4FFB-6C4A-B3DF-A4D31779C975}" name="Column4402"/>
    <tableColumn id="4421" xr3:uid="{3CCCC765-7D48-FB4D-AA32-9F6D7506837B}" name="Column4403"/>
    <tableColumn id="4422" xr3:uid="{B8F46E0D-2A32-E145-92E0-EDEF7F70846B}" name="Column4404"/>
    <tableColumn id="4423" xr3:uid="{48362377-B70F-0F48-96F9-682E1C021D0F}" name="Column4405"/>
    <tableColumn id="4424" xr3:uid="{0EA6F5B2-89C7-D94D-8AE7-F42A6732B66C}" name="Column4406"/>
    <tableColumn id="4425" xr3:uid="{17EACDCB-D592-184C-B67C-9CB73FDAAAB7}" name="Column4407"/>
    <tableColumn id="4426" xr3:uid="{E494A72B-E961-BF40-9FFD-E132F5B0F628}" name="Column4408"/>
    <tableColumn id="4427" xr3:uid="{5D460E28-EB74-AA4F-A396-7D3F124E2787}" name="Column4409"/>
    <tableColumn id="4428" xr3:uid="{A7EB9E10-3ED7-3442-B206-7D96C3FF5FF4}" name="Column4410"/>
    <tableColumn id="4429" xr3:uid="{24EF266E-34DA-1D49-8C80-2B618464D4CF}" name="Column4411"/>
    <tableColumn id="4430" xr3:uid="{C619DF70-7831-804C-8469-357F4AE04232}" name="Column4412"/>
    <tableColumn id="4431" xr3:uid="{B822A64D-A94B-FC4C-BEA0-57ABEE54D296}" name="Column4413"/>
    <tableColumn id="4432" xr3:uid="{9D6C5E56-48BC-824B-8237-549C62E99BFF}" name="Column4414"/>
    <tableColumn id="4433" xr3:uid="{53187BAE-BAB7-0145-948D-1C298A4D91FB}" name="Column4415"/>
    <tableColumn id="4434" xr3:uid="{6EBE3FBB-786D-C743-A2BB-A5451BAA966D}" name="Column4416"/>
    <tableColumn id="4435" xr3:uid="{33EDB2E4-B279-534A-ACFC-9D35F6F90ABA}" name="Column4417"/>
    <tableColumn id="4436" xr3:uid="{1DEFE743-88ED-C048-B93F-50A212489354}" name="Column4418"/>
    <tableColumn id="4437" xr3:uid="{51461C82-B2AD-D043-968A-806E1CDE5EBF}" name="Column4419"/>
    <tableColumn id="4438" xr3:uid="{C680DAD1-7746-2046-B475-3BE17AA46862}" name="Column4420"/>
    <tableColumn id="4439" xr3:uid="{9EA3E66E-6EB7-F04B-B2E4-F01B491A3D4E}" name="Column4421"/>
    <tableColumn id="4440" xr3:uid="{78ECD68F-33BA-3442-9782-E6A887566F80}" name="Column4422"/>
    <tableColumn id="4441" xr3:uid="{21104E21-AF1A-C24B-BEBC-AB44B00BA7B3}" name="Column4423"/>
    <tableColumn id="4442" xr3:uid="{CE82373E-3858-B34F-BF8B-57C1F0B07A49}" name="Column4424"/>
    <tableColumn id="4443" xr3:uid="{BB9AE174-F62F-1E47-9F0B-84D217CA89B5}" name="Column4425"/>
    <tableColumn id="4444" xr3:uid="{DF488819-7F1E-AE48-A28A-8B6F151EEABE}" name="Column4426"/>
    <tableColumn id="4445" xr3:uid="{A14CBDD3-C1D8-4D4C-AC4C-F15958453242}" name="Column4427"/>
    <tableColumn id="4446" xr3:uid="{429A8843-25DE-C941-AD3F-CF8C96F769FA}" name="Column4428"/>
    <tableColumn id="4447" xr3:uid="{08C5CC11-8908-B548-8EA2-203A8E295D30}" name="Column4429"/>
    <tableColumn id="4448" xr3:uid="{EC209ADD-A87D-3B4A-8616-13D84AFCAB28}" name="Column4430"/>
    <tableColumn id="4449" xr3:uid="{FD164F31-4EA7-F846-ADF9-6C888E044473}" name="Column4431"/>
    <tableColumn id="4450" xr3:uid="{5E469F8C-4B1B-F148-B9F8-1E50387D1C28}" name="Column4432"/>
    <tableColumn id="4451" xr3:uid="{B48AC55C-C2D8-F849-9AC7-1ED1BB37EBC0}" name="Column4433"/>
    <tableColumn id="4452" xr3:uid="{410139D2-A41E-2C40-ADA4-2D84F905DF2E}" name="Column4434"/>
    <tableColumn id="4453" xr3:uid="{8BC1FEC1-E96F-AE46-B5A3-B21E8089F932}" name="Column4435"/>
    <tableColumn id="4454" xr3:uid="{4186654E-7390-EF49-A73E-4D2803095AAF}" name="Column4436"/>
    <tableColumn id="4455" xr3:uid="{E83AFBBB-CD9B-D14F-BC84-BB945D126DF2}" name="Column4437"/>
    <tableColumn id="4456" xr3:uid="{77D311AF-8F77-E947-B83E-559861B50456}" name="Column4438"/>
    <tableColumn id="4457" xr3:uid="{16C0B2EE-FB67-0C46-A223-261F92A3781E}" name="Column4439"/>
    <tableColumn id="4458" xr3:uid="{0112401A-EC25-5443-A79D-553566D21CA7}" name="Column4440"/>
    <tableColumn id="4459" xr3:uid="{B30F137E-D060-2F47-B74D-EA8FD7AFF7D9}" name="Column4441"/>
    <tableColumn id="4460" xr3:uid="{0999320B-CDE7-3040-8690-345129402CBA}" name="Column4442"/>
    <tableColumn id="4461" xr3:uid="{C96B808D-49C2-464A-AB4E-B43CC3677EA9}" name="Column4443"/>
    <tableColumn id="4462" xr3:uid="{15E29602-C62F-A445-8FEB-49D346B70CC3}" name="Column4444"/>
    <tableColumn id="4463" xr3:uid="{90449CF2-6C3A-CC4D-A1D2-2867CAA07F58}" name="Column4445"/>
    <tableColumn id="4464" xr3:uid="{0F618C70-A7C2-FE48-9923-0C2271F60AB7}" name="Column4446"/>
    <tableColumn id="4465" xr3:uid="{20FB07AA-E333-E34C-91DB-71DB130A5A5D}" name="Column4447"/>
    <tableColumn id="4466" xr3:uid="{8E138200-00C0-964E-BA3D-A0B72114FC18}" name="Column4448"/>
    <tableColumn id="4467" xr3:uid="{BB3A648A-E711-7C44-A78E-489B26FDD9B0}" name="Column4449"/>
    <tableColumn id="4468" xr3:uid="{B5675108-0837-1542-8F68-BCCCBAB58391}" name="Column4450"/>
    <tableColumn id="4469" xr3:uid="{8C49BE4F-B46D-7E4C-AE3E-AFAA4876638A}" name="Column4451"/>
    <tableColumn id="4470" xr3:uid="{584D6375-5CE8-3A4C-8030-529A8386E101}" name="Column4452"/>
    <tableColumn id="4471" xr3:uid="{C5E75FF5-2D92-8647-B322-B4CD8F39B0C2}" name="Column4453"/>
    <tableColumn id="4472" xr3:uid="{389103B0-19D7-6A48-874F-1225AAF74C3C}" name="Column4454"/>
    <tableColumn id="4473" xr3:uid="{2172F675-A1E5-6740-93AA-49B9D86DFB80}" name="Column4455"/>
    <tableColumn id="4474" xr3:uid="{2C11D794-16F0-394E-B850-E747A65E2ED4}" name="Column4456"/>
    <tableColumn id="4475" xr3:uid="{262E53EB-3AD0-CF43-B241-22AEAA45EFC7}" name="Column4457"/>
    <tableColumn id="4476" xr3:uid="{D825805A-B789-3C4F-B411-5B57A3DD2E61}" name="Column4458"/>
    <tableColumn id="4477" xr3:uid="{21ADA373-C562-1B4D-BD53-CE32D38595A5}" name="Column4459"/>
    <tableColumn id="4478" xr3:uid="{FB392B40-9686-8D4C-9555-1E91D7C56C4E}" name="Column4460"/>
    <tableColumn id="4479" xr3:uid="{0462CF37-29EE-D144-B515-BFD75C295DB5}" name="Column4461"/>
    <tableColumn id="4480" xr3:uid="{EE7594D7-E5BF-F14B-A363-FEF340F300C9}" name="Column4462"/>
    <tableColumn id="4481" xr3:uid="{4D0149D9-6DF3-5749-A8F3-AED4D9645BE1}" name="Column4463"/>
    <tableColumn id="4482" xr3:uid="{BDDDDDE0-0C10-3348-88B1-EA6CA06F6761}" name="Column4464"/>
    <tableColumn id="4483" xr3:uid="{6696FBF9-A610-FF4C-9530-EC1F8D370E75}" name="Column4465"/>
    <tableColumn id="4484" xr3:uid="{F8759EED-F760-244E-B0E6-FA9F24060308}" name="Column4466"/>
    <tableColumn id="4485" xr3:uid="{B47401E8-BC6F-B74F-88A0-A3D7F6021E8E}" name="Column4467"/>
    <tableColumn id="4486" xr3:uid="{989D6B1A-33DB-4147-B110-E6BB583472D0}" name="Column4468"/>
    <tableColumn id="4487" xr3:uid="{17DD33BF-B2C7-9A47-8703-257273C6CCD8}" name="Column4469"/>
    <tableColumn id="4488" xr3:uid="{D9B87730-5226-1045-A392-7C5849762455}" name="Column4470"/>
    <tableColumn id="4489" xr3:uid="{CEFE2E74-7C4D-D043-A6C7-60E63B8A4255}" name="Column4471"/>
    <tableColumn id="4490" xr3:uid="{91F66D71-D35F-C340-88B1-FAFBE20951D2}" name="Column4472"/>
    <tableColumn id="4491" xr3:uid="{30268A83-30B8-984B-9D1A-1E64BAB278EF}" name="Column4473"/>
    <tableColumn id="4492" xr3:uid="{9191905E-91B4-E743-AC86-4C5113020111}" name="Column4474"/>
    <tableColumn id="4493" xr3:uid="{235F1451-5DE8-7045-BAE8-2E0C1A707208}" name="Column4475"/>
    <tableColumn id="4494" xr3:uid="{BEF8AC62-D515-8C42-A59B-A1F7EEE0291A}" name="Column4476"/>
    <tableColumn id="4495" xr3:uid="{CEBF98B8-E483-044E-A478-75E81A1C6EC4}" name="Column4477"/>
    <tableColumn id="4496" xr3:uid="{0C48028C-7E7B-214B-9EAC-90709194C464}" name="Column4478"/>
    <tableColumn id="4497" xr3:uid="{55DB991E-C830-1F46-B900-2ADA03A0069E}" name="Column4479"/>
    <tableColumn id="4498" xr3:uid="{A53845DB-2024-9240-96B6-E7F593095603}" name="Column4480"/>
    <tableColumn id="4499" xr3:uid="{2EA14613-2C30-6B4E-B742-7BCC7AB196EA}" name="Column4481"/>
    <tableColumn id="4500" xr3:uid="{326CBEB9-C654-1C4B-B957-7B44EE78746B}" name="Column4482"/>
    <tableColumn id="4501" xr3:uid="{AD0A696D-62C0-EC45-B208-93EDEB225E6C}" name="Column4483"/>
    <tableColumn id="4502" xr3:uid="{1D443BB4-329D-DC4E-BA39-0939B68A976B}" name="Column4484"/>
    <tableColumn id="4503" xr3:uid="{100EF4B7-B8A6-6945-8287-CCB46A904855}" name="Column4485"/>
    <tableColumn id="4504" xr3:uid="{FE623D3D-9F25-8F4C-9C10-13F020EFDAAB}" name="Column4486"/>
    <tableColumn id="4505" xr3:uid="{5DF3D251-A0FC-3B49-B7A7-BF76260630F1}" name="Column4487"/>
    <tableColumn id="4506" xr3:uid="{E93B2D7C-DBB7-E641-9702-C2C3B502A9FF}" name="Column4488"/>
    <tableColumn id="4507" xr3:uid="{8271AD50-31D7-154B-9EC1-B84DCEACF938}" name="Column4489"/>
    <tableColumn id="4508" xr3:uid="{C166C5B4-EC25-2145-83FC-ACBFCFB8A138}" name="Column4490"/>
    <tableColumn id="4509" xr3:uid="{5F1EAD9A-15E1-2A46-9E91-DEE972350A89}" name="Column4491"/>
    <tableColumn id="4510" xr3:uid="{2713C69A-8961-6E43-99FA-B5F59E34BC57}" name="Column4492"/>
    <tableColumn id="4511" xr3:uid="{82F9B468-BB69-9B43-A2AD-FC67C162F3E1}" name="Column4493"/>
    <tableColumn id="4512" xr3:uid="{8E45C6D3-62AC-5948-B13B-281B20722460}" name="Column4494"/>
    <tableColumn id="4513" xr3:uid="{9E7268D4-5089-B341-8493-A7C12DF00ABD}" name="Column4495"/>
    <tableColumn id="4514" xr3:uid="{FDF51EC8-C361-BC46-A10C-DBC05363EEBE}" name="Column4496"/>
    <tableColumn id="4515" xr3:uid="{3D4079D3-0613-BC45-BC24-3F4320357539}" name="Column4497"/>
    <tableColumn id="4516" xr3:uid="{774E63EE-55E2-B543-8472-A509252BBCF4}" name="Column4498"/>
    <tableColumn id="4517" xr3:uid="{1C6D8147-BCFC-7842-8660-59FCA30F15F2}" name="Column4499"/>
    <tableColumn id="4518" xr3:uid="{F7D680CD-790C-1D4D-B6B2-7BDA433F47C2}" name="Column4500"/>
    <tableColumn id="4519" xr3:uid="{D3B2CF98-F396-344D-A9DF-C30421C671CD}" name="Column4501"/>
    <tableColumn id="4520" xr3:uid="{68492ECF-8E6F-9145-AD64-C2C15A9E95D0}" name="Column4502"/>
    <tableColumn id="4521" xr3:uid="{FBE44FE9-5423-664C-9567-5A92F3DD772A}" name="Column4503"/>
    <tableColumn id="4522" xr3:uid="{850551F6-D645-254F-9EDA-1E94484E9DA0}" name="Column4504"/>
    <tableColumn id="4523" xr3:uid="{EBC42C6A-00A6-224B-9FFE-62FB6BC82994}" name="Column4505"/>
    <tableColumn id="4524" xr3:uid="{1AA49150-491D-8A4D-88C3-C148E5FA3E02}" name="Column4506"/>
    <tableColumn id="4525" xr3:uid="{8669C802-1DF3-6641-A5BF-05B516EF1431}" name="Column4507"/>
    <tableColumn id="4526" xr3:uid="{8632AF62-0F21-2042-B370-69981F147481}" name="Column4508"/>
    <tableColumn id="4527" xr3:uid="{D60918C6-A31B-5046-94C2-60501963F932}" name="Column4509"/>
    <tableColumn id="4528" xr3:uid="{2DC7D9FC-B218-4F4E-A90B-E55FF979CDDF}" name="Column4510"/>
    <tableColumn id="4529" xr3:uid="{9F62C05A-9976-4345-9C1C-1681B0EDE199}" name="Column4511"/>
    <tableColumn id="4530" xr3:uid="{A585F6C2-7D16-7C45-BB3E-ED266C35B006}" name="Column4512"/>
    <tableColumn id="4531" xr3:uid="{240B3673-2332-CB4E-9BE4-12FF7FBBBC04}" name="Column4513"/>
    <tableColumn id="4532" xr3:uid="{EB147FBC-851D-5747-AD3D-B7167B00210E}" name="Column4514"/>
    <tableColumn id="4533" xr3:uid="{AA276E35-CCBA-814E-9C03-42C3487A36B0}" name="Column4515"/>
    <tableColumn id="4534" xr3:uid="{828FF303-D11E-3649-BB6A-46A93245CD98}" name="Column4516"/>
    <tableColumn id="4535" xr3:uid="{E5B206EA-CEE8-6F4C-B388-8F8DA4E91ACE}" name="Column4517"/>
    <tableColumn id="4536" xr3:uid="{0344CFB6-C379-C645-BDEE-1CC59CB93E96}" name="Column4518"/>
    <tableColumn id="4537" xr3:uid="{287D5D19-3A77-8649-97CC-FAC52FDE82A0}" name="Column4519"/>
    <tableColumn id="4538" xr3:uid="{6DB21256-AC7E-B04F-B2D3-B3D178BE57A6}" name="Column4520"/>
    <tableColumn id="4539" xr3:uid="{DE50EA38-6190-A947-9C77-3205CF55A7DB}" name="Column4521"/>
    <tableColumn id="4540" xr3:uid="{DBF2A8AC-AA1C-3148-AFE2-030FBCE56D9A}" name="Column4522"/>
    <tableColumn id="4541" xr3:uid="{BBAB5ED1-3B7E-F245-A4C8-12F2DFB49553}" name="Column4523"/>
    <tableColumn id="4542" xr3:uid="{E8EA6BF5-4483-4543-BC8A-4BB23C459E64}" name="Column4524"/>
    <tableColumn id="4543" xr3:uid="{B8190F71-6328-594A-8795-B0C82D5143E6}" name="Column4525"/>
    <tableColumn id="4544" xr3:uid="{02B01D41-02C6-9F40-887B-DB92E9F84D8B}" name="Column4526"/>
    <tableColumn id="4545" xr3:uid="{E50184C6-11A7-604B-AAE7-08E6ADF4934A}" name="Column4527"/>
    <tableColumn id="4546" xr3:uid="{95C35B61-8803-2545-B8F4-90B856AB8A4F}" name="Column4528"/>
    <tableColumn id="4547" xr3:uid="{A50B9C4C-58A1-1347-B735-9BB04221C71E}" name="Column4529"/>
    <tableColumn id="4548" xr3:uid="{4E81BAD6-64C1-FC4A-97DE-0EE31663C511}" name="Column4530"/>
    <tableColumn id="4549" xr3:uid="{EB66BE03-83C5-414A-95A1-C3229B4F9F32}" name="Column4531"/>
    <tableColumn id="4550" xr3:uid="{52D1FE87-37C2-6846-B535-454EF0BB55C0}" name="Column4532"/>
    <tableColumn id="4551" xr3:uid="{5B617A7D-6D28-514C-8AE9-C0A0A1B4E953}" name="Column4533"/>
    <tableColumn id="4552" xr3:uid="{EE8C71DF-6425-714D-99C5-4D7AE5909397}" name="Column4534"/>
    <tableColumn id="4553" xr3:uid="{C7AC340C-442B-5841-98EA-9C6346F07897}" name="Column4535"/>
    <tableColumn id="4554" xr3:uid="{C51A24CA-FD11-FA44-B06A-444F539A7A0E}" name="Column4536"/>
    <tableColumn id="4555" xr3:uid="{1D11DB95-BBFC-074E-BE79-B5A6B2B10B39}" name="Column4537"/>
    <tableColumn id="4556" xr3:uid="{02CB3CDE-FA09-2445-8095-04E640D2FADD}" name="Column4538"/>
    <tableColumn id="4557" xr3:uid="{CB0ABEB9-A2E9-B749-8964-2D6E366C0DAA}" name="Column4539"/>
    <tableColumn id="4558" xr3:uid="{E6F478DF-9D35-1641-86E5-A4B8D3B84AB5}" name="Column4540"/>
    <tableColumn id="4559" xr3:uid="{ED5F8FA4-9BE6-4645-B0CE-B2F6E7ABD1FF}" name="Column4541"/>
    <tableColumn id="4560" xr3:uid="{E63CAC85-3E51-6940-956D-3BA1B4CEDF31}" name="Column4542"/>
    <tableColumn id="4561" xr3:uid="{91072E94-CC34-F045-92D4-FB7F10218473}" name="Column4543"/>
    <tableColumn id="4562" xr3:uid="{7251B81A-1793-BF4B-BBA2-9D23BC0543AC}" name="Column4544"/>
    <tableColumn id="4563" xr3:uid="{B9796779-D55E-0442-B176-FE0389C0E12C}" name="Column4545"/>
    <tableColumn id="4564" xr3:uid="{27FBBF9B-3F5D-EF41-8904-4F29CD155F94}" name="Column4546"/>
    <tableColumn id="4565" xr3:uid="{A1B03BFA-AF33-FA40-87D8-5A3BAA31C035}" name="Column4547"/>
    <tableColumn id="4566" xr3:uid="{83032F79-3D10-124C-AAB5-54D479B15DBB}" name="Column4548"/>
    <tableColumn id="4567" xr3:uid="{3DE2D175-7624-F444-8BD8-D24536644FCE}" name="Column4549"/>
    <tableColumn id="4568" xr3:uid="{62166C99-FE82-6549-A19C-3C6777FCC424}" name="Column4550"/>
    <tableColumn id="4569" xr3:uid="{9C5891FF-7CC4-2F41-BCD0-75D5B22C2B18}" name="Column4551"/>
    <tableColumn id="4570" xr3:uid="{A8297012-B5D6-F847-9C0F-CEED7CF4CD0A}" name="Column4552"/>
    <tableColumn id="4571" xr3:uid="{69D18EF2-8F8D-E244-AE72-DE4C888FB3E0}" name="Column4553"/>
    <tableColumn id="4572" xr3:uid="{65F6B870-11B9-6F4D-ACF1-88ABEC2AEFB8}" name="Column4554"/>
    <tableColumn id="4573" xr3:uid="{BEEF01D3-B6A3-5F4E-AE7D-C69D9DA72E77}" name="Column4555"/>
    <tableColumn id="4574" xr3:uid="{F7D5CAA1-B04A-9944-B230-15665A8CD1E6}" name="Column4556"/>
    <tableColumn id="4575" xr3:uid="{A59DB1BC-1166-8A4F-83D8-CC02D30610A6}" name="Column4557"/>
    <tableColumn id="4576" xr3:uid="{6394470F-2E3A-894E-8062-3470990F9157}" name="Column4558"/>
    <tableColumn id="4577" xr3:uid="{65D52D85-7A54-5747-A556-56764C785099}" name="Column4559"/>
    <tableColumn id="4578" xr3:uid="{8A62FD63-82D7-A54E-94F7-6A76F002D91C}" name="Column4560"/>
    <tableColumn id="4579" xr3:uid="{FA980D45-06F0-B34E-A1D2-86FD4D996B60}" name="Column4561"/>
    <tableColumn id="4580" xr3:uid="{C556041E-99AC-DE41-9E88-3913CAEBEE00}" name="Column4562"/>
    <tableColumn id="4581" xr3:uid="{52661893-3FD6-E849-B949-0F1F7A0CB652}" name="Column4563"/>
    <tableColumn id="4582" xr3:uid="{8A088074-23F1-1444-B788-666C5E76FBA9}" name="Column4564"/>
    <tableColumn id="4583" xr3:uid="{F1863F28-5F9F-324B-A9DA-43035C3CC40D}" name="Column4565"/>
    <tableColumn id="4584" xr3:uid="{9C897942-D844-C049-A666-FE08EF187C28}" name="Column4566"/>
    <tableColumn id="4585" xr3:uid="{DF64EF30-FE29-4C4E-9562-9B6D573AF513}" name="Column4567"/>
    <tableColumn id="4586" xr3:uid="{9C476483-68C4-8A47-B2F7-53F9A82940FF}" name="Column4568"/>
    <tableColumn id="4587" xr3:uid="{979D6DD7-7C67-E742-9093-48479E770B4F}" name="Column4569"/>
    <tableColumn id="4588" xr3:uid="{7C76B281-C8DF-6047-B696-A8CD66CFB8BD}" name="Column4570"/>
    <tableColumn id="4589" xr3:uid="{BCAD533A-C554-1C4D-A680-B69339122A1E}" name="Column4571"/>
    <tableColumn id="4590" xr3:uid="{3D35617E-869A-B149-83B8-CADB8FD0B9FF}" name="Column4572"/>
    <tableColumn id="4591" xr3:uid="{7B217770-9875-B44C-A256-F02C4E4C6408}" name="Column4573"/>
    <tableColumn id="4592" xr3:uid="{E0FB0631-CF7F-8C41-9BDC-BD120414FB8F}" name="Column4574"/>
    <tableColumn id="4593" xr3:uid="{340A5680-98BF-3E40-959C-D196DA2DD65F}" name="Column4575"/>
    <tableColumn id="4594" xr3:uid="{C9360AE4-EB02-2141-AFEA-F5884933B27C}" name="Column4576"/>
    <tableColumn id="4595" xr3:uid="{4282E0DE-090F-EA4C-B913-F9C0E65EC04B}" name="Column4577"/>
    <tableColumn id="4596" xr3:uid="{BE15E2DD-D8CF-584A-AE02-35F964D5F0B7}" name="Column4578"/>
    <tableColumn id="4597" xr3:uid="{0C85246F-8374-444F-B869-6A76A8E92310}" name="Column4579"/>
    <tableColumn id="4598" xr3:uid="{1E1D20DF-D026-7B47-9C66-418F350EADFC}" name="Column4580"/>
    <tableColumn id="4599" xr3:uid="{4B7196BC-2103-7446-B14A-CCAFE08480BC}" name="Column4581"/>
    <tableColumn id="4600" xr3:uid="{41288AFE-398C-B54B-9C29-17887392D938}" name="Column4582"/>
    <tableColumn id="4601" xr3:uid="{CAC71229-6F62-0345-8CB6-BBD5CB6BB5E2}" name="Column4583"/>
    <tableColumn id="4602" xr3:uid="{833EAAE1-3482-3841-A1C4-AE7BBAB847DE}" name="Column4584"/>
    <tableColumn id="4603" xr3:uid="{0AB56DFB-C6E8-6749-B281-5434640AED4A}" name="Column4585"/>
    <tableColumn id="4604" xr3:uid="{6F48B0B4-EEA5-C54F-81DE-0C3FDA83D781}" name="Column4586"/>
    <tableColumn id="4605" xr3:uid="{F32470EC-62AD-1942-93AA-23CD4DD8D37A}" name="Column4587"/>
    <tableColumn id="4606" xr3:uid="{B91000A2-37C4-BB48-BEBE-745117F4D503}" name="Column4588"/>
    <tableColumn id="4607" xr3:uid="{F6187A35-71FB-234F-AB29-4B77DB56BF32}" name="Column4589"/>
    <tableColumn id="4608" xr3:uid="{9DDE61AC-E2A3-C341-8501-7AF9F46E3E6A}" name="Column4590"/>
    <tableColumn id="4609" xr3:uid="{9765B202-CC85-0F44-B815-85198B2B280A}" name="Column4591"/>
    <tableColumn id="4610" xr3:uid="{D81C12B2-1314-E74E-AEDB-AFE31D73D491}" name="Column4592"/>
    <tableColumn id="4611" xr3:uid="{6C05BE1E-9992-D349-B7ED-1F00A4D4AEC3}" name="Column4593"/>
    <tableColumn id="4612" xr3:uid="{F5272EFB-91A5-DE41-B908-16670889B554}" name="Column4594"/>
    <tableColumn id="4613" xr3:uid="{3D051286-AE38-C040-AD03-DA4A813596EF}" name="Column4595"/>
    <tableColumn id="4614" xr3:uid="{BAED5960-F870-124C-A3DE-D637AAFC6D46}" name="Column4596"/>
    <tableColumn id="4615" xr3:uid="{6F3B2435-53A6-7B40-8593-DB4029417146}" name="Column4597"/>
    <tableColumn id="4616" xr3:uid="{6964B01B-8C6C-7448-95F9-D5CAF1146A82}" name="Column4598"/>
    <tableColumn id="4617" xr3:uid="{B570E594-26AA-3F44-AD97-0E7A9876B44A}" name="Column4599"/>
    <tableColumn id="4618" xr3:uid="{5F6CBF0D-E5EB-3745-B8F0-A15FC0D13EA9}" name="Column4600"/>
    <tableColumn id="4619" xr3:uid="{534D6CB8-B057-5E41-8206-02D1876D9ADE}" name="Column4601"/>
    <tableColumn id="4620" xr3:uid="{87D7BAF2-2199-334F-944A-BEFCD1FFB4AC}" name="Column4602"/>
    <tableColumn id="4621" xr3:uid="{FCAE3EE0-F425-9148-8FA2-F0C3B697087B}" name="Column4603"/>
    <tableColumn id="4622" xr3:uid="{5E7F3776-F0D2-5647-ADFE-5F8B209B2571}" name="Column4604"/>
    <tableColumn id="4623" xr3:uid="{6E7F0C1E-9E56-7A44-ABE5-A14241C1831D}" name="Column4605"/>
    <tableColumn id="4624" xr3:uid="{AA8D65E0-B1C2-3440-AC9E-7BE214AC2918}" name="Column4606"/>
    <tableColumn id="4625" xr3:uid="{09B19F55-D8ED-3C4B-9207-A9FF6DAB9B35}" name="Column4607"/>
    <tableColumn id="4626" xr3:uid="{D80456D5-F5EC-1B47-BAC9-36C8292CCE33}" name="Column4608"/>
    <tableColumn id="4627" xr3:uid="{AB19D256-3886-BD48-81C3-86202A8DB44B}" name="Column4609"/>
    <tableColumn id="4628" xr3:uid="{CEC4AC2D-4058-9243-96C9-1B5105018F48}" name="Column4610"/>
    <tableColumn id="4629" xr3:uid="{D919B4F1-457F-034E-8461-A8248FEE8036}" name="Column4611"/>
    <tableColumn id="4630" xr3:uid="{E8ECE16A-1116-EE4F-985A-82B04EE14963}" name="Column4612"/>
    <tableColumn id="4631" xr3:uid="{78405D4A-CA63-184D-B2C6-371CC76FB0BB}" name="Column4613"/>
    <tableColumn id="4632" xr3:uid="{550D9E72-D443-F04D-8318-1313AF339ABE}" name="Column4614"/>
    <tableColumn id="4633" xr3:uid="{BC24B4DC-68DE-2F40-A688-E6F22051C738}" name="Column4615"/>
    <tableColumn id="4634" xr3:uid="{70CDBB4E-323E-8E45-8FC2-44CAB85FF78A}" name="Column4616"/>
    <tableColumn id="4635" xr3:uid="{DF0E8F7B-60FC-154F-81E7-7C8DD093DB1D}" name="Column4617"/>
    <tableColumn id="4636" xr3:uid="{BE75FDCC-F3D1-3E46-8F20-C59DC567E120}" name="Column4618"/>
    <tableColumn id="4637" xr3:uid="{6B33B2D9-5059-AE42-A13E-5AF46946D50F}" name="Column4619"/>
    <tableColumn id="4638" xr3:uid="{30146D87-C9A6-DC4D-B968-8B98B56EC74D}" name="Column4620"/>
    <tableColumn id="4639" xr3:uid="{E13EE767-0C2D-2145-9A54-1EF39CCD6D40}" name="Column4621"/>
    <tableColumn id="4640" xr3:uid="{B4967F89-8972-F14A-9BEC-19D18A59DC1F}" name="Column4622"/>
    <tableColumn id="4641" xr3:uid="{778D92D4-D0CB-3D4E-A655-27942C4F355F}" name="Column4623"/>
    <tableColumn id="4642" xr3:uid="{5D023E0B-2584-5D4F-ABF1-FDA412342444}" name="Column4624"/>
    <tableColumn id="4643" xr3:uid="{49C3FCEF-B4B5-8645-B015-A17E4EAC074A}" name="Column4625"/>
    <tableColumn id="4644" xr3:uid="{AC2D2B44-B413-A44C-B5BD-6497976CB791}" name="Column4626"/>
    <tableColumn id="4645" xr3:uid="{4DF5C6EC-5891-3F43-961F-E32508A1B18C}" name="Column4627"/>
    <tableColumn id="4646" xr3:uid="{08239749-A975-FE4C-89E8-51CEEF0C1950}" name="Column4628"/>
    <tableColumn id="4647" xr3:uid="{27D11205-8DA5-C04A-B213-9207CBB5B5F9}" name="Column4629"/>
    <tableColumn id="4648" xr3:uid="{7F963019-B62D-314D-BC44-565269D55D1D}" name="Column4630"/>
    <tableColumn id="4649" xr3:uid="{4B96C0D4-3BD0-AA4F-BAA1-1B9AD7DDECD3}" name="Column4631"/>
    <tableColumn id="4650" xr3:uid="{549B62E1-7018-4144-8D41-56AD0A4E1CDC}" name="Column4632"/>
    <tableColumn id="4651" xr3:uid="{5CDEA060-9863-A248-9934-5030AF4F511C}" name="Column4633"/>
    <tableColumn id="4652" xr3:uid="{DD2E7745-5D9F-634C-A649-2EAEE7AEC583}" name="Column4634"/>
    <tableColumn id="4653" xr3:uid="{18395B41-BA63-904F-90D4-E628193DC639}" name="Column4635"/>
    <tableColumn id="4654" xr3:uid="{F65B3E50-162C-F946-AA41-98C49B89AC35}" name="Column4636"/>
    <tableColumn id="4655" xr3:uid="{5D17917A-F32A-D44B-8C1F-6CB7BE737FD6}" name="Column4637"/>
    <tableColumn id="4656" xr3:uid="{BB96F0B2-2B2E-2548-8703-8B1705A52C0F}" name="Column4638"/>
    <tableColumn id="4657" xr3:uid="{4A9ED83C-1B6B-E344-9744-63F7A859F2B9}" name="Column4639"/>
    <tableColumn id="4658" xr3:uid="{ADC9A20C-660F-E149-A343-E0EF7F9C3C0B}" name="Column4640"/>
    <tableColumn id="4659" xr3:uid="{87C7FAD7-03BE-8E4D-8FDB-B7E38C3250E0}" name="Column4641"/>
    <tableColumn id="4660" xr3:uid="{13939476-EDA4-7B45-AF27-2215F9FE45B0}" name="Column4642"/>
    <tableColumn id="4661" xr3:uid="{A50AF048-9D5A-E441-87EB-1CA1BC8BA92E}" name="Column4643"/>
    <tableColumn id="4662" xr3:uid="{EADBE052-5E6C-9A46-B9EB-35B1B40DF2F4}" name="Column4644"/>
    <tableColumn id="4663" xr3:uid="{F7819D2C-623B-924A-A1D6-AF29439D6BCA}" name="Column4645"/>
    <tableColumn id="4664" xr3:uid="{3802432B-1704-3842-BD2C-BA11B73B5DDC}" name="Column4646"/>
    <tableColumn id="4665" xr3:uid="{B6E365D9-3367-4E4E-8686-31EDB25590FA}" name="Column4647"/>
    <tableColumn id="4666" xr3:uid="{8DF07959-DD2C-6E45-9B90-C1B1282D0C1D}" name="Column4648"/>
    <tableColumn id="4667" xr3:uid="{698B826D-6236-EA49-A8BF-06158ADE5DF4}" name="Column4649"/>
    <tableColumn id="4668" xr3:uid="{ECA0408B-BB8D-3540-BA78-ECCCF72EDA98}" name="Column4650"/>
    <tableColumn id="4669" xr3:uid="{79BA5C3F-71B8-1945-ADE7-8A9074395FD4}" name="Column4651"/>
    <tableColumn id="4670" xr3:uid="{73630478-0418-A74A-90B9-8AB06EE445F0}" name="Column4652"/>
    <tableColumn id="4671" xr3:uid="{953439BE-5CCC-224D-8DD1-BF0F9A2C8112}" name="Column4653"/>
    <tableColumn id="4672" xr3:uid="{7E7CAB1E-1B74-D847-B975-97DFC5A8E2D0}" name="Column4654"/>
    <tableColumn id="4673" xr3:uid="{C2ACD7C7-20D5-4C4F-8BAD-B73FCC7234FD}" name="Column4655"/>
    <tableColumn id="4674" xr3:uid="{58C6B98C-1EC0-6D43-BCBA-ECC73866F1B8}" name="Column4656"/>
    <tableColumn id="4675" xr3:uid="{BCD51063-A394-1C4A-A709-9DC16185F5C9}" name="Column4657"/>
    <tableColumn id="4676" xr3:uid="{1119E4E5-3E99-CA49-A38E-861BE81935A8}" name="Column4658"/>
    <tableColumn id="4677" xr3:uid="{0F427222-48BC-6D45-A1C8-111D087FA1AB}" name="Column4659"/>
    <tableColumn id="4678" xr3:uid="{A0E104C2-9118-164B-9B64-211887A51A5E}" name="Column4660"/>
    <tableColumn id="4679" xr3:uid="{6C9F3664-95E7-4740-9AB1-F08EE69990CD}" name="Column4661"/>
    <tableColumn id="4680" xr3:uid="{01A49EAB-2DB8-A649-BB03-C2B91AD2A24E}" name="Column4662"/>
    <tableColumn id="4681" xr3:uid="{81703939-DAC1-DD47-9311-C9E105214E88}" name="Column4663"/>
    <tableColumn id="4682" xr3:uid="{BE90B66C-D756-F041-967D-A0E0A05D55F0}" name="Column4664"/>
    <tableColumn id="4683" xr3:uid="{BD8301F0-42A1-6F4F-AD3A-4A1DDAA6C30F}" name="Column4665"/>
    <tableColumn id="4684" xr3:uid="{58E4B293-D50F-A844-AFF0-E703264B6A66}" name="Column4666"/>
    <tableColumn id="4685" xr3:uid="{C5972018-4341-5742-9C5B-C8B518ECDF56}" name="Column4667"/>
    <tableColumn id="4686" xr3:uid="{8B709D0D-F97A-384D-990E-E74055651E0F}" name="Column4668"/>
    <tableColumn id="4687" xr3:uid="{01800CAA-98B7-1B47-91D7-0B4FEB5345E6}" name="Column4669"/>
    <tableColumn id="4688" xr3:uid="{AA820688-0E90-3049-BE03-E528006017B4}" name="Column4670"/>
    <tableColumn id="4689" xr3:uid="{3466D1E7-A841-D64F-B393-2A1ECEA3C8C9}" name="Column4671"/>
    <tableColumn id="4690" xr3:uid="{DB17B830-1708-874E-8B60-1249DEDE79EC}" name="Column4672"/>
    <tableColumn id="4691" xr3:uid="{4E8AAE06-5612-EC43-9EF1-CB710649A986}" name="Column4673"/>
    <tableColumn id="4692" xr3:uid="{A9265643-A5F5-BC4E-9E82-8149FADB8163}" name="Column4674"/>
    <tableColumn id="4693" xr3:uid="{CA69090F-4772-2043-A394-57D48E5D3C21}" name="Column4675"/>
    <tableColumn id="4694" xr3:uid="{B934CD4E-3DA9-A74E-A50E-A1CBCF09BB70}" name="Column4676"/>
    <tableColumn id="4695" xr3:uid="{B4707456-6647-9D43-8271-CBDBE1AF0295}" name="Column4677"/>
    <tableColumn id="4696" xr3:uid="{F8912ACB-38AF-D14B-A21D-E722810141D7}" name="Column4678"/>
    <tableColumn id="4697" xr3:uid="{45367A49-F648-144D-8735-701C349B204D}" name="Column4679"/>
    <tableColumn id="4698" xr3:uid="{5C3DA6CA-9597-244E-A94E-0FEB4AFB5E47}" name="Column4680"/>
    <tableColumn id="4699" xr3:uid="{7B5C3BFC-5D8E-2A40-9509-FD4C62E6FB43}" name="Column4681"/>
    <tableColumn id="4700" xr3:uid="{AC10E921-5BAE-FF46-BACA-4BD62C763BF9}" name="Column4682"/>
    <tableColumn id="4701" xr3:uid="{F9B6007F-47AD-C147-A2B9-6634C39D34B2}" name="Column4683"/>
    <tableColumn id="4702" xr3:uid="{BA1938F6-5463-AA41-AD62-7D63D847CAF0}" name="Column4684"/>
    <tableColumn id="4703" xr3:uid="{4F62F45E-C496-3447-93B3-2EF7EB0091ED}" name="Column4685"/>
    <tableColumn id="4704" xr3:uid="{D029D4D9-4399-CF44-B515-833D78B007BC}" name="Column4686"/>
    <tableColumn id="4705" xr3:uid="{23FE655A-4502-4E40-8979-9DB3AAD2E04B}" name="Column4687"/>
    <tableColumn id="4706" xr3:uid="{6BA63EC0-7A83-E342-B203-C1F329E4DD34}" name="Column4688"/>
    <tableColumn id="4707" xr3:uid="{EEB6E274-ADC3-0745-908B-278E826198F2}" name="Column4689"/>
    <tableColumn id="4708" xr3:uid="{6828210D-CC0E-7241-91B0-FEDFFB5E9587}" name="Column4690"/>
    <tableColumn id="4709" xr3:uid="{4D48487D-CDFB-794D-A4A4-5C7A4C4B361C}" name="Column4691"/>
    <tableColumn id="4710" xr3:uid="{93C03FFF-440F-894D-9CA9-1D0A31AE2AE4}" name="Column4692"/>
    <tableColumn id="4711" xr3:uid="{5EA045F6-B336-5C41-BBDD-4FC908EBC00A}" name="Column4693"/>
    <tableColumn id="4712" xr3:uid="{E0904408-349A-1447-A6ED-CF0E65FB07D9}" name="Column4694"/>
    <tableColumn id="4713" xr3:uid="{AD3D0010-BF89-3442-BA14-C5C047D8B7CF}" name="Column4695"/>
    <tableColumn id="4714" xr3:uid="{5C367CFB-69C9-7844-848D-26696F6F3832}" name="Column4696"/>
    <tableColumn id="4715" xr3:uid="{4BF7D9CC-F715-C340-870B-BF1273C9212F}" name="Column4697"/>
    <tableColumn id="4716" xr3:uid="{39EFE5FB-DE88-994C-8C4C-0E3B19D8A182}" name="Column4698"/>
    <tableColumn id="4717" xr3:uid="{C54F7E7F-BD92-F148-AE4C-F5FA68CFC565}" name="Column4699"/>
    <tableColumn id="4718" xr3:uid="{9C09269A-5A00-4442-867E-306ABF9E4E6D}" name="Column4700"/>
    <tableColumn id="4719" xr3:uid="{D1396AFE-0929-8A40-9029-91B4A22733DD}" name="Column4701"/>
    <tableColumn id="4720" xr3:uid="{4A16D6CE-D255-4C4A-AF84-23067AEE8DC0}" name="Column4702"/>
    <tableColumn id="4721" xr3:uid="{2043320C-B59A-2E45-A809-5EB4FC5ED669}" name="Column4703"/>
    <tableColumn id="4722" xr3:uid="{7A34D230-C3C4-9D44-9952-AEE140DABB61}" name="Column4704"/>
    <tableColumn id="4723" xr3:uid="{7C41953E-3331-284F-8512-96EBF3C4AD05}" name="Column4705"/>
    <tableColumn id="4724" xr3:uid="{06BB5C1B-5D7D-4248-B8A5-1E16DC9A5B16}" name="Column4706"/>
    <tableColumn id="4725" xr3:uid="{2A8C1C01-EC1B-3D40-B846-3ACD142B52DA}" name="Column4707"/>
    <tableColumn id="4726" xr3:uid="{CCAF045C-B403-464B-B090-EBFEDB802842}" name="Column4708"/>
    <tableColumn id="4727" xr3:uid="{01BA2B37-E903-E140-B4C9-FB8CDCC50F3E}" name="Column4709"/>
    <tableColumn id="4728" xr3:uid="{E35362D5-5DD3-7549-8814-7C6574C57BFF}" name="Column4710"/>
    <tableColumn id="4729" xr3:uid="{91FCAC0A-BCF5-3C44-B974-0899D9455722}" name="Column4711"/>
    <tableColumn id="4730" xr3:uid="{28606A26-F426-FC48-B7FF-7DF8D3C8BE1B}" name="Column4712"/>
    <tableColumn id="4731" xr3:uid="{35F00A32-3093-1648-A365-00358012E6BD}" name="Column4713"/>
    <tableColumn id="4732" xr3:uid="{9E18FEFA-71C7-4F45-BBA4-CFB2362ABCBA}" name="Column4714"/>
    <tableColumn id="4733" xr3:uid="{044F4D20-E4AA-5B42-BF36-469DC576900D}" name="Column4715"/>
    <tableColumn id="4734" xr3:uid="{9F8BDAAC-DDEA-D140-AEE6-E920A1DF5F2F}" name="Column4716"/>
    <tableColumn id="4735" xr3:uid="{653B4F6D-B772-D640-AF1F-0C21EF47D81D}" name="Column4717"/>
    <tableColumn id="4736" xr3:uid="{D35759DD-05DA-3A48-B359-19A67AEB7C32}" name="Column4718"/>
    <tableColumn id="4737" xr3:uid="{1F45B632-D5EF-3343-BDB2-C619525CD570}" name="Column4719"/>
    <tableColumn id="4738" xr3:uid="{F06CADCC-0354-5342-9B63-DB9D42A6EFF0}" name="Column4720"/>
    <tableColumn id="4739" xr3:uid="{FAB855C5-D573-D942-AD81-E6F7A997CD78}" name="Column4721"/>
    <tableColumn id="4740" xr3:uid="{15DDB5B3-0046-EF43-BD4A-8CBF10460FA7}" name="Column4722"/>
    <tableColumn id="4741" xr3:uid="{28408BA6-36EF-3F45-A28D-CC7448BBB57D}" name="Column4723"/>
    <tableColumn id="4742" xr3:uid="{C4A6D6AA-F166-1249-A770-1051B2E2D7C3}" name="Column4724"/>
    <tableColumn id="4743" xr3:uid="{D52F5282-5428-814F-9065-76A5A41FB85A}" name="Column4725"/>
    <tableColumn id="4744" xr3:uid="{FD193116-15A8-A54B-9174-8ED827E0F623}" name="Column4726"/>
    <tableColumn id="4745" xr3:uid="{277E3BA0-6C82-7E48-92AC-0CD3ADBB87D4}" name="Column4727"/>
    <tableColumn id="4746" xr3:uid="{E3C82D83-989C-6B4D-AAE1-1CDD31B12C6E}" name="Column4728"/>
    <tableColumn id="4747" xr3:uid="{A9A9D410-0DE7-4D41-8F18-0DF08E481906}" name="Column4729"/>
    <tableColumn id="4748" xr3:uid="{F148824E-0D4D-3B42-8B67-772EA5416BCE}" name="Column4730"/>
    <tableColumn id="4749" xr3:uid="{2FCC2F08-227E-9148-BBD4-4C485EF9A447}" name="Column4731"/>
    <tableColumn id="4750" xr3:uid="{A8A2F25D-BB08-204A-BC28-273A10691894}" name="Column4732"/>
    <tableColumn id="4751" xr3:uid="{709313D1-9442-734B-ABE7-ADA6F07DF50B}" name="Column4733"/>
    <tableColumn id="4752" xr3:uid="{F634BB22-DA21-A942-8E63-CE9DD09D62A7}" name="Column4734"/>
    <tableColumn id="4753" xr3:uid="{E92226AF-D704-8541-AB5E-0CA48132399E}" name="Column4735"/>
    <tableColumn id="4754" xr3:uid="{03E194DF-20A8-484F-8618-42016691A61E}" name="Column4736"/>
    <tableColumn id="4755" xr3:uid="{5344FE68-C339-3B4D-85DB-75CCB8283E18}" name="Column4737"/>
    <tableColumn id="4756" xr3:uid="{74A94E5F-95BD-7542-A74F-EFD5161B4815}" name="Column4738"/>
    <tableColumn id="4757" xr3:uid="{0CD8A05A-FEBD-A246-BE3E-7CEA6CAC495A}" name="Column4739"/>
    <tableColumn id="4758" xr3:uid="{F63E9D14-EA6D-D741-8F13-13B185E9AE67}" name="Column4740"/>
    <tableColumn id="4759" xr3:uid="{9C7BCB46-71B5-9A4C-A4F9-831427558096}" name="Column4741"/>
    <tableColumn id="4760" xr3:uid="{847E349F-FC19-5E43-A0B7-253A162C3F05}" name="Column4742"/>
    <tableColumn id="4761" xr3:uid="{83775B43-58EF-9B46-98C1-EA22856C2E23}" name="Column4743"/>
    <tableColumn id="4762" xr3:uid="{85B308BE-4D93-7342-8C0E-F99176D6625D}" name="Column4744"/>
    <tableColumn id="4763" xr3:uid="{0F6F58EE-D32F-B34D-A108-554EC0C30959}" name="Column4745"/>
    <tableColumn id="4764" xr3:uid="{8BD5497F-0E4B-F042-8956-803CDD9016C8}" name="Column4746"/>
    <tableColumn id="4765" xr3:uid="{6405209B-8291-CB4A-A997-1D417546AA6A}" name="Column4747"/>
    <tableColumn id="4766" xr3:uid="{8F176C90-555A-7543-892F-13798DACBCA9}" name="Column4748"/>
    <tableColumn id="4767" xr3:uid="{C0466AF4-EACD-AF4E-B6B1-2E2C9B382EEC}" name="Column4749"/>
    <tableColumn id="4768" xr3:uid="{B4FA4BDA-878E-4A4E-8231-FF1E7FE4CCF4}" name="Column4750"/>
    <tableColumn id="4769" xr3:uid="{419FAFDB-5502-4A49-9F50-C57F76069039}" name="Column4751"/>
    <tableColumn id="4770" xr3:uid="{0BB3CAAE-BDBE-AF4A-9642-EA9677342093}" name="Column4752"/>
    <tableColumn id="4771" xr3:uid="{F63A1C63-3AD1-FA43-A6AE-71749AEE03AD}" name="Column4753"/>
    <tableColumn id="4772" xr3:uid="{13DB81A9-BAD1-CD4D-95DB-45B573A3994A}" name="Column4754"/>
    <tableColumn id="4773" xr3:uid="{31408DD4-D29F-5B48-8190-C377FE2157E4}" name="Column4755"/>
    <tableColumn id="4774" xr3:uid="{9EF5E0AF-0C18-F24B-AAC8-40F69E8C6667}" name="Column4756"/>
    <tableColumn id="4775" xr3:uid="{556CEE72-861A-A444-A766-A06B6D36C268}" name="Column4757"/>
    <tableColumn id="4776" xr3:uid="{B2F43EFE-8716-7D46-A451-1B26BE5EC6FE}" name="Column4758"/>
    <tableColumn id="4777" xr3:uid="{298842E7-BF9B-E247-A219-E90BB1967B3E}" name="Column4759"/>
    <tableColumn id="4778" xr3:uid="{1D7904DF-64D0-4C4E-A519-F325EF99CFA3}" name="Column4760"/>
    <tableColumn id="4779" xr3:uid="{BEB6BC99-5800-3742-861F-20B11FDA5F7B}" name="Column4761"/>
    <tableColumn id="4780" xr3:uid="{7B42C6FC-3D0E-D241-AA5E-3ADA7ACE7C0D}" name="Column4762"/>
    <tableColumn id="4781" xr3:uid="{6AB0FBA8-C0E7-0B4F-92FE-FB89FC72710C}" name="Column4763"/>
    <tableColumn id="4782" xr3:uid="{833F929C-FAAC-7242-A147-1B5483EEBD72}" name="Column4764"/>
    <tableColumn id="4783" xr3:uid="{C05E5C6E-757B-6444-B6C8-AC9CE218AAB6}" name="Column4765"/>
    <tableColumn id="4784" xr3:uid="{3E51F41E-AB51-8D43-96FA-BDCA0096CDF2}" name="Column4766"/>
    <tableColumn id="4785" xr3:uid="{C081077A-0F2D-5843-BDF5-44300704536D}" name="Column4767"/>
    <tableColumn id="4786" xr3:uid="{5BDC30E7-C63E-6446-AADC-D75411D3AD0C}" name="Column4768"/>
    <tableColumn id="4787" xr3:uid="{1EAF23B3-F828-D64E-BD47-875CC0928D12}" name="Column4769"/>
    <tableColumn id="4788" xr3:uid="{DC407164-3908-BD46-BBDF-381DFD89C9D8}" name="Column4770"/>
    <tableColumn id="4789" xr3:uid="{E3FDB9FD-6461-3149-AA9D-4B3632C1D433}" name="Column4771"/>
    <tableColumn id="4790" xr3:uid="{8C58F112-14FD-AA40-972C-AD9D0B22D173}" name="Column4772"/>
    <tableColumn id="4791" xr3:uid="{907990E9-D0A5-5349-A22E-535C235695AF}" name="Column4773"/>
    <tableColumn id="4792" xr3:uid="{CF92E72C-7763-6740-B373-868AA130B05F}" name="Column4774"/>
    <tableColumn id="4793" xr3:uid="{8BDE8062-49C4-744C-8FE4-E160BF2501AC}" name="Column4775"/>
    <tableColumn id="4794" xr3:uid="{8D92043F-3621-5A4F-B03A-68C4ACA70F93}" name="Column4776"/>
    <tableColumn id="4795" xr3:uid="{415C7863-C6E1-704A-B0B9-4E6C9F54A5D9}" name="Column4777"/>
    <tableColumn id="4796" xr3:uid="{0316AAFB-26BE-FB42-9FE5-0033E147869F}" name="Column4778"/>
    <tableColumn id="4797" xr3:uid="{BD1C0471-89C2-2642-BF77-F039B99F9B87}" name="Column4779"/>
    <tableColumn id="4798" xr3:uid="{016CAC9C-A1E9-3440-B377-7EBB96178D1D}" name="Column4780"/>
    <tableColumn id="4799" xr3:uid="{3503348D-CA7C-6E4D-9173-AE23349DF460}" name="Column4781"/>
    <tableColumn id="4800" xr3:uid="{03FA3D10-B244-F749-B3EC-B99CB7754E15}" name="Column4782"/>
    <tableColumn id="4801" xr3:uid="{DB8208FB-11D3-5E4D-B220-278F07B61949}" name="Column4783"/>
    <tableColumn id="4802" xr3:uid="{0F7EB708-F8F6-4A4C-B0BF-FDEDC913A144}" name="Column4784"/>
    <tableColumn id="4803" xr3:uid="{C314D97F-162D-2043-A688-E62BC4614AFE}" name="Column4785"/>
    <tableColumn id="4804" xr3:uid="{30014C7F-442A-4C4F-BB36-E1773D37E177}" name="Column4786"/>
    <tableColumn id="4805" xr3:uid="{1B6ECEB7-62D3-A847-A12C-76FE854226CA}" name="Column4787"/>
    <tableColumn id="4806" xr3:uid="{9B3D7BD6-758F-094C-A20E-DABCA0661BFF}" name="Column4788"/>
    <tableColumn id="4807" xr3:uid="{3F314F44-C2D5-A24F-816E-267716F2CC9B}" name="Column4789"/>
    <tableColumn id="4808" xr3:uid="{1C76691E-153F-CC4A-AAD2-B8CD18C005C2}" name="Column4790"/>
    <tableColumn id="4809" xr3:uid="{4142AD51-E97F-3749-8D9D-517C57BD13A0}" name="Column4791"/>
    <tableColumn id="4810" xr3:uid="{23606CF6-BE15-DF45-BFEC-A401C0F7DC83}" name="Column4792"/>
    <tableColumn id="4811" xr3:uid="{CA6994DC-DB75-D24A-9BAC-129579DB1D9E}" name="Column4793"/>
    <tableColumn id="4812" xr3:uid="{303401D0-7F5A-7B49-9268-5876AE695A26}" name="Column4794"/>
    <tableColumn id="4813" xr3:uid="{D9F3CF17-81E2-8144-9DE8-E6CD03EEB493}" name="Column4795"/>
    <tableColumn id="4814" xr3:uid="{3C21AB16-96BC-1249-9B66-181F2B18B4AB}" name="Column4796"/>
    <tableColumn id="4815" xr3:uid="{F5A1A87C-7AF1-9346-8209-12D89B1D2A2C}" name="Column4797"/>
    <tableColumn id="4816" xr3:uid="{3C3D2E03-F008-C54F-9921-60789C478613}" name="Column4798"/>
    <tableColumn id="4817" xr3:uid="{280825A9-7AF2-BD46-81B9-E1338CDFA209}" name="Column4799"/>
    <tableColumn id="4818" xr3:uid="{2DC49268-1B64-C343-BB9F-0E6E51F4B55A}" name="Column4800"/>
    <tableColumn id="4819" xr3:uid="{88E167E6-EEAD-2446-A7CE-F6BB32296094}" name="Column4801"/>
    <tableColumn id="4820" xr3:uid="{0C341A5D-ECDD-0D40-B61B-87C10DE5E438}" name="Column4802"/>
    <tableColumn id="4821" xr3:uid="{8CD9CA9B-E0E6-2244-B9BA-51C6E0B47990}" name="Column4803"/>
    <tableColumn id="4822" xr3:uid="{3FD3039E-1F9F-BB4B-BC79-7B61CD65AA1D}" name="Column4804"/>
    <tableColumn id="4823" xr3:uid="{4E7DA98C-A9F4-884F-810E-D155A00795FD}" name="Column4805"/>
    <tableColumn id="4824" xr3:uid="{5D9EA282-A083-4842-94FD-DDFD68E52D2B}" name="Column4806"/>
    <tableColumn id="4825" xr3:uid="{87F35501-4AE4-CB42-89A0-A58AF7F22E17}" name="Column4807"/>
    <tableColumn id="4826" xr3:uid="{70D1A41A-35F6-C242-8573-7B9044DD9FA8}" name="Column4808"/>
    <tableColumn id="4827" xr3:uid="{807F77D3-7674-3D40-958D-E0814554B6B0}" name="Column4809"/>
    <tableColumn id="4828" xr3:uid="{914C300C-F829-4A44-9C95-C1A222AECD23}" name="Column4810"/>
    <tableColumn id="4829" xr3:uid="{B1117458-BAD3-6A4B-A1BB-2BD825D0C7E8}" name="Column4811"/>
    <tableColumn id="4830" xr3:uid="{2DE81603-5A23-3A48-8BAF-2D5F4A823E04}" name="Column4812"/>
    <tableColumn id="4831" xr3:uid="{6E3BA687-BDB0-EE46-B3BC-9E7A7468C4DD}" name="Column4813"/>
    <tableColumn id="4832" xr3:uid="{24800D04-A0B3-AC44-8042-6ADE2C058E29}" name="Column4814"/>
    <tableColumn id="4833" xr3:uid="{9D3B9004-D3FC-0A4C-A1F9-9B94F99F119D}" name="Column4815"/>
    <tableColumn id="4834" xr3:uid="{53673D3E-A7BB-054C-8CB9-25C7C1549082}" name="Column4816"/>
    <tableColumn id="4835" xr3:uid="{7E09BC7F-5707-FD48-BAE6-277EAE18D8E2}" name="Column4817"/>
    <tableColumn id="4836" xr3:uid="{022FDF8B-B66A-2644-85AA-F2B7A2D4D077}" name="Column4818"/>
    <tableColumn id="4837" xr3:uid="{AC083C43-3205-164F-997A-C7FD31FE307E}" name="Column4819"/>
    <tableColumn id="4838" xr3:uid="{B5258999-456A-3040-98D2-70A67E770584}" name="Column4820"/>
    <tableColumn id="4839" xr3:uid="{8B755236-2D6B-0E4F-BDCB-9A85AD89F854}" name="Column4821"/>
    <tableColumn id="4840" xr3:uid="{4E7B90DC-AB3F-8F4E-9A81-E4C39AA9B8E5}" name="Column4822"/>
    <tableColumn id="4841" xr3:uid="{03E6357B-9682-244B-84D6-BB49C9F764A2}" name="Column4823"/>
    <tableColumn id="4842" xr3:uid="{889B3288-07D5-624A-B6C6-AB98458DC3C7}" name="Column4824"/>
    <tableColumn id="4843" xr3:uid="{8EE723D1-0122-354D-99EC-2EE79C2DB15D}" name="Column4825"/>
    <tableColumn id="4844" xr3:uid="{91D6CFB2-E18E-F146-B776-2618BF46BF2B}" name="Column4826"/>
    <tableColumn id="4845" xr3:uid="{71E47152-67A7-DA4E-8A2E-64A701266DDC}" name="Column4827"/>
    <tableColumn id="4846" xr3:uid="{14F90973-2F36-A64C-86C6-E5378F09CFD9}" name="Column4828"/>
    <tableColumn id="4847" xr3:uid="{B149DC75-49B5-D843-8D9A-A9A40753BE38}" name="Column4829"/>
    <tableColumn id="4848" xr3:uid="{11EA5BCE-454F-AA42-A447-B452D5C5D7BF}" name="Column4830"/>
    <tableColumn id="4849" xr3:uid="{39FFB728-283B-5F40-87D7-1273DA1D93A4}" name="Column4831"/>
    <tableColumn id="4850" xr3:uid="{DAF5B8B6-A60B-C84C-BF26-158B8E72D7B8}" name="Column4832"/>
    <tableColumn id="4851" xr3:uid="{F91EB322-04B0-5242-8A6B-A98AF869A974}" name="Column4833"/>
    <tableColumn id="4852" xr3:uid="{564A417E-EFB9-DD4F-A3E6-63BF067D5930}" name="Column4834"/>
    <tableColumn id="4853" xr3:uid="{441E613F-61BB-C847-9490-B986D7A372A1}" name="Column4835"/>
    <tableColumn id="4854" xr3:uid="{48DB619C-BFC6-D74F-B631-538EF4327704}" name="Column4836"/>
    <tableColumn id="4855" xr3:uid="{96CF9D0A-0AB9-4344-9DAA-41436C43B615}" name="Column4837"/>
    <tableColumn id="4856" xr3:uid="{FF6089D6-FEB4-BE42-AD83-3133763B44BC}" name="Column4838"/>
    <tableColumn id="4857" xr3:uid="{9B4764B0-1645-2748-BB17-21DC0C4D5386}" name="Column4839"/>
    <tableColumn id="4858" xr3:uid="{865BDDCF-821E-3641-8888-B49999D39E30}" name="Column4840"/>
    <tableColumn id="4859" xr3:uid="{8E569C5D-6782-C346-9A8B-A8804C653CF4}" name="Column4841"/>
    <tableColumn id="4860" xr3:uid="{4E0269CE-464D-614E-9BCE-67C7F0CBE242}" name="Column4842"/>
    <tableColumn id="4861" xr3:uid="{5193E093-D30C-6E4F-976F-F5D319FB211B}" name="Column4843"/>
    <tableColumn id="4862" xr3:uid="{7826DAB3-1FA8-7046-AEA3-152441C64306}" name="Column4844"/>
    <tableColumn id="4863" xr3:uid="{19E8E98D-AA63-BA41-8ADF-1B9DAAF73110}" name="Column4845"/>
    <tableColumn id="4864" xr3:uid="{94F0C2C6-6950-8E47-B15A-9FC40CC248A0}" name="Column4846"/>
    <tableColumn id="4865" xr3:uid="{E4A48CB4-E834-3D42-A6A4-E2EC2A618DAC}" name="Column4847"/>
    <tableColumn id="4866" xr3:uid="{8A675387-3317-D94C-8609-80170310E205}" name="Column4848"/>
    <tableColumn id="4867" xr3:uid="{A79B7309-7282-FF48-AA32-C220C8F51346}" name="Column4849"/>
    <tableColumn id="4868" xr3:uid="{6F1E194E-8D81-894A-9BF2-E7CD0309C12C}" name="Column4850"/>
    <tableColumn id="4869" xr3:uid="{097360DD-46B6-694A-8B18-728727A5D0D6}" name="Column4851"/>
    <tableColumn id="4870" xr3:uid="{A7CBF768-2BB6-F84D-ADDA-BB317D27713A}" name="Column4852"/>
    <tableColumn id="4871" xr3:uid="{40682C5A-C92F-F249-919C-6687108FF5D3}" name="Column4853"/>
    <tableColumn id="4872" xr3:uid="{E219A98A-D89E-0C44-8273-69D5A5FA6E4E}" name="Column4854"/>
    <tableColumn id="4873" xr3:uid="{2F22BD4B-F949-4144-8981-A454ACC48637}" name="Column4855"/>
    <tableColumn id="4874" xr3:uid="{608042A2-0AF0-6046-B31D-EFA851394D77}" name="Column4856"/>
    <tableColumn id="4875" xr3:uid="{8F0957BD-7C87-E447-8265-D18BC3442E2D}" name="Column4857"/>
    <tableColumn id="4876" xr3:uid="{C814A073-34F0-0C49-966D-E527298DD116}" name="Column4858"/>
    <tableColumn id="4877" xr3:uid="{86A9C4DA-BB9E-F14F-BD45-54048DC52F63}" name="Column4859"/>
    <tableColumn id="4878" xr3:uid="{619D73CC-6EC3-3F48-A620-423CE89FC9E9}" name="Column4860"/>
    <tableColumn id="4879" xr3:uid="{E13393B9-6DCB-B64B-8BA8-A5EC1376E860}" name="Column4861"/>
    <tableColumn id="4880" xr3:uid="{7F33B17C-BDEC-994C-BF32-96E94FD36CF9}" name="Column4862"/>
    <tableColumn id="4881" xr3:uid="{F5F93CD7-D065-DA48-B037-7333CA3F2D3C}" name="Column4863"/>
    <tableColumn id="4882" xr3:uid="{AB6C0694-9763-4F40-A307-7712539BC4B8}" name="Column4864"/>
    <tableColumn id="4883" xr3:uid="{CB6C9BCD-9758-2F40-B743-59FBF32DB36C}" name="Column4865"/>
    <tableColumn id="4884" xr3:uid="{C330A7DC-D95A-D945-8E4C-ACDA8FA30E98}" name="Column4866"/>
    <tableColumn id="4885" xr3:uid="{717C4EE0-4078-1048-8983-7AD7BCA20C71}" name="Column4867"/>
    <tableColumn id="4886" xr3:uid="{950A279F-BB96-674E-86D7-F40B95A89D7D}" name="Column4868"/>
    <tableColumn id="4887" xr3:uid="{6260469A-876E-6F46-B740-19EB1A0AF41A}" name="Column4869"/>
    <tableColumn id="4888" xr3:uid="{44CC62EC-F38A-B646-9208-6FA1C1907E79}" name="Column4870"/>
    <tableColumn id="4889" xr3:uid="{67D50E8A-EED1-0A46-8496-6CDA4944B378}" name="Column4871"/>
    <tableColumn id="4890" xr3:uid="{ECFFC9CA-D241-994B-9005-CF1511A3814C}" name="Column4872"/>
    <tableColumn id="4891" xr3:uid="{0A687D6E-A53E-2E4A-9D72-14B614A22B3E}" name="Column4873"/>
    <tableColumn id="4892" xr3:uid="{8FB3FE5D-AF32-D04B-B220-BE0E577341A4}" name="Column4874"/>
    <tableColumn id="4893" xr3:uid="{6368F270-C63F-3644-9575-DB59401E24E8}" name="Column4875"/>
    <tableColumn id="4894" xr3:uid="{DF5856DA-1D7F-EB4F-8AFA-527E4260DAD4}" name="Column4876"/>
    <tableColumn id="4895" xr3:uid="{1A3C126C-5600-C14E-AFFE-437AD97D00C1}" name="Column4877"/>
    <tableColumn id="4896" xr3:uid="{950B5A74-9E94-EB48-ACB5-2B794A7EBC8C}" name="Column4878"/>
    <tableColumn id="4897" xr3:uid="{856FA5D8-7729-B541-9BE1-33116D5219B9}" name="Column4879"/>
    <tableColumn id="4898" xr3:uid="{99058661-8A0B-FA49-BD49-3325208FF562}" name="Column4880"/>
    <tableColumn id="4899" xr3:uid="{0B411A08-BA9F-4142-8746-C2E8AF5A29C0}" name="Column4881"/>
    <tableColumn id="4900" xr3:uid="{1FA7FB5D-A130-3944-AA4E-C4E63EF9FDDD}" name="Column4882"/>
    <tableColumn id="4901" xr3:uid="{7CBEB93E-7DD2-D542-B23F-AECE766D45B3}" name="Column4883"/>
    <tableColumn id="4902" xr3:uid="{5E8991C8-48DE-2843-A049-DCDFC0C8DEE4}" name="Column4884"/>
    <tableColumn id="4903" xr3:uid="{5521AE71-4A33-E34E-BBA7-4A9608B486EB}" name="Column4885"/>
    <tableColumn id="4904" xr3:uid="{B4923065-790B-D74C-AFE1-FD312A8A2B6D}" name="Column4886"/>
    <tableColumn id="4905" xr3:uid="{810047E4-3678-3D4E-A3D1-E113CD19E3C8}" name="Column4887"/>
    <tableColumn id="4906" xr3:uid="{9E6C95DD-DE68-A348-81EA-08FFD8CBA901}" name="Column4888"/>
    <tableColumn id="4907" xr3:uid="{1404EF60-E37B-654F-9862-0DA5A6378F39}" name="Column4889"/>
    <tableColumn id="4908" xr3:uid="{F2EFBB36-B6B8-B448-BBA3-03021BDDD0D2}" name="Column4890"/>
    <tableColumn id="4909" xr3:uid="{BDB727B1-6F7D-1F4C-A16E-7B35DFD0E7D3}" name="Column4891"/>
    <tableColumn id="4910" xr3:uid="{8D5EBBA7-0ADF-724C-8DBF-1FF708C8EF95}" name="Column4892"/>
    <tableColumn id="4911" xr3:uid="{D6733716-5979-124F-A3F2-714EE1E31AE6}" name="Column4893"/>
    <tableColumn id="4912" xr3:uid="{000E62EB-6D6F-AF4B-9EE2-0BA8F994427A}" name="Column4894"/>
    <tableColumn id="4913" xr3:uid="{9B984457-E78E-DD4B-877E-6E69CD324524}" name="Column4895"/>
    <tableColumn id="4914" xr3:uid="{DA13AF43-F262-6044-B2FA-A5EA307DD0CD}" name="Column4896"/>
    <tableColumn id="4915" xr3:uid="{8E3A8C30-C883-3448-81CC-353F6F39C325}" name="Column4897"/>
    <tableColumn id="4916" xr3:uid="{F6FA8F90-3DEC-3248-85A0-6A3A52737ABD}" name="Column4898"/>
    <tableColumn id="4917" xr3:uid="{D3BF1C09-2D14-9E4B-961F-4CA2C0FD3442}" name="Column4899"/>
    <tableColumn id="4918" xr3:uid="{0A5A2193-233F-5A42-A75D-E49F2794EB10}" name="Column4900"/>
    <tableColumn id="4919" xr3:uid="{E023C38F-8B11-3745-A86C-0B0E52D8E7FC}" name="Column4901"/>
    <tableColumn id="4920" xr3:uid="{725F979C-BFC4-244A-92D2-8896CE14C6E0}" name="Column4902"/>
    <tableColumn id="4921" xr3:uid="{1B76567D-B6C1-DE4F-BDE8-4607A51A04ED}" name="Column4903"/>
    <tableColumn id="4922" xr3:uid="{C08A2EEA-D1EA-A84E-A8EE-6C9CCC2FC1FC}" name="Column4904"/>
    <tableColumn id="4923" xr3:uid="{F1664F57-22FC-1041-816E-86563A9F24CC}" name="Column4905"/>
    <tableColumn id="4924" xr3:uid="{0F717E7B-711F-1940-856B-DEBAA18B98C0}" name="Column4906"/>
    <tableColumn id="4925" xr3:uid="{AF70999C-E024-0941-8F52-72159EF99509}" name="Column4907"/>
    <tableColumn id="4926" xr3:uid="{0C5886FF-FAF2-6948-862E-FD6EFBA08768}" name="Column4908"/>
    <tableColumn id="4927" xr3:uid="{F60D90BF-D586-8849-B617-B37000B5A7E0}" name="Column4909"/>
    <tableColumn id="4928" xr3:uid="{E90C2894-DFE9-E74E-91DA-6997C6C5DBF1}" name="Column4910"/>
    <tableColumn id="4929" xr3:uid="{D1F88A36-097D-A54D-BC2D-BEDA70B05B6D}" name="Column4911"/>
    <tableColumn id="4930" xr3:uid="{7D567DE5-6505-2647-8E08-09ADA14C0918}" name="Column4912"/>
    <tableColumn id="4931" xr3:uid="{0E927EE6-C281-3546-B753-24D05CBC5504}" name="Column4913"/>
    <tableColumn id="4932" xr3:uid="{5233A18A-A933-8B4E-96BF-D13404F4FE62}" name="Column4914"/>
    <tableColumn id="4933" xr3:uid="{2C55540D-1236-9D4F-A7F4-54B307C20A71}" name="Column4915"/>
    <tableColumn id="4934" xr3:uid="{8D315998-1F21-D940-92AB-3DD5195B4522}" name="Column4916"/>
    <tableColumn id="4935" xr3:uid="{3B169569-5E1A-4641-8616-85EE6018176E}" name="Column4917"/>
    <tableColumn id="4936" xr3:uid="{0311CC46-18DE-0C4F-B762-6C82C3A08AD0}" name="Column4918"/>
    <tableColumn id="4937" xr3:uid="{E449C309-E91B-4644-8C47-4AED8548C5E1}" name="Column4919"/>
    <tableColumn id="4938" xr3:uid="{08EACDC4-5D14-4043-BB90-E71449116C94}" name="Column4920"/>
    <tableColumn id="4939" xr3:uid="{98D62D3E-7745-524C-9D39-89E8016DF5E9}" name="Column4921"/>
    <tableColumn id="4940" xr3:uid="{4C4E046D-C466-2C42-80EC-F1C83CEDC728}" name="Column4922"/>
    <tableColumn id="4941" xr3:uid="{A8753A86-1459-E047-85BC-FD63CE622E57}" name="Column4923"/>
    <tableColumn id="4942" xr3:uid="{1C37E0ED-6B96-234D-832A-E1A96CB1B436}" name="Column4924"/>
    <tableColumn id="4943" xr3:uid="{D05B68C6-5522-204B-A9F2-EDE147B9C5D5}" name="Column4925"/>
    <tableColumn id="4944" xr3:uid="{7EB129B5-26D4-3C44-AEB6-E64BC6B28E88}" name="Column4926"/>
    <tableColumn id="4945" xr3:uid="{EA940FFE-686E-AF41-9738-B39D65A23535}" name="Column4927"/>
    <tableColumn id="4946" xr3:uid="{2B314716-955A-EB42-BF32-F0641A2667C4}" name="Column4928"/>
    <tableColumn id="4947" xr3:uid="{4E47E660-2633-9D46-B52F-4B3568BE61D9}" name="Column4929"/>
    <tableColumn id="4948" xr3:uid="{96DBBFBD-4142-EE4F-8392-E66E59795763}" name="Column4930"/>
    <tableColumn id="4949" xr3:uid="{33257C32-3F78-3C42-AC95-CA3B14F42109}" name="Column4931"/>
    <tableColumn id="4950" xr3:uid="{A525473D-9F74-F849-B2FA-BAACE4265370}" name="Column4932"/>
    <tableColumn id="4951" xr3:uid="{D73B33F4-D752-714A-BB40-BD10C45678C1}" name="Column4933"/>
    <tableColumn id="4952" xr3:uid="{34B1E493-4E42-DF4E-B0D9-77979FC747F0}" name="Column4934"/>
    <tableColumn id="4953" xr3:uid="{4C168E9A-44AB-9840-9009-33D251C83871}" name="Column4935"/>
    <tableColumn id="4954" xr3:uid="{BDB4CAB0-B1B4-FE4E-A338-A5416385A4D8}" name="Column4936"/>
    <tableColumn id="4955" xr3:uid="{B900344C-99FA-DB41-8C76-AF49C0DFA722}" name="Column4937"/>
    <tableColumn id="4956" xr3:uid="{3831E5D5-D6B6-754A-A9FC-D1434076460E}" name="Column4938"/>
    <tableColumn id="4957" xr3:uid="{96DA20F8-2CBC-3549-ABA8-D068F1B128C4}" name="Column4939"/>
    <tableColumn id="4958" xr3:uid="{D891BE91-72A6-7342-A5F4-96A5849EF2EA}" name="Column4940"/>
    <tableColumn id="4959" xr3:uid="{4877C291-1F5F-594C-AF84-220BEB466B99}" name="Column4941"/>
    <tableColumn id="4960" xr3:uid="{F385A7F4-C354-8542-8552-7EA6FC8CF597}" name="Column4942"/>
    <tableColumn id="4961" xr3:uid="{0A5C94E9-D3F6-5D4E-8066-3566827D61B7}" name="Column4943"/>
    <tableColumn id="4962" xr3:uid="{6795A90E-F5B2-A149-8163-37764D4DD55D}" name="Column4944"/>
    <tableColumn id="4963" xr3:uid="{AE708648-2DC8-564E-930E-6EA456F4C67B}" name="Column4945"/>
    <tableColumn id="4964" xr3:uid="{B80C4C5D-D294-6C44-B5B8-638C7204427F}" name="Column4946"/>
    <tableColumn id="4965" xr3:uid="{7A0451D1-A4CE-CD44-9618-689ED1E50663}" name="Column4947"/>
    <tableColumn id="4966" xr3:uid="{227DC5F6-DCFE-A143-94EC-D24E52973EC3}" name="Column4948"/>
    <tableColumn id="4967" xr3:uid="{EF64C2E8-E690-5841-AC4E-F8716AB7E29C}" name="Column4949"/>
    <tableColumn id="4968" xr3:uid="{D77F9BB3-AE16-9B4E-B7D7-52C5CB099CCF}" name="Column4950"/>
    <tableColumn id="4969" xr3:uid="{0E83C0DC-293F-9E46-942F-9081F2FAD259}" name="Column4951"/>
    <tableColumn id="4970" xr3:uid="{CCA6F661-B676-E646-AA08-025B9EB29779}" name="Column4952"/>
    <tableColumn id="4971" xr3:uid="{DB49DEE4-2BF2-C041-9035-246F3E5AD98C}" name="Column4953"/>
    <tableColumn id="4972" xr3:uid="{6D266AA5-7DDD-F74E-B87D-C0BCC6F2148A}" name="Column4954"/>
    <tableColumn id="4973" xr3:uid="{3A5B6B6B-4C04-764B-9B57-B6DA0D29A80A}" name="Column4955"/>
    <tableColumn id="4974" xr3:uid="{F3C29770-291B-AF4A-8542-E316DB4C223A}" name="Column4956"/>
    <tableColumn id="4975" xr3:uid="{7C6A5F22-8888-9D48-B447-947560CF253A}" name="Column4957"/>
    <tableColumn id="4976" xr3:uid="{F015B3EB-6504-E445-9212-23DAA23816FF}" name="Column4958"/>
    <tableColumn id="4977" xr3:uid="{5B72E957-CD64-7A47-BDD3-C5BDE7D88DAC}" name="Column4959"/>
    <tableColumn id="4978" xr3:uid="{2C5C7F8A-35F4-B946-AE2C-B82ADBB790AC}" name="Column4960"/>
    <tableColumn id="4979" xr3:uid="{8F16DD36-2BCE-AD4A-8454-289BFF71AC0F}" name="Column4961"/>
    <tableColumn id="4980" xr3:uid="{5CFA2C0D-C2AD-7846-A02E-F0FA00EBE709}" name="Column4962"/>
    <tableColumn id="4981" xr3:uid="{935A5E72-8BCE-B446-BC1C-DC54EDBC3155}" name="Column4963"/>
    <tableColumn id="4982" xr3:uid="{DAB6E356-01F9-7043-A742-AB5992EAF57F}" name="Column4964"/>
    <tableColumn id="4983" xr3:uid="{A2009FE7-A944-D64F-A542-F41A74B249C6}" name="Column4965"/>
    <tableColumn id="4984" xr3:uid="{599CC6EB-B23E-4549-932F-8BEBE3813783}" name="Column4966"/>
    <tableColumn id="4985" xr3:uid="{16F40B1A-D844-3745-AAF5-27A689D93929}" name="Column4967"/>
    <tableColumn id="4986" xr3:uid="{D0170982-6270-AF44-8E7C-81DEAA78CDA4}" name="Column4968"/>
    <tableColumn id="4987" xr3:uid="{22516E57-005C-AF40-B9FA-3A7D80EDD8F8}" name="Column4969"/>
    <tableColumn id="4988" xr3:uid="{8759351E-C992-4849-8BBD-AA33B79E9FB6}" name="Column4970"/>
    <tableColumn id="4989" xr3:uid="{DE28B1C6-2C7A-3C4F-8A3E-BF3F9BFA49D0}" name="Column4971"/>
    <tableColumn id="4990" xr3:uid="{23F9EE19-3276-CB43-A809-C7CE3F845624}" name="Column4972"/>
    <tableColumn id="4991" xr3:uid="{4BB677A1-F917-F64B-86EC-5F3D5BE03E4A}" name="Column4973"/>
    <tableColumn id="4992" xr3:uid="{CE8968A5-26A3-8B43-B482-1E5B54163BF1}" name="Column4974"/>
    <tableColumn id="4993" xr3:uid="{B4B6549C-7747-B648-A6E6-C529965D1DA1}" name="Column4975"/>
    <tableColumn id="4994" xr3:uid="{87D02A75-6CAD-3D46-8640-A3259CE193BF}" name="Column4976"/>
    <tableColumn id="4995" xr3:uid="{F845A66B-8AE7-684B-88FB-876C46D67232}" name="Column4977"/>
    <tableColumn id="4996" xr3:uid="{0B6C7064-94ED-8942-93E6-EE137C6EC53E}" name="Column4978"/>
    <tableColumn id="4997" xr3:uid="{5CA52FED-1A22-4141-945A-706226B9C7A9}" name="Column4979"/>
    <tableColumn id="4998" xr3:uid="{95685B79-16EA-F04C-B135-4EBA0D402EB9}" name="Column4980"/>
    <tableColumn id="4999" xr3:uid="{2FA3E0F7-6797-CB4D-B332-28E0C5B99C21}" name="Column4981"/>
    <tableColumn id="5000" xr3:uid="{ACA3F7A8-CDB2-ED4F-A3F7-0EDAB0A3B1E6}" name="Column4982"/>
    <tableColumn id="5001" xr3:uid="{663F3891-A50A-AA4F-8A7A-E7F7E85126A9}" name="Column4983"/>
    <tableColumn id="5002" xr3:uid="{232038CC-61A7-6044-BE8C-6C8AEE1542FD}" name="Column4984"/>
    <tableColumn id="5003" xr3:uid="{23EE117C-A133-D246-93C1-301EB1B5439E}" name="Column4985"/>
    <tableColumn id="5004" xr3:uid="{0E35BD01-64A7-F141-97E0-6B088BB0ACCD}" name="Column4986"/>
    <tableColumn id="5005" xr3:uid="{F9E6DCBB-6BD0-524D-9602-BF323CCD93D4}" name="Column4987"/>
    <tableColumn id="5006" xr3:uid="{7338D0F4-682C-9E42-A811-E398E313705D}" name="Column4988"/>
    <tableColumn id="5007" xr3:uid="{8E5B5081-3539-ED4C-96A9-5A0BFE94CA62}" name="Column4989"/>
    <tableColumn id="5008" xr3:uid="{8B076C68-77A8-C849-B173-3AE9DE0BEFA0}" name="Column4990"/>
    <tableColumn id="5009" xr3:uid="{1F49E51B-A834-3A49-8E22-7D440ABC7DC5}" name="Column4991"/>
    <tableColumn id="5010" xr3:uid="{255F9166-D727-0441-A7E1-9728553CEE5C}" name="Column4992"/>
    <tableColumn id="5011" xr3:uid="{40B7E99F-3B02-5C45-8A07-053C0A5DC12D}" name="Column4993"/>
    <tableColumn id="5012" xr3:uid="{F64A363B-DDFE-054F-998B-4E91B32B02F1}" name="Column4994"/>
    <tableColumn id="5013" xr3:uid="{453ADB5C-F82D-8E4F-890F-B13A6A5347BA}" name="Column4995"/>
    <tableColumn id="5014" xr3:uid="{677BF1BB-F9B8-9F47-9B85-5FFAB8104843}" name="Column4996"/>
    <tableColumn id="5015" xr3:uid="{E971082C-04F6-294C-BB7A-5B2072581DEE}" name="Column4997"/>
    <tableColumn id="5016" xr3:uid="{678BEA2A-E708-264F-AD1C-0087B073A7FD}" name="Column4998"/>
    <tableColumn id="5017" xr3:uid="{D48F36B2-43EA-4843-91D0-C4E6EE5F91C7}" name="Column4999"/>
    <tableColumn id="5018" xr3:uid="{7840C8C0-E14A-E441-863E-630CE955EDD5}" name="Column5000"/>
    <tableColumn id="5019" xr3:uid="{1516F10C-7EDD-A548-BFCE-509581CADE7A}" name="Column5001"/>
    <tableColumn id="5020" xr3:uid="{9C91D40E-334C-6B4F-81B8-7F87756D789B}" name="Column5002"/>
    <tableColumn id="5021" xr3:uid="{33A1FFA5-744A-454F-ABD7-F7D7A0F8AA67}" name="Column5003"/>
    <tableColumn id="5022" xr3:uid="{B534C535-D993-0441-8383-9D53AE072BD1}" name="Column5004"/>
    <tableColumn id="5023" xr3:uid="{8847C7A0-AB5C-F944-8B45-D5EFD8A11717}" name="Column5005"/>
    <tableColumn id="5024" xr3:uid="{9619EB3F-06E8-5343-99EB-CE50AE528E60}" name="Column5006"/>
    <tableColumn id="5025" xr3:uid="{B93EDFE3-7AD2-7B46-B15B-DE03A151D2EF}" name="Column5007"/>
    <tableColumn id="5026" xr3:uid="{3B627B29-B3D2-634E-8EAF-93AA373BD1BD}" name="Column5008"/>
    <tableColumn id="5027" xr3:uid="{C56F30EE-E613-2643-918C-35403F32BE56}" name="Column5009"/>
    <tableColumn id="5028" xr3:uid="{EED9707D-B4C6-D44B-94A0-A0F077E63DAC}" name="Column5010"/>
    <tableColumn id="5029" xr3:uid="{D6D5FA6D-DC51-7442-A1EF-BD0FB06B9918}" name="Column5011"/>
    <tableColumn id="5030" xr3:uid="{7EA7CB7A-4AA0-5C49-B00F-0ED656219648}" name="Column5012"/>
    <tableColumn id="5031" xr3:uid="{0A6CDF32-076C-9741-AD77-86F71FF93A69}" name="Column5013"/>
    <tableColumn id="5032" xr3:uid="{FC7C5E6B-DE74-2F49-91BC-42F7BE157BCA}" name="Column5014"/>
    <tableColumn id="5033" xr3:uid="{760692C1-440A-2D48-9F17-05DB9ADB74A3}" name="Column5015"/>
    <tableColumn id="5034" xr3:uid="{283AF981-7B15-C147-9D95-7171BE9D1811}" name="Column5016"/>
    <tableColumn id="5035" xr3:uid="{B570E290-A981-2D41-9B8E-7C1D929FA0F8}" name="Column5017"/>
    <tableColumn id="5036" xr3:uid="{12F4FC3E-B6E4-E940-8B13-5C79D737060C}" name="Column5018"/>
    <tableColumn id="5037" xr3:uid="{7018C9BE-DF51-964B-93AC-D9885A3FF566}" name="Column5019"/>
    <tableColumn id="5038" xr3:uid="{CE878274-5FC2-5A4D-BFFB-1426B97C9D3F}" name="Column5020"/>
    <tableColumn id="5039" xr3:uid="{3B76D843-9632-984F-9E55-AEA89D921ED6}" name="Column5021"/>
    <tableColumn id="5040" xr3:uid="{D5089001-A0ED-D544-9447-CFC13EDF3ED8}" name="Column5022"/>
    <tableColumn id="5041" xr3:uid="{7607C1D4-BB99-7048-A47C-7C60F6A18754}" name="Column5023"/>
    <tableColumn id="5042" xr3:uid="{11E5AAD5-901A-3045-8B4E-A57FADF45BA5}" name="Column5024"/>
    <tableColumn id="5043" xr3:uid="{7A5389B8-EFD0-9840-8E49-F9574F3D2EE3}" name="Column5025"/>
    <tableColumn id="5044" xr3:uid="{BFD22263-F4AE-7E41-A94D-7173B96EA2BA}" name="Column5026"/>
    <tableColumn id="5045" xr3:uid="{3EEACB9A-44C0-E74E-AAD4-1FB95B329DE5}" name="Column5027"/>
    <tableColumn id="5046" xr3:uid="{47D5855E-9848-4E41-916F-C05BA3712E07}" name="Column5028"/>
    <tableColumn id="5047" xr3:uid="{7EF46971-03B5-8445-9DC9-73097FEA19B1}" name="Column5029"/>
    <tableColumn id="5048" xr3:uid="{1DFFF45C-F158-134F-BB31-EEB8584B64C2}" name="Column5030"/>
    <tableColumn id="5049" xr3:uid="{BDBC9C01-F524-2F47-A788-79400BD7F33F}" name="Column5031"/>
    <tableColumn id="5050" xr3:uid="{BBBACC43-D33C-5243-8C9D-E6C8304B944F}" name="Column5032"/>
    <tableColumn id="5051" xr3:uid="{619D283C-7389-1441-AA3D-82A40C791F7B}" name="Column5033"/>
    <tableColumn id="5052" xr3:uid="{1A04056D-419B-7C44-B999-54D09F629707}" name="Column5034"/>
    <tableColumn id="5053" xr3:uid="{504AD59C-44FB-FA47-9514-9C6DECC975CE}" name="Column5035"/>
    <tableColumn id="5054" xr3:uid="{E23FDE71-C940-0447-B071-38D2953AD96E}" name="Column5036"/>
    <tableColumn id="5055" xr3:uid="{BE4F1CF5-0DC2-A147-995F-6F5EFFA4160E}" name="Column5037"/>
    <tableColumn id="5056" xr3:uid="{B5F81DB9-41F0-A848-B05A-B0CE632189BB}" name="Column5038"/>
    <tableColumn id="5057" xr3:uid="{165F005F-B9EA-4C45-8286-36078A169354}" name="Column5039"/>
    <tableColumn id="5058" xr3:uid="{F7F2D1EC-D2CB-924F-8C85-7F6B9655E1A5}" name="Column5040"/>
    <tableColumn id="5059" xr3:uid="{3832D440-4B89-C34F-8846-5EEB51AD1FC0}" name="Column5041"/>
    <tableColumn id="5060" xr3:uid="{E514D9DA-807E-4C4B-BFA6-4C400A96742A}" name="Column5042"/>
    <tableColumn id="5061" xr3:uid="{5E8BE970-1942-2646-81EF-E9268DEB6A75}" name="Column5043"/>
    <tableColumn id="5062" xr3:uid="{3F8B8919-D1FE-9F4A-8764-7E3255FD4856}" name="Column5044"/>
    <tableColumn id="5063" xr3:uid="{7BF037A0-94C8-F14A-A2B3-19AF11471431}" name="Column5045"/>
    <tableColumn id="5064" xr3:uid="{8A3BB11A-1FB4-C344-B52E-B7073684D78C}" name="Column5046"/>
    <tableColumn id="5065" xr3:uid="{E66AE3C4-52D4-0842-AA46-E4FDC7F37F8E}" name="Column5047"/>
    <tableColumn id="5066" xr3:uid="{B3FA48C8-3426-7B46-ADE8-1944424A64AA}" name="Column5048"/>
    <tableColumn id="5067" xr3:uid="{91066154-17E1-6945-8CAD-D45DFEB28455}" name="Column5049"/>
    <tableColumn id="5068" xr3:uid="{C8986F96-EEE6-3B48-A6F8-87E829593092}" name="Column5050"/>
    <tableColumn id="5069" xr3:uid="{15CC36D3-2C55-4244-8797-BD7DD7E7875D}" name="Column5051"/>
    <tableColumn id="5070" xr3:uid="{AB1455A8-3974-E241-8E25-D499C66C534C}" name="Column5052"/>
    <tableColumn id="5071" xr3:uid="{8419944B-2342-5A4D-B1E5-5ED4C4C2A2D2}" name="Column5053"/>
    <tableColumn id="5072" xr3:uid="{09680AF3-CE44-954D-9762-6A7A7DCD5224}" name="Column5054"/>
    <tableColumn id="5073" xr3:uid="{6E04B984-6C62-094B-B3FD-5924D2A365D9}" name="Column5055"/>
    <tableColumn id="5074" xr3:uid="{A0FE373C-601C-E54B-A071-D9131EE14200}" name="Column5056"/>
    <tableColumn id="5075" xr3:uid="{90B0501A-DBA4-F142-A37D-C92BDB3F9D1F}" name="Column5057"/>
    <tableColumn id="5076" xr3:uid="{AE0FA800-12EB-1A4A-ABD9-33111487A694}" name="Column5058"/>
    <tableColumn id="5077" xr3:uid="{64DEDA61-E1E8-B44F-B7A9-EA48B7FE3018}" name="Column5059"/>
    <tableColumn id="5078" xr3:uid="{86317411-465D-3748-9AFE-36FD66114462}" name="Column5060"/>
    <tableColumn id="5079" xr3:uid="{F523E44D-6A2B-5B4B-AAC7-FE7695EE0DBF}" name="Column5061"/>
    <tableColumn id="5080" xr3:uid="{ACDA0C93-5B3A-1749-9F50-252016AFAD17}" name="Column5062"/>
    <tableColumn id="5081" xr3:uid="{877BB86C-027B-6349-BE10-17F4E7087D68}" name="Column5063"/>
    <tableColumn id="5082" xr3:uid="{754B6879-43CC-A74C-9528-6DFC03C4F9B5}" name="Column5064"/>
    <tableColumn id="5083" xr3:uid="{C52EF26D-B87E-5C42-8DE8-AF03CE7E63F3}" name="Column5065"/>
    <tableColumn id="5084" xr3:uid="{212E019E-6D57-9F45-920F-A4E8FB7E5E0C}" name="Column5066"/>
    <tableColumn id="5085" xr3:uid="{A64B6D94-80A4-8746-95FB-C674A11FAD79}" name="Column5067"/>
    <tableColumn id="5086" xr3:uid="{B9303D3D-25CE-C140-81C9-F3EA1C3C88E8}" name="Column5068"/>
    <tableColumn id="5087" xr3:uid="{EF12D18F-8914-3747-A1CB-5D3E8321EF76}" name="Column5069"/>
    <tableColumn id="5088" xr3:uid="{0AC7D7C7-6433-9E40-9FC1-F7EA01DB6A5D}" name="Column5070"/>
    <tableColumn id="5089" xr3:uid="{32CAE9DF-CC34-0A44-A3BF-F9207BB7989B}" name="Column5071"/>
    <tableColumn id="5090" xr3:uid="{94E67BB5-CB17-764E-BE83-2670B8479142}" name="Column5072"/>
    <tableColumn id="5091" xr3:uid="{CFC4A610-FA3E-0942-BAA8-91012C216144}" name="Column5073"/>
    <tableColumn id="5092" xr3:uid="{512FE58D-8A19-C847-85CD-0CAF79DAE608}" name="Column5074"/>
    <tableColumn id="5093" xr3:uid="{605B95FF-E49B-E34F-939A-F317C6788B7D}" name="Column5075"/>
    <tableColumn id="5094" xr3:uid="{CF5773CE-32A3-A043-BF07-7292E0A008C0}" name="Column5076"/>
    <tableColumn id="5095" xr3:uid="{138EE2FF-66BD-B94A-B988-E58D0DBDFDE4}" name="Column5077"/>
    <tableColumn id="5096" xr3:uid="{BFB7CF91-4FA2-6A49-8E3A-C97DD7069B37}" name="Column5078"/>
    <tableColumn id="5097" xr3:uid="{91501358-8501-CE4B-ACCD-1AC644A6342F}" name="Column5079"/>
    <tableColumn id="5098" xr3:uid="{AB663167-C892-5E4F-A058-C59CF9FD677A}" name="Column5080"/>
    <tableColumn id="5099" xr3:uid="{4A3997DB-F721-CC4B-8AAB-CF4669A4448A}" name="Column5081"/>
    <tableColumn id="5100" xr3:uid="{346DBE83-0167-1C46-9940-803D3D6938FB}" name="Column5082"/>
    <tableColumn id="5101" xr3:uid="{83FCDBBD-0806-A247-A51A-91BAAF6290AA}" name="Column5083"/>
    <tableColumn id="5102" xr3:uid="{B63572B7-2E24-574A-9945-53FD1BB5F32F}" name="Column5084"/>
    <tableColumn id="5103" xr3:uid="{CD90D182-FF24-D843-89C9-4F34308ACD00}" name="Column5085"/>
    <tableColumn id="5104" xr3:uid="{CA9D951D-68C6-F746-BA3E-A82B7FC5E85E}" name="Column5086"/>
    <tableColumn id="5105" xr3:uid="{E025C417-173E-BE4F-9DD7-873AF6F74180}" name="Column5087"/>
    <tableColumn id="5106" xr3:uid="{66971A55-75C2-B14B-A59B-7517B120E72E}" name="Column5088"/>
    <tableColumn id="5107" xr3:uid="{8873BBBB-1BD6-7A48-8A53-9442D7173227}" name="Column5089"/>
    <tableColumn id="5108" xr3:uid="{5240C2CA-34EB-4C4A-95AA-2FF0DFE8B00B}" name="Column5090"/>
    <tableColumn id="5109" xr3:uid="{46E6FBA0-1D03-0243-B7F5-324ACCDBAC3A}" name="Column5091"/>
    <tableColumn id="5110" xr3:uid="{93C33DB5-F8D0-8648-89EE-36BD5178D51F}" name="Column5092"/>
    <tableColumn id="5111" xr3:uid="{2E4AC7B8-64E2-9D47-9BB9-BE73AAA8B528}" name="Column5093"/>
    <tableColumn id="5112" xr3:uid="{9E1755C7-CA0A-8D49-A0E1-5E0FEFC80D6F}" name="Column5094"/>
    <tableColumn id="5113" xr3:uid="{0D096FB2-C317-E346-A7B8-C3498E0E00BF}" name="Column5095"/>
    <tableColumn id="5114" xr3:uid="{5EF22C40-A802-EE46-B1C9-B31D727E20A8}" name="Column5096"/>
    <tableColumn id="5115" xr3:uid="{23E371A5-C462-4E45-BBE8-C8411A209263}" name="Column5097"/>
    <tableColumn id="5116" xr3:uid="{3B7DBD44-C6ED-3943-BFF8-9A0FD743A41E}" name="Column5098"/>
    <tableColumn id="5117" xr3:uid="{9B006465-56A3-6D4B-8D46-186D13F55771}" name="Column5099"/>
    <tableColumn id="5118" xr3:uid="{9D80D782-B235-5D43-9046-43A3033B1E0A}" name="Column5100"/>
    <tableColumn id="5119" xr3:uid="{CD99114A-80AB-3546-81B0-0846047A81C7}" name="Column5101"/>
    <tableColumn id="5120" xr3:uid="{D3A78652-0FEB-5D4D-BE16-8B9AD0C00BB2}" name="Column5102"/>
    <tableColumn id="5121" xr3:uid="{C950EFF3-5702-854B-AA51-76C083E74D8D}" name="Column5103"/>
    <tableColumn id="5122" xr3:uid="{D2E09F69-847C-8944-9964-981537151B2D}" name="Column5104"/>
    <tableColumn id="5123" xr3:uid="{CCE80965-002B-C341-9D00-9A69E2560E63}" name="Column5105"/>
    <tableColumn id="5124" xr3:uid="{D6E4FA40-F453-2243-A5C0-CA85D44FE004}" name="Column5106"/>
    <tableColumn id="5125" xr3:uid="{4B6E4D7C-294F-694D-B80C-31B2275DDB3A}" name="Column5107"/>
    <tableColumn id="5126" xr3:uid="{68E0DFCA-3D55-0B45-826D-AA8750406E3B}" name="Column5108"/>
    <tableColumn id="5127" xr3:uid="{DB1CC70C-C369-F94F-8CA0-506364433440}" name="Column5109"/>
    <tableColumn id="5128" xr3:uid="{DBBE33CB-6B15-9945-A500-B9D89B220897}" name="Column5110"/>
    <tableColumn id="5129" xr3:uid="{55038435-855E-AD4B-BAC8-820D4F61816A}" name="Column5111"/>
    <tableColumn id="5130" xr3:uid="{1629D7AE-B987-8347-99B7-E30C60993FB8}" name="Column5112"/>
    <tableColumn id="5131" xr3:uid="{34A3A28B-00E5-6D48-B6C7-C3D5E3A1BD1F}" name="Column5113"/>
    <tableColumn id="5132" xr3:uid="{46313122-1670-0945-9D1D-4740E0742EDE}" name="Column5114"/>
    <tableColumn id="5133" xr3:uid="{F2E18882-C1C0-2947-B483-C818E64BB64C}" name="Column5115"/>
    <tableColumn id="5134" xr3:uid="{AF3A3FED-399D-E54B-A53E-FBE2224C05EB}" name="Column5116"/>
    <tableColumn id="5135" xr3:uid="{4B415AF8-0AC5-0F43-838E-2E7C20CAD5B7}" name="Column5117"/>
    <tableColumn id="5136" xr3:uid="{CEBCEDDF-EF57-BF47-9E40-291723382369}" name="Column5118"/>
    <tableColumn id="5137" xr3:uid="{1FD374CA-5C25-4D41-B908-2B0C21D548D9}" name="Column5119"/>
    <tableColumn id="5138" xr3:uid="{AFB80CF1-3C09-C04B-B0D4-1B529C2B3978}" name="Column5120"/>
    <tableColumn id="5139" xr3:uid="{12086E4B-1918-0644-9EB3-4ABEE9696B1F}" name="Column5121"/>
    <tableColumn id="5140" xr3:uid="{230EFD55-1D44-814E-8C78-051C5EAED827}" name="Column5122"/>
    <tableColumn id="5141" xr3:uid="{A02BC738-2622-0B4F-943A-042E2BF347C0}" name="Column5123"/>
    <tableColumn id="5142" xr3:uid="{3C9A0CEB-524A-4046-B91B-F797DEB73F13}" name="Column5124"/>
    <tableColumn id="5143" xr3:uid="{65BBCABC-CF15-484B-80E2-4B432D24BAE7}" name="Column5125"/>
    <tableColumn id="5144" xr3:uid="{35BD3696-C320-C542-AD4E-3499E512A595}" name="Column5126"/>
    <tableColumn id="5145" xr3:uid="{365B37B7-D1A1-8142-8803-A845593A605B}" name="Column5127"/>
    <tableColumn id="5146" xr3:uid="{677DE8A5-9D2F-B444-ACAB-B30AFC9F8AAA}" name="Column5128"/>
    <tableColumn id="5147" xr3:uid="{073825D9-3FB5-E743-A25B-EE0ADAC55F0C}" name="Column5129"/>
    <tableColumn id="5148" xr3:uid="{DAA2A27D-30B0-6C4F-BBED-3366912959D3}" name="Column5130"/>
    <tableColumn id="5149" xr3:uid="{D1810F4C-FF11-DE40-B806-BFB655AF8E85}" name="Column5131"/>
    <tableColumn id="5150" xr3:uid="{9C7BC06E-AA7F-0A4B-A621-9BB578607C29}" name="Column5132"/>
    <tableColumn id="5151" xr3:uid="{8E610313-0851-9242-8E14-5E3087E43B2A}" name="Column5133"/>
    <tableColumn id="5152" xr3:uid="{2F2AB616-15E9-D940-B396-B3025C14AD13}" name="Column5134"/>
    <tableColumn id="5153" xr3:uid="{38051299-C4BB-2A40-822A-372C8AAC417B}" name="Column5135"/>
    <tableColumn id="5154" xr3:uid="{096636FC-DE45-8146-A516-C4744E65ECC9}" name="Column5136"/>
    <tableColumn id="5155" xr3:uid="{CAE0D81B-15A9-F64B-8FA9-6E4D3443B053}" name="Column5137"/>
    <tableColumn id="5156" xr3:uid="{54865A13-84E8-644D-ABFC-376F29DB7704}" name="Column5138"/>
    <tableColumn id="5157" xr3:uid="{5174E96B-D230-5A40-839F-4D65C544B988}" name="Column5139"/>
    <tableColumn id="5158" xr3:uid="{765CB8CA-62A0-7A4D-A452-609AAD4F0F48}" name="Column5140"/>
    <tableColumn id="5159" xr3:uid="{65BB3377-322D-AF42-AE16-6301738CA74A}" name="Column5141"/>
    <tableColumn id="5160" xr3:uid="{E237AD99-8659-E045-A4D7-77BC3593339A}" name="Column5142"/>
    <tableColumn id="5161" xr3:uid="{B89464B8-4FD1-0544-8D5F-1AB47E576905}" name="Column5143"/>
    <tableColumn id="5162" xr3:uid="{928F75F7-11AD-9240-A133-B3B9E563A560}" name="Column5144"/>
    <tableColumn id="5163" xr3:uid="{F150FB13-E151-C745-B3D2-7037209D2A24}" name="Column5145"/>
    <tableColumn id="5164" xr3:uid="{14522F54-40A7-8445-B07B-D639778C83A7}" name="Column5146"/>
    <tableColumn id="5165" xr3:uid="{4FD4918F-ABF6-7649-A0B3-8D9FA1F1F010}" name="Column5147"/>
    <tableColumn id="5166" xr3:uid="{E8E96A8E-E8E6-1942-A372-CCB6337EF991}" name="Column5148"/>
    <tableColumn id="5167" xr3:uid="{722B5A46-D035-5548-86BF-D808C92ADD74}" name="Column5149"/>
    <tableColumn id="5168" xr3:uid="{0D33172D-1356-6E42-BC5A-64780D2725EF}" name="Column5150"/>
    <tableColumn id="5169" xr3:uid="{D6139D8F-4ACF-364F-A3E0-A585735FF500}" name="Column5151"/>
    <tableColumn id="5170" xr3:uid="{89D73CE1-FF3A-BB48-8BDD-CEBD8CDB086E}" name="Column5152"/>
    <tableColumn id="5171" xr3:uid="{4875BC9E-AC61-8744-A92B-F1F3C6FF52AD}" name="Column5153"/>
    <tableColumn id="5172" xr3:uid="{CDDA660C-436A-514F-83E5-BAE9A6723A82}" name="Column5154"/>
    <tableColumn id="5173" xr3:uid="{C480CBDB-335C-6342-8219-A5AACA1AE28B}" name="Column5155"/>
    <tableColumn id="5174" xr3:uid="{908A169B-D699-FA43-897D-1C09EDA326DB}" name="Column5156"/>
    <tableColumn id="5175" xr3:uid="{D855B7E3-BECF-554C-A13C-56700074297E}" name="Column5157"/>
    <tableColumn id="5176" xr3:uid="{D8303689-2DB8-6A49-BD86-9EDD1EC001AA}" name="Column5158"/>
    <tableColumn id="5177" xr3:uid="{B01E8259-2705-8740-BE07-30CF41246A57}" name="Column5159"/>
    <tableColumn id="5178" xr3:uid="{4A4910EB-2012-0746-B312-6CF80F7E76E1}" name="Column5160"/>
    <tableColumn id="5179" xr3:uid="{8B91A4B4-C527-9A4F-A120-4F756FFE60AE}" name="Column5161"/>
    <tableColumn id="5180" xr3:uid="{898183BA-DCC2-CF4A-84FD-E953E65CEA5A}" name="Column5162"/>
    <tableColumn id="5181" xr3:uid="{4B3F9BC4-521A-714B-B39D-1AA8AF22345C}" name="Column5163"/>
    <tableColumn id="5182" xr3:uid="{10E13190-EEFD-FC4B-982A-66F8A4407811}" name="Column5164"/>
    <tableColumn id="5183" xr3:uid="{2319B842-0F8A-014A-B37B-51586C847A45}" name="Column5165"/>
    <tableColumn id="5184" xr3:uid="{AC58DD12-CAB5-1442-8F54-2C7DC6E95572}" name="Column5166"/>
    <tableColumn id="5185" xr3:uid="{ACF72406-0382-4444-9291-4776C70CBC89}" name="Column5167"/>
    <tableColumn id="5186" xr3:uid="{108AD99C-7AD3-EB48-89E4-0D056AAF30B2}" name="Column5168"/>
    <tableColumn id="5187" xr3:uid="{6780C726-1B2A-DA40-81FC-0930532F6725}" name="Column5169"/>
    <tableColumn id="5188" xr3:uid="{7124BE21-B309-7E41-AC43-F22CF202B462}" name="Column5170"/>
    <tableColumn id="5189" xr3:uid="{A3683A2C-0609-4040-87C6-3804F88A0BE9}" name="Column5171"/>
    <tableColumn id="5190" xr3:uid="{B0FB9625-9C7D-4E4E-B52F-31324ECB923D}" name="Column5172"/>
    <tableColumn id="5191" xr3:uid="{56FB0695-409F-C44C-B830-A29278248B05}" name="Column5173"/>
    <tableColumn id="5192" xr3:uid="{52EFDB33-6129-FA4F-8EDD-6C81B098227D}" name="Column5174"/>
    <tableColumn id="5193" xr3:uid="{687E9DA2-2806-8841-B131-EECFB03D1CBC}" name="Column5175"/>
    <tableColumn id="5194" xr3:uid="{0F1F19A9-E74E-E146-A85A-2BFEF2CB100D}" name="Column5176"/>
    <tableColumn id="5195" xr3:uid="{7836E8FE-F1D4-DD4D-87C8-9935EABB4C62}" name="Column5177"/>
    <tableColumn id="5196" xr3:uid="{477C33F5-8DAF-8B4D-B0DB-C217B9FEB5BB}" name="Column5178"/>
    <tableColumn id="5197" xr3:uid="{2CA855E3-804B-E144-BABF-2659C3A25385}" name="Column5179"/>
    <tableColumn id="5198" xr3:uid="{A06D7F79-3C8A-0746-82C0-1FE3C9697ACF}" name="Column5180"/>
    <tableColumn id="5199" xr3:uid="{EBA9D3F5-A288-D64A-AA84-E4EDBFA67A76}" name="Column5181"/>
    <tableColumn id="5200" xr3:uid="{50247E64-4611-514C-8A72-9E7726186258}" name="Column5182"/>
    <tableColumn id="5201" xr3:uid="{3D610A98-B983-F043-A8C5-34BAD7BCEC72}" name="Column5183"/>
    <tableColumn id="5202" xr3:uid="{E3F91366-61A3-E943-B825-E25EFB97B8E5}" name="Column5184"/>
    <tableColumn id="5203" xr3:uid="{4FE6E484-F81F-9A4C-93A0-649394090A56}" name="Column5185"/>
    <tableColumn id="5204" xr3:uid="{C390FA6E-3BC9-3643-ACF3-CF1ADD9C6C2D}" name="Column5186"/>
    <tableColumn id="5205" xr3:uid="{2675FE0A-1A00-7D4D-ADDE-047D90AD3F99}" name="Column5187"/>
    <tableColumn id="5206" xr3:uid="{614025B3-01A5-9148-92CE-59940F14726B}" name="Column5188"/>
    <tableColumn id="5207" xr3:uid="{A380A91A-14F9-E04E-9135-30F71687831B}" name="Column5189"/>
    <tableColumn id="5208" xr3:uid="{CFC13F90-AAEB-9F48-BB4B-8ECBC81FC1F7}" name="Column5190"/>
    <tableColumn id="5209" xr3:uid="{BE3B7B20-56E9-0F47-86FC-C329E1909A58}" name="Column5191"/>
    <tableColumn id="5210" xr3:uid="{57FB5D57-660F-BF43-8CF1-A7807AFB276B}" name="Column5192"/>
    <tableColumn id="5211" xr3:uid="{8D826412-BB0D-E84D-9C9A-F974ABB55371}" name="Column5193"/>
    <tableColumn id="5212" xr3:uid="{DDACCCD6-60E4-5842-BEE9-8C92B563360E}" name="Column5194"/>
    <tableColumn id="5213" xr3:uid="{4FBD031C-FE90-B144-A14E-4C8EA2397E4E}" name="Column5195"/>
    <tableColumn id="5214" xr3:uid="{F4B58EE7-C004-894F-9247-32847063C308}" name="Column5196"/>
    <tableColumn id="5215" xr3:uid="{13D0C689-79F8-5D49-923C-4855A03F24E0}" name="Column5197"/>
    <tableColumn id="5216" xr3:uid="{D4A553C5-3C7F-8448-A4BA-F82B2C1E49EE}" name="Column5198"/>
    <tableColumn id="5217" xr3:uid="{1B7A35F6-DF0A-A343-8253-3DB8D98D4D94}" name="Column5199"/>
    <tableColumn id="5218" xr3:uid="{813F9EEE-81E4-A641-931A-CA60D8404F2B}" name="Column5200"/>
    <tableColumn id="5219" xr3:uid="{B1101DE1-C506-1C43-9231-ED37650F45B6}" name="Column5201"/>
    <tableColumn id="5220" xr3:uid="{D7E25811-A9D6-0F45-A56E-6662AD53AC2C}" name="Column5202"/>
    <tableColumn id="5221" xr3:uid="{3D8EC61D-D449-874D-84BF-916630A6259A}" name="Column5203"/>
    <tableColumn id="5222" xr3:uid="{7B9D4F1A-FF68-CA40-9D86-A8634B526859}" name="Column5204"/>
    <tableColumn id="5223" xr3:uid="{9D57A5A8-E306-D449-ADB1-0596164B7854}" name="Column5205"/>
    <tableColumn id="5224" xr3:uid="{99B5CDE3-6CBB-C84C-A5C6-892BDA50EDDA}" name="Column5206"/>
    <tableColumn id="5225" xr3:uid="{F5413658-22D2-CF47-97E4-1EDC59FFB8CD}" name="Column5207"/>
    <tableColumn id="5226" xr3:uid="{974136B4-3463-B04E-B43A-E4C3542D727B}" name="Column5208"/>
    <tableColumn id="5227" xr3:uid="{2221248B-624B-6840-8F65-4BCBD1D7F764}" name="Column5209"/>
    <tableColumn id="5228" xr3:uid="{DE9E7070-D5FE-4843-812B-19A07F8FAAE9}" name="Column5210"/>
    <tableColumn id="5229" xr3:uid="{49FE6030-207B-A040-A703-F09650DE449F}" name="Column5211"/>
    <tableColumn id="5230" xr3:uid="{31FD8DAF-D1CA-684E-85CB-01B6BD9A6D93}" name="Column5212"/>
    <tableColumn id="5231" xr3:uid="{9684C7A3-E8E1-7C44-8B25-B84F95367A46}" name="Column5213"/>
    <tableColumn id="5232" xr3:uid="{96AB49F7-F90E-2A4B-B90A-0F597ADD87E5}" name="Column5214"/>
    <tableColumn id="5233" xr3:uid="{E098C5EB-6099-014D-AAAE-69D490532790}" name="Column5215"/>
    <tableColumn id="5234" xr3:uid="{0236D932-4BB9-B847-82FC-10424DFD0BFD}" name="Column5216"/>
    <tableColumn id="5235" xr3:uid="{FB88CAD9-5CF9-DB48-8331-589925EEE518}" name="Column5217"/>
    <tableColumn id="5236" xr3:uid="{2CB838B7-3A45-184E-AA80-871D54EB71CE}" name="Column5218"/>
    <tableColumn id="5237" xr3:uid="{694BDAC4-5EA0-B948-A6DE-DC00045099C9}" name="Column5219"/>
    <tableColumn id="5238" xr3:uid="{BFFDD8CC-8F96-C948-8D72-303BFE06F282}" name="Column5220"/>
    <tableColumn id="5239" xr3:uid="{553256E8-256C-884D-BD65-2796BA18F02A}" name="Column5221"/>
    <tableColumn id="5240" xr3:uid="{ACA8DF7E-25EE-2E49-9928-2BFF78617CF7}" name="Column5222"/>
    <tableColumn id="5241" xr3:uid="{F74F112C-9812-C340-9EFB-C906043AEF09}" name="Column5223"/>
    <tableColumn id="5242" xr3:uid="{7CDB22F4-05B8-9242-8843-DB9F385CDECD}" name="Column5224"/>
    <tableColumn id="5243" xr3:uid="{26B20D9E-CC0C-2947-BDCD-0E6C3289150D}" name="Column5225"/>
    <tableColumn id="5244" xr3:uid="{1F30BCFD-C27E-1D43-916C-C1153CEA880B}" name="Column5226"/>
    <tableColumn id="5245" xr3:uid="{DF4A46EF-F384-4742-9A85-C0D267F7945A}" name="Column5227"/>
    <tableColumn id="5246" xr3:uid="{891D7359-5AE3-C448-B5D7-D03F1E152B78}" name="Column5228"/>
    <tableColumn id="5247" xr3:uid="{E9F2B22C-4CE6-8F4D-AD5D-B1E48EEFC35F}" name="Column5229"/>
    <tableColumn id="5248" xr3:uid="{DC12F798-4EF8-184B-B301-3BE0A0A03103}" name="Column5230"/>
    <tableColumn id="5249" xr3:uid="{B68F1C08-CD9F-4C4C-B7CE-10A616409B8F}" name="Column5231"/>
    <tableColumn id="5250" xr3:uid="{21E6FA35-7FBF-F049-B397-3C22A59DB7EB}" name="Column5232"/>
    <tableColumn id="5251" xr3:uid="{4F5E567E-D643-DA41-A0EF-4B254A7E411E}" name="Column5233"/>
    <tableColumn id="5252" xr3:uid="{F3E0544F-0506-5145-BC58-7145C4FB6CB1}" name="Column5234"/>
    <tableColumn id="5253" xr3:uid="{187426D6-0B50-9F41-BD65-61A92051C4A6}" name="Column5235"/>
    <tableColumn id="5254" xr3:uid="{01E29AE7-22DF-944F-8453-7B52FB30F01E}" name="Column5236"/>
    <tableColumn id="5255" xr3:uid="{14369796-2EFB-764D-B113-9BF5FDAA1A56}" name="Column5237"/>
    <tableColumn id="5256" xr3:uid="{1C6AE360-9395-8241-BB28-DB670B050A50}" name="Column5238"/>
    <tableColumn id="5257" xr3:uid="{C5AD36A9-EF32-EF45-817D-D122B3580BD4}" name="Column5239"/>
    <tableColumn id="5258" xr3:uid="{818ABB56-1D30-3446-8FF9-2E9062725445}" name="Column5240"/>
    <tableColumn id="5259" xr3:uid="{F8B75B7C-8C19-4C48-A12E-154A46EF4B68}" name="Column5241"/>
    <tableColumn id="5260" xr3:uid="{35A3A229-BAA5-284C-94CD-033116C7FF83}" name="Column5242"/>
    <tableColumn id="5261" xr3:uid="{252A4D19-1564-DF41-A602-4EB4A54C6807}" name="Column5243"/>
    <tableColumn id="5262" xr3:uid="{BF7BEB74-BAF6-A842-A798-ED251C4AC28D}" name="Column5244"/>
    <tableColumn id="5263" xr3:uid="{92766811-0C84-0740-B34B-B60AC8406323}" name="Column5245"/>
    <tableColumn id="5264" xr3:uid="{E92BE601-B2BB-9D42-A950-758EB45339A2}" name="Column5246"/>
    <tableColumn id="5265" xr3:uid="{327BA113-7673-9F4D-B89F-E30DF48A92B4}" name="Column5247"/>
    <tableColumn id="5266" xr3:uid="{02D0CB7F-C89D-2A4F-B075-BC5248874508}" name="Column5248"/>
    <tableColumn id="5267" xr3:uid="{072B7A10-0C55-3746-90E6-2BB25C1E72F3}" name="Column5249"/>
    <tableColumn id="5268" xr3:uid="{71915615-C411-3840-8AD0-0FC8FA2CC076}" name="Column5250"/>
    <tableColumn id="5269" xr3:uid="{0C59878A-F0FD-824A-A932-14EC1E3939C4}" name="Column5251"/>
    <tableColumn id="5270" xr3:uid="{A3DA6998-3079-B948-B05F-DCBE88B3E60C}" name="Column5252"/>
    <tableColumn id="5271" xr3:uid="{1BD1FD06-A288-6C44-83C4-CFECCE569350}" name="Column5253"/>
    <tableColumn id="5272" xr3:uid="{A9650BB7-7EEA-6F46-A769-D2F76298A893}" name="Column5254"/>
    <tableColumn id="5273" xr3:uid="{184C3385-5A7D-FB48-8521-1FDD7E13FDB3}" name="Column5255"/>
    <tableColumn id="5274" xr3:uid="{D181A3E1-87B2-B542-AC32-570D4CD8B8C2}" name="Column5256"/>
    <tableColumn id="5275" xr3:uid="{CE26DD1C-47CD-CD44-916F-2222B3A6A02A}" name="Column5257"/>
    <tableColumn id="5276" xr3:uid="{033E92ED-641A-164D-8762-5CE83B00C1FB}" name="Column5258"/>
    <tableColumn id="5277" xr3:uid="{86DFD558-B0CE-4B4D-9564-439DB76CD71F}" name="Column5259"/>
    <tableColumn id="5278" xr3:uid="{0033CEDF-7CE9-D44B-BE3C-E71F10807DD0}" name="Column5260"/>
    <tableColumn id="5279" xr3:uid="{A5CA3B46-ED06-644A-B1ED-3D933833830B}" name="Column5261"/>
    <tableColumn id="5280" xr3:uid="{06BF530D-8DDA-E24A-8ED1-23DEC2870CC0}" name="Column5262"/>
    <tableColumn id="5281" xr3:uid="{C6B287E3-20C7-1D40-B2DD-BE9DEAE8F783}" name="Column5263"/>
    <tableColumn id="5282" xr3:uid="{94309E69-EC76-F344-9C42-3A233FE11173}" name="Column5264"/>
    <tableColumn id="5283" xr3:uid="{6B2A000E-EF63-F845-AA1B-8C47897237AF}" name="Column5265"/>
    <tableColumn id="5284" xr3:uid="{EF75568F-A7E7-C14D-A076-67A518789025}" name="Column5266"/>
    <tableColumn id="5285" xr3:uid="{CC5D8A2D-BD13-1842-9F44-8C62AF018491}" name="Column5267"/>
    <tableColumn id="5286" xr3:uid="{492A924C-E60F-1947-A6BA-AA7ED713BE1B}" name="Column5268"/>
    <tableColumn id="5287" xr3:uid="{3730E2E3-A860-014B-B096-47C2EED6623E}" name="Column5269"/>
    <tableColumn id="5288" xr3:uid="{C8CA4EFE-309B-1547-B2DE-1513BD1B63FB}" name="Column5270"/>
    <tableColumn id="5289" xr3:uid="{9FC97CFF-3AC7-C04A-902B-23B75C70CDD9}" name="Column5271"/>
    <tableColumn id="5290" xr3:uid="{4B8BB892-144A-5F4F-A46C-B11A39F4295C}" name="Column5272"/>
    <tableColumn id="5291" xr3:uid="{DF5E17E1-45BD-1F46-9B2C-C06BBE5A63F1}" name="Column5273"/>
    <tableColumn id="5292" xr3:uid="{30F26C7F-57D6-7B4A-A67E-15A076A6CFDC}" name="Column5274"/>
    <tableColumn id="5293" xr3:uid="{1F09A0F7-FC10-2441-9A6C-D0E4D2492335}" name="Column5275"/>
    <tableColumn id="5294" xr3:uid="{314C8457-2444-F64F-AC00-DAE3E74144D3}" name="Column5276"/>
    <tableColumn id="5295" xr3:uid="{61A875CD-45ED-0847-9B2A-7C138DDBAD5B}" name="Column5277"/>
    <tableColumn id="5296" xr3:uid="{F4EA7F26-9858-B742-9EB2-77C12D14CB6F}" name="Column5278"/>
    <tableColumn id="5297" xr3:uid="{1C051061-2510-C649-BE81-AD7FF7EBDA84}" name="Column5279"/>
    <tableColumn id="5298" xr3:uid="{C13BC620-D3CA-FB4A-9CAB-5372F37F129D}" name="Column5280"/>
    <tableColumn id="5299" xr3:uid="{E89256CC-E81D-7845-9303-1F92CC3DB8E9}" name="Column5281"/>
    <tableColumn id="5300" xr3:uid="{A69A6E32-96D8-2141-8F31-BF314495193A}" name="Column5282"/>
    <tableColumn id="5301" xr3:uid="{13BE9220-87E9-BB4C-A374-5E4D6A04BDDC}" name="Column5283"/>
    <tableColumn id="5302" xr3:uid="{EBE23194-9A7D-4047-B5FA-41CFBE2C4AFC}" name="Column5284"/>
    <tableColumn id="5303" xr3:uid="{BF65D7BF-1E84-BC4C-83CA-472BFF532006}" name="Column5285"/>
    <tableColumn id="5304" xr3:uid="{A44CA46D-D868-F441-94D2-7AB93F83A774}" name="Column5286"/>
    <tableColumn id="5305" xr3:uid="{5715C9BB-1627-1949-8499-4C33293C91F6}" name="Column5287"/>
    <tableColumn id="5306" xr3:uid="{1682AD7D-6EE7-FE4A-957A-AB558ECF8BD9}" name="Column5288"/>
    <tableColumn id="5307" xr3:uid="{BF6EF30A-3452-0E4E-A53D-E904D28E3A20}" name="Column5289"/>
    <tableColumn id="5308" xr3:uid="{86F7044F-21AF-CC42-A929-796C0189164A}" name="Column5290"/>
    <tableColumn id="5309" xr3:uid="{158D5DEB-4204-FD40-BABD-D489E4710D72}" name="Column5291"/>
    <tableColumn id="5310" xr3:uid="{4F9368E4-F81C-B54C-9D88-7F57C99AF6F1}" name="Column5292"/>
    <tableColumn id="5311" xr3:uid="{19644252-6ED4-1743-B114-37273F19C669}" name="Column5293"/>
    <tableColumn id="5312" xr3:uid="{F0538DC3-9DAE-9D47-8AB9-B9F0A6AD5ABF}" name="Column5294"/>
    <tableColumn id="5313" xr3:uid="{6CD49E1B-EF52-144F-BC7A-B8B0407D39AF}" name="Column5295"/>
    <tableColumn id="5314" xr3:uid="{BEFB060D-32A7-7E4E-85AC-01FD46396149}" name="Column5296"/>
    <tableColumn id="5315" xr3:uid="{B49F10A4-175C-3240-A168-7CE3912F5A87}" name="Column5297"/>
    <tableColumn id="5316" xr3:uid="{446BC9B5-2312-7240-B4BF-969C426113BF}" name="Column5298"/>
    <tableColumn id="5317" xr3:uid="{6C597DC5-F571-3A4E-9169-4DAB2F1AC287}" name="Column5299"/>
    <tableColumn id="5318" xr3:uid="{8CB3219C-AAFF-A547-9DCD-DF1C8DFC8EF0}" name="Column5300"/>
    <tableColumn id="5319" xr3:uid="{65D6EF77-35A7-F746-B891-E26051DCABA6}" name="Column5301"/>
    <tableColumn id="5320" xr3:uid="{9E30278F-3D53-9D4E-8378-48477F7F9FEF}" name="Column5302"/>
    <tableColumn id="5321" xr3:uid="{08A27398-0C6D-384F-AACD-BE7B86F7F9D7}" name="Column5303"/>
    <tableColumn id="5322" xr3:uid="{BD1A5F93-2244-A44C-8F22-B9EC4A01EDC4}" name="Column5304"/>
    <tableColumn id="5323" xr3:uid="{608268FB-434A-064E-BDE9-6854C283FD72}" name="Column5305"/>
    <tableColumn id="5324" xr3:uid="{458D9AB9-321F-A34D-BD62-863EBF8700E4}" name="Column5306"/>
    <tableColumn id="5325" xr3:uid="{F7E4B4E4-3B99-474F-AC2A-729F852DCB5F}" name="Column5307"/>
    <tableColumn id="5326" xr3:uid="{EC3C4DDE-1D59-EB4D-9BD3-0046E94F72E3}" name="Column5308"/>
    <tableColumn id="5327" xr3:uid="{40C3EA2B-DFDF-5B41-B4EF-D59FD2907DEA}" name="Column5309"/>
    <tableColumn id="5328" xr3:uid="{238D6AAE-8757-1C49-A77F-6399754F5849}" name="Column5310"/>
    <tableColumn id="5329" xr3:uid="{8A32D15E-B93B-F64A-A327-50C889F59458}" name="Column5311"/>
    <tableColumn id="5330" xr3:uid="{64262DBC-C48A-D942-8637-66640CCD07AB}" name="Column5312"/>
    <tableColumn id="5331" xr3:uid="{78E50A16-3020-324D-9387-58415C41FC17}" name="Column5313"/>
    <tableColumn id="5332" xr3:uid="{B1E09B23-1B69-F94B-B242-DB0348096C5B}" name="Column5314"/>
    <tableColumn id="5333" xr3:uid="{5F64EF65-1A89-A344-A046-82CF24505A27}" name="Column5315"/>
    <tableColumn id="5334" xr3:uid="{F72A6058-A19A-184D-BB85-3FD2AB709636}" name="Column5316"/>
    <tableColumn id="5335" xr3:uid="{049C569E-E2B6-114B-AA92-9E645E0A46A8}" name="Column5317"/>
    <tableColumn id="5336" xr3:uid="{D8AA49A4-BF03-724A-8DF9-2D6A0E6D1DD8}" name="Column5318"/>
    <tableColumn id="5337" xr3:uid="{5406CD0D-4170-2649-A676-D72C929E5EC8}" name="Column5319"/>
    <tableColumn id="5338" xr3:uid="{1444AEAC-AE85-2146-85BE-2D859C529BF7}" name="Column5320"/>
    <tableColumn id="5339" xr3:uid="{4DAFEB2F-822B-4346-9367-3AA6CF1641C0}" name="Column5321"/>
    <tableColumn id="5340" xr3:uid="{7786124C-A55E-6345-85BF-02F2342C194A}" name="Column5322"/>
    <tableColumn id="5341" xr3:uid="{FD163C6A-056A-8C40-803A-7A459AB031B4}" name="Column5323"/>
    <tableColumn id="5342" xr3:uid="{2B2E6AC1-6FF7-5A44-9CF3-D3919398BDD6}" name="Column5324"/>
    <tableColumn id="5343" xr3:uid="{0BCDD326-5317-C843-9E5D-F36103D60594}" name="Column5325"/>
    <tableColumn id="5344" xr3:uid="{5D5FF1E6-48CE-CB43-94E6-8B0E19722847}" name="Column5326"/>
    <tableColumn id="5345" xr3:uid="{132DE7B8-EAD3-104A-B735-A4C47B0C7C70}" name="Column5327"/>
    <tableColumn id="5346" xr3:uid="{5001D932-7547-2E45-9C67-02155E65C07A}" name="Column5328"/>
    <tableColumn id="5347" xr3:uid="{C823A5E5-996A-7A47-97ED-CAD002F34846}" name="Column5329"/>
    <tableColumn id="5348" xr3:uid="{BBCF2E53-D1E4-1B4C-8952-FA84BD050887}" name="Column5330"/>
    <tableColumn id="5349" xr3:uid="{3EF767D1-3CC1-BE48-B269-82600F4C4CE9}" name="Column5331"/>
    <tableColumn id="5350" xr3:uid="{92F1DF1A-6310-4C4B-A57D-D50932874D28}" name="Column5332"/>
    <tableColumn id="5351" xr3:uid="{57EB7A6C-C4F0-824C-A580-51A510116ECC}" name="Column5333"/>
    <tableColumn id="5352" xr3:uid="{A42B5A29-43A2-494B-ABCB-DE2D226E3B85}" name="Column5334"/>
    <tableColumn id="5353" xr3:uid="{567B42E9-6CA8-CF44-A10F-4BDFD6D56484}" name="Column5335"/>
    <tableColumn id="5354" xr3:uid="{4A6BD33A-D4D1-3E4C-8836-1E2DB1A40CE9}" name="Column5336"/>
    <tableColumn id="5355" xr3:uid="{8D52EFC8-82DA-424A-966F-BF2B065CD614}" name="Column5337"/>
    <tableColumn id="5356" xr3:uid="{E5F27695-C2FE-444C-BDB4-923E1492DFB3}" name="Column5338"/>
    <tableColumn id="5357" xr3:uid="{ACE5E9B0-2036-FF49-A326-CC481AA18BA8}" name="Column5339"/>
    <tableColumn id="5358" xr3:uid="{01672FBB-7D2D-9F43-8465-B58A128442FB}" name="Column5340"/>
    <tableColumn id="5359" xr3:uid="{DBA939F5-CC80-8D49-A956-6F2F23A1D78C}" name="Column5341"/>
    <tableColumn id="5360" xr3:uid="{0190DF09-AA79-2941-B595-C58F85E3D622}" name="Column5342"/>
    <tableColumn id="5361" xr3:uid="{0D351113-5F60-6F4A-B200-1DEA757E4287}" name="Column5343"/>
    <tableColumn id="5362" xr3:uid="{2F483179-44BC-7544-8ACC-D61CE0742B63}" name="Column5344"/>
    <tableColumn id="5363" xr3:uid="{240FF228-3292-754D-BBDE-FA53F097630F}" name="Column5345"/>
    <tableColumn id="5364" xr3:uid="{F4B75C7F-52BE-1940-A6FC-F85AFDF80429}" name="Column5346"/>
    <tableColumn id="5365" xr3:uid="{83392A83-9C99-6C48-B647-C43722896052}" name="Column5347"/>
    <tableColumn id="5366" xr3:uid="{45E0B9A1-DCF9-F145-BB82-B8000E3DF1C2}" name="Column5348"/>
    <tableColumn id="5367" xr3:uid="{E3F66874-257B-C045-99CE-68E4A5F39B1A}" name="Column5349"/>
    <tableColumn id="5368" xr3:uid="{17D8F5D0-2226-F04B-8E08-1238E4DEA82F}" name="Column5350"/>
    <tableColumn id="5369" xr3:uid="{C099657D-4C0E-EA4B-B097-3A00A4C9413E}" name="Column5351"/>
    <tableColumn id="5370" xr3:uid="{8589D818-4709-DE4C-8F23-3000557D17FC}" name="Column5352"/>
    <tableColumn id="5371" xr3:uid="{B335B39E-F1F4-6045-B0FB-92693F381185}" name="Column5353"/>
    <tableColumn id="5372" xr3:uid="{6F1604F5-E502-CB4D-9017-9A45745184CC}" name="Column5354"/>
    <tableColumn id="5373" xr3:uid="{FEA6F0FD-6893-D74C-90E4-93B3072BA82D}" name="Column5355"/>
    <tableColumn id="5374" xr3:uid="{F0407F00-38A4-3741-9BF9-DB1E4EF29526}" name="Column5356"/>
    <tableColumn id="5375" xr3:uid="{B00E61E2-55DD-9C41-BBEE-CFE8B6AEA99F}" name="Column5357"/>
    <tableColumn id="5376" xr3:uid="{05B7B5AB-344F-424E-8B68-B41BCED719FE}" name="Column5358"/>
    <tableColumn id="5377" xr3:uid="{F4D0E96B-31FB-D24D-A3A0-41FE2C5D4C62}" name="Column5359"/>
    <tableColumn id="5378" xr3:uid="{864F835B-B4A9-614E-B204-89F2705B0D2E}" name="Column5360"/>
    <tableColumn id="5379" xr3:uid="{A1158271-4AE2-4348-9D2D-27ED57C35ADD}" name="Column5361"/>
    <tableColumn id="5380" xr3:uid="{F1D29778-1204-4F4F-9445-788EBBE7DDB5}" name="Column5362"/>
    <tableColumn id="5381" xr3:uid="{E57AC0E1-E630-8D4F-8965-9C8BDD9E48CA}" name="Column5363"/>
    <tableColumn id="5382" xr3:uid="{9F97CBC6-72EE-0E44-9D0F-B2C5A7E29D60}" name="Column5364"/>
    <tableColumn id="5383" xr3:uid="{78AA1431-2675-0941-90B4-E6A23298562A}" name="Column5365"/>
    <tableColumn id="5384" xr3:uid="{CAEDDCC3-DF4C-3042-8A02-6A179EAA74FB}" name="Column5366"/>
    <tableColumn id="5385" xr3:uid="{83665616-2DC8-2240-869A-933379D8F04A}" name="Column5367"/>
    <tableColumn id="5386" xr3:uid="{5C302E64-ABE0-5C48-BF87-D84CC2CE77CF}" name="Column5368"/>
    <tableColumn id="5387" xr3:uid="{554C44E0-2B29-1A46-AA80-04B0B19C3A27}" name="Column5369"/>
    <tableColumn id="5388" xr3:uid="{8FEAFA65-9294-FB4E-A4B1-0BFA16410AEF}" name="Column5370"/>
    <tableColumn id="5389" xr3:uid="{C941A367-3E4B-8648-87E0-779F77A03B86}" name="Column5371"/>
    <tableColumn id="5390" xr3:uid="{27501152-96B4-8A49-8651-E70ACC615498}" name="Column5372"/>
    <tableColumn id="5391" xr3:uid="{1632E5CF-FB20-2D47-BC08-FAF40EFEF7C9}" name="Column5373"/>
    <tableColumn id="5392" xr3:uid="{8F33874D-A68A-F64A-A15B-77D50B70F492}" name="Column5374"/>
    <tableColumn id="5393" xr3:uid="{83D0B8F0-4C4B-204E-AF72-9D464687F29C}" name="Column5375"/>
    <tableColumn id="5394" xr3:uid="{5B39BBC7-9B69-4D49-B100-F3A24BACF446}" name="Column5376"/>
    <tableColumn id="5395" xr3:uid="{02799CFE-76E9-9B40-A070-0B69251C9D4B}" name="Column5377"/>
    <tableColumn id="5396" xr3:uid="{A3DEF001-F4BE-184A-BDFF-EE5B621DC87D}" name="Column5378"/>
    <tableColumn id="5397" xr3:uid="{D016CF0D-1891-674C-BC9B-1A22116F81C5}" name="Column5379"/>
    <tableColumn id="5398" xr3:uid="{07D235D9-17BE-8443-84FB-446C905069EA}" name="Column5380"/>
    <tableColumn id="5399" xr3:uid="{427D47DB-0FC4-1648-9CAF-028787EAFA78}" name="Column5381"/>
    <tableColumn id="5400" xr3:uid="{2D843E26-3152-6447-8A1E-59650FFDB32F}" name="Column5382"/>
    <tableColumn id="5401" xr3:uid="{6444A567-7D96-A949-BD75-7764FAAD64ED}" name="Column5383"/>
    <tableColumn id="5402" xr3:uid="{AF37512F-5958-7741-9196-ABA1A1497954}" name="Column5384"/>
    <tableColumn id="5403" xr3:uid="{F0D717AF-4200-154B-8DA7-ED5BEC45E4EB}" name="Column5385"/>
    <tableColumn id="5404" xr3:uid="{0FD5D646-3D01-E243-8BF2-2A94C4464FBC}" name="Column5386"/>
    <tableColumn id="5405" xr3:uid="{D9B40E7C-5EB5-9E4A-9B12-3F1B50FB3F32}" name="Column5387"/>
    <tableColumn id="5406" xr3:uid="{1963B206-8980-7D4C-A264-93FEA24FAF92}" name="Column5388"/>
    <tableColumn id="5407" xr3:uid="{107AD179-3875-E04D-8E29-9C32788878EC}" name="Column5389"/>
    <tableColumn id="5408" xr3:uid="{E76423BA-96CA-064A-B222-C5502A604EED}" name="Column5390"/>
    <tableColumn id="5409" xr3:uid="{DE7C32A2-C71B-5544-815B-72AA6D4436B1}" name="Column5391"/>
    <tableColumn id="5410" xr3:uid="{296ED5D8-9F6B-6140-874B-87147CB297E0}" name="Column5392"/>
    <tableColumn id="5411" xr3:uid="{52DB4AA7-5D2B-B648-847A-7EF269ABB1AB}" name="Column5393"/>
    <tableColumn id="5412" xr3:uid="{DB34BCC0-50EC-2940-B746-54868FADF0EB}" name="Column5394"/>
    <tableColumn id="5413" xr3:uid="{D268F8D2-E05C-9340-BEA8-9C16C40FCB96}" name="Column5395"/>
    <tableColumn id="5414" xr3:uid="{7B787E02-2C23-494A-A034-1514E5742A9F}" name="Column5396"/>
    <tableColumn id="5415" xr3:uid="{270ABCAD-561D-274F-84E9-5282B55A1BB5}" name="Column5397"/>
    <tableColumn id="5416" xr3:uid="{014203A6-4AB5-1D48-A094-20317372B0C6}" name="Column5398"/>
    <tableColumn id="5417" xr3:uid="{E9D2EE14-8FAF-6548-A190-7651399A9507}" name="Column5399"/>
    <tableColumn id="5418" xr3:uid="{0C363280-FAD8-E14E-9C3A-E2D3955B365C}" name="Column5400"/>
    <tableColumn id="5419" xr3:uid="{FC0619EA-29F7-5243-9B4F-7DC246457D2B}" name="Column5401"/>
    <tableColumn id="5420" xr3:uid="{1C875172-76D0-9A44-98ED-846D186DCF6F}" name="Column5402"/>
    <tableColumn id="5421" xr3:uid="{2D114EB6-E303-ED46-A51D-3CA5B14F9BF0}" name="Column5403"/>
    <tableColumn id="5422" xr3:uid="{FC93E38C-988F-4842-B751-5A46616511DB}" name="Column5404"/>
    <tableColumn id="5423" xr3:uid="{0568091D-A7A1-DE4E-80A6-C8487873EA8A}" name="Column5405"/>
    <tableColumn id="5424" xr3:uid="{50C379EE-03C0-DA49-AA61-973D9CBA7A53}" name="Column5406"/>
    <tableColumn id="5425" xr3:uid="{6C8C84B2-EFBC-7849-AB00-7B4365974ECD}" name="Column5407"/>
    <tableColumn id="5426" xr3:uid="{DFE101AC-1AF4-1541-93F4-9DD40A4BA41C}" name="Column5408"/>
    <tableColumn id="5427" xr3:uid="{3032D1D6-1709-3148-9DB8-365DDAB2B62F}" name="Column5409"/>
    <tableColumn id="5428" xr3:uid="{70F5B47E-93D0-5047-A9BD-B0F7CB49826B}" name="Column5410"/>
    <tableColumn id="5429" xr3:uid="{4E09594E-319B-DD41-9FDB-42381427A0E4}" name="Column5411"/>
    <tableColumn id="5430" xr3:uid="{BA13C79A-AC2C-C947-9188-9D9AA661E113}" name="Column5412"/>
    <tableColumn id="5431" xr3:uid="{D4F58CBC-DE24-2E44-94DE-69816528E601}" name="Column5413"/>
    <tableColumn id="5432" xr3:uid="{EF926CD1-17AB-074C-AB18-47AF49CE2072}" name="Column5414"/>
    <tableColumn id="5433" xr3:uid="{9D40C652-BA8E-BA4F-A477-A8FEF7BF7E4B}" name="Column5415"/>
    <tableColumn id="5434" xr3:uid="{F0DE1858-F907-4745-919F-530AD410EF55}" name="Column5416"/>
    <tableColumn id="5435" xr3:uid="{B5A16567-F676-9344-BA8C-61B8804547B3}" name="Column5417"/>
    <tableColumn id="5436" xr3:uid="{0D025909-3CE8-004D-912B-C17FA9D4CF5B}" name="Column5418"/>
    <tableColumn id="5437" xr3:uid="{D2B2FF9C-545F-6D44-B6A3-6D754CBA3BA3}" name="Column5419"/>
    <tableColumn id="5438" xr3:uid="{00BBF647-EA93-F84E-8C97-F95C5FD37C45}" name="Column5420"/>
    <tableColumn id="5439" xr3:uid="{117A4795-F078-6341-8115-EA84F5382F1C}" name="Column5421"/>
    <tableColumn id="5440" xr3:uid="{EB839BF9-8124-2A41-A03B-0B6EBF17A482}" name="Column5422"/>
    <tableColumn id="5441" xr3:uid="{91F9C3E1-E03B-0243-A01E-888C172DA99E}" name="Column5423"/>
    <tableColumn id="5442" xr3:uid="{29C0E048-61D1-1545-A7CC-5C1659E9CE83}" name="Column5424"/>
    <tableColumn id="5443" xr3:uid="{E1DF54F9-CF5A-B048-A1AD-4308BF4B67AA}" name="Column5425"/>
    <tableColumn id="5444" xr3:uid="{F55E6FC5-59A4-8D4F-A8CB-E6D31794D4FE}" name="Column5426"/>
    <tableColumn id="5445" xr3:uid="{B477EB9A-9182-D64E-AD24-2A28C407986E}" name="Column5427"/>
    <tableColumn id="5446" xr3:uid="{96EB2795-0BEA-EB43-8A98-97D669030FC0}" name="Column5428"/>
    <tableColumn id="5447" xr3:uid="{A602DC3C-4EDE-094C-87B7-C318969FC8AD}" name="Column5429"/>
    <tableColumn id="5448" xr3:uid="{7CF431BF-0C1B-9F48-8B61-9D6AF41216E5}" name="Column5430"/>
    <tableColumn id="5449" xr3:uid="{A2BD817D-55EE-3946-9A24-18A98F3AEE7F}" name="Column5431"/>
    <tableColumn id="5450" xr3:uid="{9D130780-D317-1F4E-8772-945A16301383}" name="Column5432"/>
    <tableColumn id="5451" xr3:uid="{983636AE-41B3-174A-A7EB-F47FB9C18437}" name="Column5433"/>
    <tableColumn id="5452" xr3:uid="{9268049D-CB5B-8B40-852E-927C28A8C69C}" name="Column5434"/>
    <tableColumn id="5453" xr3:uid="{EFA0C018-1AE8-8045-A872-1537B3912CCD}" name="Column5435"/>
    <tableColumn id="5454" xr3:uid="{26B287DC-03C7-2B49-AF7B-76913C5400F2}" name="Column5436"/>
    <tableColumn id="5455" xr3:uid="{944B46AC-F079-0F4C-9B07-68C575A92B43}" name="Column5437"/>
    <tableColumn id="5456" xr3:uid="{549A6F1E-BD37-7F47-9DFE-3E026BB1C845}" name="Column5438"/>
    <tableColumn id="5457" xr3:uid="{78762C6C-0786-0B46-BE11-CAE20B60BF92}" name="Column5439"/>
    <tableColumn id="5458" xr3:uid="{282EA73B-BFF7-1B4B-BCCA-FBA54B4D20B4}" name="Column5440"/>
    <tableColumn id="5459" xr3:uid="{8FB2F65D-463C-704F-824D-0DA5BAA2F77A}" name="Column5441"/>
    <tableColumn id="5460" xr3:uid="{5095770E-8C83-CD40-93DD-4FDB960CB959}" name="Column5442"/>
    <tableColumn id="5461" xr3:uid="{D070E0E9-0FF0-BD4E-B212-40365B28BEF5}" name="Column5443"/>
    <tableColumn id="5462" xr3:uid="{7E4FB57C-CBFE-F148-94DE-B94C0646B036}" name="Column5444"/>
    <tableColumn id="5463" xr3:uid="{9717E56F-D733-E449-81F0-D8420388C26F}" name="Column5445"/>
    <tableColumn id="5464" xr3:uid="{AF4FD086-9F72-6D48-9DF9-5361E5336994}" name="Column5446"/>
    <tableColumn id="5465" xr3:uid="{F1481981-4BBB-8F4E-810B-E02FCE3564B0}" name="Column5447"/>
    <tableColumn id="5466" xr3:uid="{5CB5D1C7-F590-2942-B69B-06D39AC1C157}" name="Column5448"/>
    <tableColumn id="5467" xr3:uid="{A42F6ED1-62BD-BE4D-A188-2F90851D8A08}" name="Column5449"/>
    <tableColumn id="5468" xr3:uid="{AEB4CED6-E006-D645-85C4-0A7D6720FA99}" name="Column5450"/>
    <tableColumn id="5469" xr3:uid="{63D0BA4B-0B9A-7E4E-9C0D-99E67391575E}" name="Column5451"/>
    <tableColumn id="5470" xr3:uid="{74090849-707E-4F42-B571-32CA8A45B103}" name="Column5452"/>
    <tableColumn id="5471" xr3:uid="{A6612B4F-AB92-9346-8F66-651A7ED8CCCC}" name="Column5453"/>
    <tableColumn id="5472" xr3:uid="{C2BD2CE8-164C-6E4D-9C0E-F0BEBA374B82}" name="Column5454"/>
    <tableColumn id="5473" xr3:uid="{02ABE8E8-2992-0B4E-A3F3-2DEDE265FB84}" name="Column5455"/>
    <tableColumn id="5474" xr3:uid="{12EEBF58-A6BE-444C-98E1-1C30441F1E04}" name="Column5456"/>
    <tableColumn id="5475" xr3:uid="{B35476B6-50B8-CF49-89B3-E9F84F031D49}" name="Column5457"/>
    <tableColumn id="5476" xr3:uid="{B2C0019F-E795-A844-B1A6-697A4DC94D05}" name="Column5458"/>
    <tableColumn id="5477" xr3:uid="{CD804FDF-09D7-E34C-AB86-1B2B554E8F0B}" name="Column5459"/>
    <tableColumn id="5478" xr3:uid="{CFFBE351-142A-A24F-99E6-D95C82359AD3}" name="Column5460"/>
    <tableColumn id="5479" xr3:uid="{4EB04B07-0D30-BF49-8916-6BB8C1E3D476}" name="Column5461"/>
    <tableColumn id="5480" xr3:uid="{B14AFE28-9E5F-B145-8C27-CD71284B0222}" name="Column5462"/>
    <tableColumn id="5481" xr3:uid="{8C20B57A-61D6-8849-9DC7-2D25414DB6CA}" name="Column5463"/>
    <tableColumn id="5482" xr3:uid="{CC8165C4-E114-A842-BB7C-6B3B462CF1A1}" name="Column5464"/>
    <tableColumn id="5483" xr3:uid="{31A7F03F-AFDF-BE4B-A0A7-CFEFB73B545C}" name="Column5465"/>
    <tableColumn id="5484" xr3:uid="{768C6686-3964-2B48-A42C-135BA3053954}" name="Column5466"/>
    <tableColumn id="5485" xr3:uid="{8B21C406-7817-3C49-9F46-C10B3F27E7C9}" name="Column5467"/>
    <tableColumn id="5486" xr3:uid="{5A5BECA3-4FF2-EF4D-B796-C17AF8E3098E}" name="Column5468"/>
    <tableColumn id="5487" xr3:uid="{EB491C0C-6FA2-744E-8410-D44C7F2E1F26}" name="Column5469"/>
    <tableColumn id="5488" xr3:uid="{598B8840-DB2C-FA44-A6CA-6397B463310E}" name="Column5470"/>
    <tableColumn id="5489" xr3:uid="{D1008031-1D56-7642-B83D-CBDFBE4CF80C}" name="Column5471"/>
    <tableColumn id="5490" xr3:uid="{C8EF9281-EA3E-0C4B-A72A-50FE76E184DA}" name="Column5472"/>
    <tableColumn id="5491" xr3:uid="{3B281A33-7DCC-2843-B305-6365785603EF}" name="Column5473"/>
    <tableColumn id="5492" xr3:uid="{59FE41DC-8DC9-CC4F-8996-B1DACAB8C9E6}" name="Column5474"/>
    <tableColumn id="5493" xr3:uid="{7E47EDE2-A649-FD48-BBCF-D09EBBF99804}" name="Column5475"/>
    <tableColumn id="5494" xr3:uid="{933E7AA8-192F-E44F-BFFD-4D96A6482C0A}" name="Column5476"/>
    <tableColumn id="5495" xr3:uid="{75CF5FA4-3397-DF4C-BFC8-78734FCCC806}" name="Column5477"/>
    <tableColumn id="5496" xr3:uid="{33B6D245-E8A6-2846-8B93-DE72ED4C5E18}" name="Column5478"/>
    <tableColumn id="5497" xr3:uid="{99A3430B-3E1E-1943-93D1-948D78044972}" name="Column5479"/>
    <tableColumn id="5498" xr3:uid="{D9B7BEA4-DF6D-3C47-AF5D-35372AB02642}" name="Column5480"/>
    <tableColumn id="5499" xr3:uid="{1C256A0B-F7BA-8D43-83C4-BAEF21A2486D}" name="Column5481"/>
    <tableColumn id="5500" xr3:uid="{E78518D7-2233-3C48-AE31-A6D1EC73995E}" name="Column5482"/>
    <tableColumn id="5501" xr3:uid="{7278001F-D19C-C346-BD48-A1B281382794}" name="Column5483"/>
    <tableColumn id="5502" xr3:uid="{833537BD-6424-6545-81D9-CF41E516272F}" name="Column5484"/>
    <tableColumn id="5503" xr3:uid="{D679456B-E760-8F45-8661-DF64734094EA}" name="Column5485"/>
    <tableColumn id="5504" xr3:uid="{248163D8-744A-694F-8ACF-84995FE4D83A}" name="Column5486"/>
    <tableColumn id="5505" xr3:uid="{FFEDF277-B8CB-714E-B3A0-299FF916C82C}" name="Column5487"/>
    <tableColumn id="5506" xr3:uid="{1627B104-C80D-0C46-B619-D95EA04D765C}" name="Column5488"/>
    <tableColumn id="5507" xr3:uid="{5546AC64-D6FA-F84C-8B61-593BAA3BD129}" name="Column5489"/>
    <tableColumn id="5508" xr3:uid="{C41DAD06-80A5-9049-BF96-7D07D9216EEF}" name="Column5490"/>
    <tableColumn id="5509" xr3:uid="{8742FC73-8F61-CB4F-A569-13695154B57F}" name="Column5491"/>
    <tableColumn id="5510" xr3:uid="{7122AAF7-BDF9-664F-92BB-03E1129569EB}" name="Column5492"/>
    <tableColumn id="5511" xr3:uid="{80C6DAF3-8FDC-D145-B883-F09FBB01E0F6}" name="Column5493"/>
    <tableColumn id="5512" xr3:uid="{F1C57D46-37AB-3349-BEC3-340CFEF3B1F2}" name="Column5494"/>
    <tableColumn id="5513" xr3:uid="{EEE0C086-79A5-1D44-B007-B3221D7173B7}" name="Column5495"/>
    <tableColumn id="5514" xr3:uid="{D94F9E5D-7767-6447-AFA6-D680BF6F6CE8}" name="Column5496"/>
    <tableColumn id="5515" xr3:uid="{E6B65561-B7BD-4044-8AA3-4A6780A6BB92}" name="Column5497"/>
    <tableColumn id="5516" xr3:uid="{1BB0F95F-04EB-2643-B97F-C0B0A0E2422A}" name="Column5498"/>
    <tableColumn id="5517" xr3:uid="{9C3B44BF-7618-7441-AF74-C048744B6F97}" name="Column5499"/>
    <tableColumn id="5518" xr3:uid="{FF10625E-17E7-0945-AAE3-002C138A530F}" name="Column5500"/>
    <tableColumn id="5519" xr3:uid="{0E987037-08D9-4A41-BEA8-A27CBE9516E8}" name="Column5501"/>
    <tableColumn id="5520" xr3:uid="{70854138-05E4-3B45-BAB0-92582B858332}" name="Column5502"/>
    <tableColumn id="5521" xr3:uid="{9595D259-D5D4-6A4D-8292-7C6E171BFE29}" name="Column5503"/>
    <tableColumn id="5522" xr3:uid="{3ABC7431-AA64-7F47-8B2B-50F204DAD7B4}" name="Column5504"/>
    <tableColumn id="5523" xr3:uid="{DB7E555F-0B99-1747-A6C4-C17F699A277A}" name="Column5505"/>
    <tableColumn id="5524" xr3:uid="{36B2B358-624C-5E4C-BB4A-85ACB9A1AC24}" name="Column5506"/>
    <tableColumn id="5525" xr3:uid="{8E470D11-10C2-A940-8C7E-3FE81A4B79BB}" name="Column5507"/>
    <tableColumn id="5526" xr3:uid="{067DE0C9-CD19-3C4A-91B4-A7E428D7F24F}" name="Column5508"/>
    <tableColumn id="5527" xr3:uid="{772C00D3-C1DC-B94B-9145-1042DC904F11}" name="Column5509"/>
    <tableColumn id="5528" xr3:uid="{DB48DFD4-5A97-7C42-8E8F-2B751FCFFCCB}" name="Column5510"/>
    <tableColumn id="5529" xr3:uid="{5D40BB53-8D74-5149-A859-A6866A1A9A4B}" name="Column5511"/>
    <tableColumn id="5530" xr3:uid="{D1BAF158-6D10-174B-9595-1E8D9504263D}" name="Column5512"/>
    <tableColumn id="5531" xr3:uid="{8F70F6E6-15BB-7C44-8D96-078F56D50F93}" name="Column5513"/>
    <tableColumn id="5532" xr3:uid="{19478A04-0385-D549-A2F1-4DC4E6915E17}" name="Column5514"/>
    <tableColumn id="5533" xr3:uid="{E98A9AC9-A37E-F34F-992A-AAE9B9F5AD4C}" name="Column5515"/>
    <tableColumn id="5534" xr3:uid="{FB540BE3-C497-CE45-BEE6-631204CC75A9}" name="Column5516"/>
    <tableColumn id="5535" xr3:uid="{63D878ED-0FD7-0641-A19E-B2D74041BAE9}" name="Column5517"/>
    <tableColumn id="5536" xr3:uid="{7B5BB47C-9A40-D74A-943E-25982F580987}" name="Column5518"/>
    <tableColumn id="5537" xr3:uid="{032E84D5-74FB-ED4E-A759-9C5A8DD7F9CD}" name="Column5519"/>
    <tableColumn id="5538" xr3:uid="{CF838B15-91A0-EF4B-B037-C4D9532560E7}" name="Column5520"/>
    <tableColumn id="5539" xr3:uid="{BEE154B2-E7EA-694E-BAB9-5C220A750E67}" name="Column5521"/>
    <tableColumn id="5540" xr3:uid="{FBFB26C7-98CA-0F4C-BDD1-1F2BCFF93BA6}" name="Column5522"/>
    <tableColumn id="5541" xr3:uid="{23C34AF8-A149-7E44-B44E-C815B17E3624}" name="Column5523"/>
    <tableColumn id="5542" xr3:uid="{6CF3EABA-9A3F-C64D-A046-FA750DA8BF39}" name="Column5524"/>
    <tableColumn id="5543" xr3:uid="{4CC7B586-9981-2147-A3A0-698D61999FC4}" name="Column5525"/>
    <tableColumn id="5544" xr3:uid="{D5523715-0F6A-6346-822F-D073782D66E5}" name="Column5526"/>
    <tableColumn id="5545" xr3:uid="{EFBD75D7-7424-AE4F-AC43-97E003314E81}" name="Column5527"/>
    <tableColumn id="5546" xr3:uid="{FD182373-6063-D545-8D3F-4E4FB6CB9860}" name="Column5528"/>
    <tableColumn id="5547" xr3:uid="{39ED345D-FC5F-C647-B348-891619205A48}" name="Column5529"/>
    <tableColumn id="5548" xr3:uid="{B2672BB3-B5B8-E64B-A658-E69D706A4A51}" name="Column5530"/>
    <tableColumn id="5549" xr3:uid="{081315A0-5149-A84B-986F-4F1F3C91A5CB}" name="Column5531"/>
    <tableColumn id="5550" xr3:uid="{D205D43D-833E-D841-BC9C-A4CFACDDDEE2}" name="Column5532"/>
    <tableColumn id="5551" xr3:uid="{67A8305B-6E81-C845-A86F-B5B891A1566D}" name="Column5533"/>
    <tableColumn id="5552" xr3:uid="{31B0F0F3-7E4E-F04A-B230-670F378D0519}" name="Column5534"/>
    <tableColumn id="5553" xr3:uid="{79FE04E2-DA5A-0F49-8159-D0E56D5D829B}" name="Column5535"/>
    <tableColumn id="5554" xr3:uid="{1CF5B985-A8ED-3D41-B874-B44AD4339475}" name="Column5536"/>
    <tableColumn id="5555" xr3:uid="{1776D8C3-2D8A-AF4D-BF3D-A0F03B0691F6}" name="Column5537"/>
    <tableColumn id="5556" xr3:uid="{C3500351-A875-4B4B-995D-FECF258CFD07}" name="Column5538"/>
    <tableColumn id="5557" xr3:uid="{DA7CAD56-6A81-6F40-B30F-47D12405A8FB}" name="Column5539"/>
    <tableColumn id="5558" xr3:uid="{4DC7830B-3978-E045-B992-DBC5EDA03538}" name="Column5540"/>
    <tableColumn id="5559" xr3:uid="{108E4F2E-5D41-504B-B666-D990DCFDCBD5}" name="Column5541"/>
    <tableColumn id="5560" xr3:uid="{C78E18B5-F3C3-6C45-B28B-595064833F63}" name="Column5542"/>
    <tableColumn id="5561" xr3:uid="{5FA297A8-D027-6548-BE44-206EEF83CE47}" name="Column5543"/>
    <tableColumn id="5562" xr3:uid="{737AE029-2BD2-2149-AA3F-B092E6B643B3}" name="Column5544"/>
    <tableColumn id="5563" xr3:uid="{9A75EDC8-0AC3-8E46-9ABF-3B96C1834C96}" name="Column5545"/>
    <tableColumn id="5564" xr3:uid="{36E3F5A4-B538-0749-9EC8-DD02E6AB1F2E}" name="Column5546"/>
    <tableColumn id="5565" xr3:uid="{B3CFEE5D-4625-BF43-821F-321CD0703D34}" name="Column5547"/>
    <tableColumn id="5566" xr3:uid="{2E6D535B-78E2-AE44-88AB-8ECF571652F2}" name="Column5548"/>
    <tableColumn id="5567" xr3:uid="{2C74B529-B825-CD47-86CA-8D21DA530D1C}" name="Column5549"/>
    <tableColumn id="5568" xr3:uid="{74EFC1BD-F01C-214C-B35D-9A1FFB79D91A}" name="Column5550"/>
    <tableColumn id="5569" xr3:uid="{891B3488-216D-C34E-A245-CA7EE8F33A67}" name="Column5551"/>
    <tableColumn id="5570" xr3:uid="{B25B68C1-312F-4844-AD93-B2B3BF317943}" name="Column5552"/>
    <tableColumn id="5571" xr3:uid="{DF90FBA0-A282-9848-AC81-36B883756163}" name="Column5553"/>
    <tableColumn id="5572" xr3:uid="{5922566A-98A4-E74F-AE9D-846342CF2CD5}" name="Column5554"/>
    <tableColumn id="5573" xr3:uid="{92BD3B57-909D-814D-A79E-7B0D0B383229}" name="Column5555"/>
    <tableColumn id="5574" xr3:uid="{1B785398-D864-3C46-B135-22B76F9F1B7B}" name="Column5556"/>
    <tableColumn id="5575" xr3:uid="{236D3606-E6CC-6747-BADB-E019B9E8C718}" name="Column5557"/>
    <tableColumn id="5576" xr3:uid="{5D769C09-4CFE-1F4C-8CC6-9FF9E8BC489D}" name="Column5558"/>
    <tableColumn id="5577" xr3:uid="{4EC5EE61-7D08-DE44-81E0-C8946048925C}" name="Column5559"/>
    <tableColumn id="5578" xr3:uid="{01AA22D0-0C27-D54F-95AE-32C437447DDF}" name="Column5560"/>
    <tableColumn id="5579" xr3:uid="{5FA619FC-0DFC-9749-A0FD-4928B328BC47}" name="Column5561"/>
    <tableColumn id="5580" xr3:uid="{98B14B26-63C7-FC45-A28E-25182EC12AEA}" name="Column5562"/>
    <tableColumn id="5581" xr3:uid="{F87EAF3E-0103-B44E-B7EA-B0FF72C9308F}" name="Column5563"/>
    <tableColumn id="5582" xr3:uid="{E1533D6B-C3C4-9B4A-B6DB-485EDB7FADAA}" name="Column5564"/>
    <tableColumn id="5583" xr3:uid="{A7AB17CB-EB5F-CC45-906E-1C671E914A2E}" name="Column5565"/>
    <tableColumn id="5584" xr3:uid="{FCEBBB67-94E9-2B44-8BA6-1B24B8324EFA}" name="Column5566"/>
    <tableColumn id="5585" xr3:uid="{14D53EEC-2C56-5C42-B7E0-643B84572ADF}" name="Column5567"/>
    <tableColumn id="5586" xr3:uid="{00FE5A49-8071-6A4B-894C-5EA1C49E6609}" name="Column5568"/>
    <tableColumn id="5587" xr3:uid="{31B86A2C-E8EE-6947-A303-64ED3ADBECFB}" name="Column5569"/>
    <tableColumn id="5588" xr3:uid="{83F1127E-FDDF-BE43-BA7F-6750107E6921}" name="Column5570"/>
    <tableColumn id="5589" xr3:uid="{88C559F0-7C52-4448-A18B-BC012A7DAFEE}" name="Column5571"/>
    <tableColumn id="5590" xr3:uid="{DE31BB8D-7F75-5141-B491-4A6B8B7CDCEF}" name="Column5572"/>
    <tableColumn id="5591" xr3:uid="{BD2459D1-2E20-4749-8D10-9ADE7BE1673D}" name="Column5573"/>
    <tableColumn id="5592" xr3:uid="{8C49805D-39A9-994B-AEA3-7FC97D81F31B}" name="Column5574"/>
    <tableColumn id="5593" xr3:uid="{21ABCDF8-662E-E943-8613-A260D74663EC}" name="Column5575"/>
    <tableColumn id="5594" xr3:uid="{E15DBF64-ADE9-9B4C-847F-B273F772FA68}" name="Column5576"/>
    <tableColumn id="5595" xr3:uid="{6E5CD22D-018D-6241-8DC3-50FA9F5FEFD5}" name="Column5577"/>
    <tableColumn id="5596" xr3:uid="{4851BA04-540E-B549-AB31-4A49F3F680F6}" name="Column5578"/>
    <tableColumn id="5597" xr3:uid="{BB8BDA35-43C0-A44F-B6F1-03F58A1E5E9F}" name="Column5579"/>
    <tableColumn id="5598" xr3:uid="{DD2F0C1E-D6E9-3A45-9E7B-09E16ED4F906}" name="Column5580"/>
    <tableColumn id="5599" xr3:uid="{9EB7E0CB-5B7D-5146-BA42-B5CB3D59C5B7}" name="Column5581"/>
    <tableColumn id="5600" xr3:uid="{432B659E-1C57-9F4D-9919-D6D55669745A}" name="Column5582"/>
    <tableColumn id="5601" xr3:uid="{D70FCF7C-B4A7-8A49-B8F6-CE41EA2EA4ED}" name="Column5583"/>
    <tableColumn id="5602" xr3:uid="{6AFF9B3E-4B21-CF43-826B-2AFEB2CBCCA3}" name="Column5584"/>
    <tableColumn id="5603" xr3:uid="{2B2E3A7D-8ACE-A64C-BBB1-B8EADDD4325C}" name="Column5585"/>
    <tableColumn id="5604" xr3:uid="{4AF8C0BE-CD7D-3C48-8571-0DDCA0AE2132}" name="Column5586"/>
    <tableColumn id="5605" xr3:uid="{6AF20BC3-F08F-AA41-B41F-CCD74F51D7FF}" name="Column5587"/>
    <tableColumn id="5606" xr3:uid="{23B9E902-CA0E-CA4D-B82A-097F77E90BA8}" name="Column5588"/>
    <tableColumn id="5607" xr3:uid="{601A3CD7-63FE-B040-9C8A-745FAEBFF93F}" name="Column5589"/>
    <tableColumn id="5608" xr3:uid="{143098FD-FF05-EB47-B867-B65140F9ECA7}" name="Column5590"/>
    <tableColumn id="5609" xr3:uid="{F0017C43-12BD-8546-BC64-B46711D8BCA5}" name="Column5591"/>
    <tableColumn id="5610" xr3:uid="{CB3D37E2-B7D0-124D-9B24-46BDEAD9202D}" name="Column5592"/>
    <tableColumn id="5611" xr3:uid="{981905ED-9FC3-5C4B-9619-2A5831E5855A}" name="Column5593"/>
    <tableColumn id="5612" xr3:uid="{088B9981-3AE3-9D41-889A-39D0BBA0B0C7}" name="Column5594"/>
    <tableColumn id="5613" xr3:uid="{791A4DFE-A307-D04B-B7DC-94F8186971E9}" name="Column5595"/>
    <tableColumn id="5614" xr3:uid="{3AC6D72C-62B0-5D46-9D4E-4E1A2E560FDB}" name="Column5596"/>
    <tableColumn id="5615" xr3:uid="{CEB94744-2D91-0D47-8661-0D2DB7B7F1EE}" name="Column5597"/>
    <tableColumn id="5616" xr3:uid="{909135EA-1A46-BD4F-A4A8-5E520DA30FEB}" name="Column5598"/>
    <tableColumn id="5617" xr3:uid="{5FACAA00-1017-3345-8D84-1614EA82A755}" name="Column5599"/>
    <tableColumn id="5618" xr3:uid="{57A8FE67-036E-FE4D-A277-55A743AE50EC}" name="Column5600"/>
    <tableColumn id="5619" xr3:uid="{2B1F497C-D571-A144-A02B-5F48FBFDB728}" name="Column5601"/>
    <tableColumn id="5620" xr3:uid="{8E9FD997-C421-1245-85EB-F24751A0FD39}" name="Column5602"/>
    <tableColumn id="5621" xr3:uid="{07A0C528-29C9-E746-AD2F-97837088ECDF}" name="Column5603"/>
    <tableColumn id="5622" xr3:uid="{B8587B72-CBBF-C645-A521-6E3EDEE8BBE3}" name="Column5604"/>
    <tableColumn id="5623" xr3:uid="{6610E0F3-D192-1C44-965D-B8E34245B3B7}" name="Column5605"/>
    <tableColumn id="5624" xr3:uid="{76C52764-419E-7D49-A1B6-BD3019721FE0}" name="Column5606"/>
    <tableColumn id="5625" xr3:uid="{9DCB39CE-01C1-7B46-BF43-4454D3EDB62D}" name="Column5607"/>
    <tableColumn id="5626" xr3:uid="{1F15E6D5-E545-744B-BD14-B700569B452C}" name="Column5608"/>
    <tableColumn id="5627" xr3:uid="{C128107D-4634-2741-91E8-4939585319D6}" name="Column5609"/>
    <tableColumn id="5628" xr3:uid="{7E7315D4-DCC1-7A4F-AAA1-29EC424152CC}" name="Column5610"/>
    <tableColumn id="5629" xr3:uid="{896B0ED5-D1B8-7747-8A42-5E932017DFBA}" name="Column5611"/>
    <tableColumn id="5630" xr3:uid="{05651DA7-5570-5F43-A1FE-8E81B23463FB}" name="Column5612"/>
    <tableColumn id="5631" xr3:uid="{A113671D-32C9-FD45-9781-A54D7378683D}" name="Column5613"/>
    <tableColumn id="5632" xr3:uid="{00FFAF84-700E-BF4F-8B0D-D0A952E9447A}" name="Column5614"/>
    <tableColumn id="5633" xr3:uid="{55F48B9B-A4A9-E240-9CA9-A3CDFBFD3809}" name="Column5615"/>
    <tableColumn id="5634" xr3:uid="{401E51DF-8BEB-DC43-8A75-16B26E97D91A}" name="Column5616"/>
    <tableColumn id="5635" xr3:uid="{0B678AFC-BB07-AE49-9CD7-E9B9023858BF}" name="Column5617"/>
    <tableColumn id="5636" xr3:uid="{FC34122C-7C55-C145-B86B-8436DCA5A0B8}" name="Column5618"/>
    <tableColumn id="5637" xr3:uid="{A88EB5A3-971B-D041-8282-1F9B5F216458}" name="Column5619"/>
    <tableColumn id="5638" xr3:uid="{6C75A68F-ECE8-7146-8751-FF072F99543E}" name="Column5620"/>
    <tableColumn id="5639" xr3:uid="{6EAE349C-8FE7-0B45-A613-79CC1882AB4C}" name="Column5621"/>
    <tableColumn id="5640" xr3:uid="{0350DB07-4A1F-0446-BE91-D30CA401F260}" name="Column5622"/>
    <tableColumn id="5641" xr3:uid="{04593815-C3C6-D640-8E13-25ECB1E893F6}" name="Column5623"/>
    <tableColumn id="5642" xr3:uid="{95AE89FA-A51E-A346-B796-69BC8389A97F}" name="Column5624"/>
    <tableColumn id="5643" xr3:uid="{C359B2CA-796F-7E49-BBE5-DEB3FD83D073}" name="Column5625"/>
    <tableColumn id="5644" xr3:uid="{CA5934CC-2A86-D64A-B3F7-24666203760A}" name="Column5626"/>
    <tableColumn id="5645" xr3:uid="{BEDCB556-2B39-1242-8628-587A6BE044E6}" name="Column5627"/>
    <tableColumn id="5646" xr3:uid="{9FEECF19-FBC3-7141-A4AA-AD7F141459E0}" name="Column5628"/>
    <tableColumn id="5647" xr3:uid="{A4571792-53D6-A243-9D65-B531BF2B97DF}" name="Column5629"/>
    <tableColumn id="5648" xr3:uid="{858EE1F4-751E-9742-8D6C-5786BF9BD00C}" name="Column5630"/>
    <tableColumn id="5649" xr3:uid="{ED86FF04-7E47-174D-808C-17E25A0EEB91}" name="Column5631"/>
    <tableColumn id="5650" xr3:uid="{2C9E1A6B-A474-5548-A120-89DDC4F6660F}" name="Column5632"/>
    <tableColumn id="5651" xr3:uid="{DF2F67FE-135F-014A-A76D-F600BB902880}" name="Column5633"/>
    <tableColumn id="5652" xr3:uid="{2B396C33-ED8B-A74C-A161-792D2115EB0B}" name="Column5634"/>
    <tableColumn id="5653" xr3:uid="{8B10F7B7-A833-9146-A358-12E605637C52}" name="Column5635"/>
    <tableColumn id="5654" xr3:uid="{9FB9AFFF-212E-794F-9778-B20AE5907E3A}" name="Column5636"/>
    <tableColumn id="5655" xr3:uid="{94E2279D-6115-6649-8FDE-001981F8487C}" name="Column5637"/>
    <tableColumn id="5656" xr3:uid="{206B5226-F7CA-3F41-8E0D-936C21360536}" name="Column5638"/>
    <tableColumn id="5657" xr3:uid="{76CED294-6EF7-6140-AEBB-FD431676B32A}" name="Column5639"/>
    <tableColumn id="5658" xr3:uid="{9D2A42A3-7D0B-8747-AC28-13873596D7C4}" name="Column5640"/>
    <tableColumn id="5659" xr3:uid="{BB2557B8-6B75-2C49-9A19-F6827B97C7B5}" name="Column5641"/>
    <tableColumn id="5660" xr3:uid="{72873A1E-5DFD-3C45-965B-F09CC2D348DE}" name="Column5642"/>
    <tableColumn id="5661" xr3:uid="{D76F64FB-0635-274C-AE95-5C0FA6498A99}" name="Column5643"/>
    <tableColumn id="5662" xr3:uid="{71151C6A-13CB-F84D-8282-5830312E4D8B}" name="Column5644"/>
    <tableColumn id="5663" xr3:uid="{CD980BE1-2260-FB47-A5E7-984409FF7444}" name="Column5645"/>
    <tableColumn id="5664" xr3:uid="{47D0C3F7-19FF-6244-9A1D-5FF54FF8B4DC}" name="Column5646"/>
    <tableColumn id="5665" xr3:uid="{E40E0EEB-9F6F-7845-89D8-7869B0DF866B}" name="Column5647"/>
    <tableColumn id="5666" xr3:uid="{D1FA0B42-6756-BE48-861E-F74A36009D36}" name="Column5648"/>
    <tableColumn id="5667" xr3:uid="{D5C12F5D-BB3A-6341-9C3C-D13D127D8293}" name="Column5649"/>
    <tableColumn id="5668" xr3:uid="{F5E00054-BFF9-0E4A-A600-1C7DE02D6D37}" name="Column5650"/>
    <tableColumn id="5669" xr3:uid="{00C05945-8054-3340-957D-AD3358144F74}" name="Column5651"/>
    <tableColumn id="5670" xr3:uid="{0C239DE8-BB06-244B-B81D-03FDF7828DFF}" name="Column5652"/>
    <tableColumn id="5671" xr3:uid="{145D0EB1-3951-4E4D-8A05-E23AAC024294}" name="Column5653"/>
    <tableColumn id="5672" xr3:uid="{7F2A69CC-86F0-1745-8B34-C7816B3B5794}" name="Column5654"/>
    <tableColumn id="5673" xr3:uid="{0F004689-3BB2-E54C-905B-049A1E4D3DB8}" name="Column5655"/>
    <tableColumn id="5674" xr3:uid="{7942B482-67F8-9946-8F11-EE2B00BC87A4}" name="Column5656"/>
    <tableColumn id="5675" xr3:uid="{3D5792A3-ACD7-B149-B322-91E1F6835D14}" name="Column5657"/>
    <tableColumn id="5676" xr3:uid="{A3C44E7D-1063-874A-B74B-F9A930014243}" name="Column5658"/>
    <tableColumn id="5677" xr3:uid="{AE5FFB84-DB22-6243-8A05-EC86D3995075}" name="Column5659"/>
    <tableColumn id="5678" xr3:uid="{7A65B6BB-C2C5-4D44-940C-818288C371CF}" name="Column5660"/>
    <tableColumn id="5679" xr3:uid="{468B956B-40D1-124A-AF8D-247AE8625956}" name="Column5661"/>
    <tableColumn id="5680" xr3:uid="{DAEC5D2A-3B95-9D49-9D10-363908571356}" name="Column5662"/>
    <tableColumn id="5681" xr3:uid="{62605D54-F1E3-B14C-9BE5-421009F90A66}" name="Column5663"/>
    <tableColumn id="5682" xr3:uid="{E1096EFE-5393-704B-A326-4B3AF06ABB3B}" name="Column5664"/>
    <tableColumn id="5683" xr3:uid="{BCA88119-5AC8-C249-93D6-75DF616E3859}" name="Column5665"/>
    <tableColumn id="5684" xr3:uid="{39727E19-2A7F-4046-AE56-64B8ECE1EDC6}" name="Column5666"/>
    <tableColumn id="5685" xr3:uid="{169E698F-3912-9342-B0FE-3CE6B4CAA642}" name="Column5667"/>
    <tableColumn id="5686" xr3:uid="{833D2FD9-3DA4-FE48-8B56-B93F640E1DDE}" name="Column5668"/>
    <tableColumn id="5687" xr3:uid="{A8D3BCE4-859A-C64E-AB31-EECE9CD7BD07}" name="Column5669"/>
    <tableColumn id="5688" xr3:uid="{C841CEB8-D463-8E4A-8DE3-BFB176DC10F6}" name="Column5670"/>
    <tableColumn id="5689" xr3:uid="{BA29A082-CEB2-1041-B456-3B36AD2F1055}" name="Column5671"/>
    <tableColumn id="5690" xr3:uid="{E513C3D8-4D76-3944-970D-065626578A0D}" name="Column5672"/>
    <tableColumn id="5691" xr3:uid="{C7D012C3-4C59-7A4F-8F8C-3745D2A77591}" name="Column5673"/>
    <tableColumn id="5692" xr3:uid="{C05DCC3E-E9F9-454C-BFCE-B056DC18815F}" name="Column5674"/>
    <tableColumn id="5693" xr3:uid="{6DDB1EEF-CF9C-774D-86FA-A9D3A45EEC12}" name="Column5675"/>
    <tableColumn id="5694" xr3:uid="{A03AC87A-A398-D848-9C2B-6A638A382CCE}" name="Column5676"/>
    <tableColumn id="5695" xr3:uid="{2F345A7B-0149-884B-9E7F-535137B6E31F}" name="Column5677"/>
    <tableColumn id="5696" xr3:uid="{0FEFB859-70CC-FD42-A865-CE0CBA6A7590}" name="Column5678"/>
    <tableColumn id="5697" xr3:uid="{F9BC0D55-BF82-474B-9EE4-E9436133946F}" name="Column5679"/>
    <tableColumn id="5698" xr3:uid="{42E310E4-D890-3641-9704-15E6D3F1B779}" name="Column5680"/>
    <tableColumn id="5699" xr3:uid="{CF8BF59F-717B-3347-888B-941A3C7C4A58}" name="Column5681"/>
    <tableColumn id="5700" xr3:uid="{061E115D-38F2-F44B-94CD-CB763FC082FE}" name="Column5682"/>
    <tableColumn id="5701" xr3:uid="{330F907B-3C36-D04A-966D-AD5981AADFAD}" name="Column5683"/>
    <tableColumn id="5702" xr3:uid="{CD96D0FD-EA70-F940-B93F-0875D8CF556D}" name="Column5684"/>
    <tableColumn id="5703" xr3:uid="{90C1299C-A27E-154A-8782-57EBFD00E79B}" name="Column5685"/>
    <tableColumn id="5704" xr3:uid="{B5F8DDD3-3A0C-FA4B-BF9E-1995B2034E9A}" name="Column5686"/>
    <tableColumn id="5705" xr3:uid="{E55DB5C7-1A05-1A45-82BE-C266C1E0DEEA}" name="Column5687"/>
    <tableColumn id="5706" xr3:uid="{CE5D9F04-552C-1D4C-8E3B-C31B8C17DC8B}" name="Column5688"/>
    <tableColumn id="5707" xr3:uid="{F4349093-5771-4543-923D-1D2636C9F846}" name="Column5689"/>
    <tableColumn id="5708" xr3:uid="{AC5773DB-3541-2948-82C8-7DDEFA74F299}" name="Column5690"/>
    <tableColumn id="5709" xr3:uid="{EA31B1AA-764F-4A44-AC41-EF7B8DBBEFBF}" name="Column5691"/>
    <tableColumn id="5710" xr3:uid="{B444D41E-0A61-9841-86EE-9B3C372F3FB9}" name="Column5692"/>
    <tableColumn id="5711" xr3:uid="{B3E8180C-C009-EB47-B9BA-11D8D54F24C4}" name="Column5693"/>
    <tableColumn id="5712" xr3:uid="{09E2E13F-94AA-C146-ACC2-C2E79662491C}" name="Column5694"/>
    <tableColumn id="5713" xr3:uid="{2FA16E0C-A237-6443-8D64-D45E4B656684}" name="Column5695"/>
    <tableColumn id="5714" xr3:uid="{869D9D18-C833-C848-A7B6-40A0CD2E9F1C}" name="Column5696"/>
    <tableColumn id="5715" xr3:uid="{FB637299-E3B0-0541-81FD-2CE628AC2315}" name="Column5697"/>
    <tableColumn id="5716" xr3:uid="{ABB691A4-AB3B-6746-AC59-594C0ACBBC43}" name="Column5698"/>
    <tableColumn id="5717" xr3:uid="{A263E4D6-F283-0A48-BBE0-B1F2E3E33F35}" name="Column5699"/>
    <tableColumn id="5718" xr3:uid="{FBC42D4A-8DAF-3A48-BD7D-1D8E72034B22}" name="Column5700"/>
    <tableColumn id="5719" xr3:uid="{F2795C54-EF00-DB48-AE4A-86E66F920628}" name="Column5701"/>
    <tableColumn id="5720" xr3:uid="{5F1A372C-0C61-F746-9997-4AE5958BAE6A}" name="Column5702"/>
    <tableColumn id="5721" xr3:uid="{A3D45805-407D-1F47-9875-AEBDD6B3B38D}" name="Column5703"/>
    <tableColumn id="5722" xr3:uid="{C61B07A8-B328-B641-88D8-85CBF47B49E7}" name="Column5704"/>
    <tableColumn id="5723" xr3:uid="{395E85C0-AE6C-9643-B323-879075C48804}" name="Column5705"/>
    <tableColumn id="5724" xr3:uid="{C16947B4-8974-CA4C-A4BF-5EEFC6ABF6AF}" name="Column5706"/>
    <tableColumn id="5725" xr3:uid="{3E9D22B4-9EE7-904B-8C63-FED860CD1860}" name="Column5707"/>
    <tableColumn id="5726" xr3:uid="{57239524-2304-984D-B9FA-4FC1EEB5073F}" name="Column5708"/>
    <tableColumn id="5727" xr3:uid="{0D9C7ADB-C952-6C40-98E1-7A36780E8277}" name="Column5709"/>
    <tableColumn id="5728" xr3:uid="{483C7990-63B0-4D44-AC01-2D3BD6CD91D4}" name="Column5710"/>
    <tableColumn id="5729" xr3:uid="{C7157F23-6F0D-D344-8538-0827145451DA}" name="Column5711"/>
    <tableColumn id="5730" xr3:uid="{44BB321D-56C4-A64E-95A9-C46146C57B47}" name="Column5712"/>
    <tableColumn id="5731" xr3:uid="{08131A9C-CA23-4E47-8E27-75469ABF31B6}" name="Column5713"/>
    <tableColumn id="5732" xr3:uid="{4F779397-38EE-E24E-B2E3-C014505B8AD0}" name="Column5714"/>
    <tableColumn id="5733" xr3:uid="{B6CE81A1-169D-6147-A0C0-4F4C234DB94B}" name="Column5715"/>
    <tableColumn id="5734" xr3:uid="{35BA62EB-C414-904F-B64E-B495404094AB}" name="Column5716"/>
    <tableColumn id="5735" xr3:uid="{EA40B9AA-1116-0F4F-AFC1-FC1624320CE8}" name="Column5717"/>
    <tableColumn id="5736" xr3:uid="{3E214D89-FA1F-1540-835C-E79B7F34E79B}" name="Column5718"/>
    <tableColumn id="5737" xr3:uid="{F3ED7910-FD3F-E447-BBD5-CDDAE8F5BF6A}" name="Column5719"/>
    <tableColumn id="5738" xr3:uid="{475FEA9B-006C-E247-84BE-CA0221B76B4A}" name="Column5720"/>
    <tableColumn id="5739" xr3:uid="{3B5F22C1-DAB0-CD40-A0D1-43962E7DAF96}" name="Column5721"/>
    <tableColumn id="5740" xr3:uid="{F8FBF7ED-0240-7D4F-BCB8-9858F9A2E194}" name="Column5722"/>
    <tableColumn id="5741" xr3:uid="{E6104621-6EB3-4E46-A221-5869FAB5047E}" name="Column5723"/>
    <tableColumn id="5742" xr3:uid="{5FD3ABFB-84CE-2D4D-B154-EB7438581C89}" name="Column5724"/>
    <tableColumn id="5743" xr3:uid="{B8CEC639-3D61-0C48-96DF-F409BF9A48DF}" name="Column5725"/>
    <tableColumn id="5744" xr3:uid="{32A05A39-3CD8-DC4C-ACDA-EE6237131539}" name="Column5726"/>
    <tableColumn id="5745" xr3:uid="{FF96CB30-1F36-F14A-90BA-DA887D20502E}" name="Column5727"/>
    <tableColumn id="5746" xr3:uid="{7F0BA764-1089-654F-B71D-EF93AA4CAB89}" name="Column5728"/>
    <tableColumn id="5747" xr3:uid="{E0F104F1-60DD-9E4B-9DCB-32A4DD84955C}" name="Column5729"/>
    <tableColumn id="5748" xr3:uid="{C81A7C2C-E534-A84D-BD7E-5B92632D586D}" name="Column5730"/>
    <tableColumn id="5749" xr3:uid="{CDCD8C9F-CAC7-7D4A-96C4-B380706E4387}" name="Column5731"/>
    <tableColumn id="5750" xr3:uid="{FB6D3DCB-A82B-7942-B5E1-8451D979494A}" name="Column5732"/>
    <tableColumn id="5751" xr3:uid="{DC0A7F46-17CB-8F49-B8A8-5A97EE8FF4CB}" name="Column5733"/>
    <tableColumn id="5752" xr3:uid="{31FFCB20-31FC-BC41-8E34-15D529B79AF8}" name="Column5734"/>
    <tableColumn id="5753" xr3:uid="{97E2754A-A95E-1045-B44B-C3E1232AA078}" name="Column5735"/>
    <tableColumn id="5754" xr3:uid="{E53DF975-8561-504B-A524-9D2494F9606B}" name="Column5736"/>
    <tableColumn id="5755" xr3:uid="{051DF993-4FFE-EA44-8E11-10B0A7509F12}" name="Column5737"/>
    <tableColumn id="5756" xr3:uid="{D219017B-18BC-034E-BAE1-EFCA8594D840}" name="Column5738"/>
    <tableColumn id="5757" xr3:uid="{C8C2F15F-1D9E-D248-99A5-38EDD7750847}" name="Column5739"/>
    <tableColumn id="5758" xr3:uid="{BD570D9C-C991-1E41-94D2-CAF7D394B698}" name="Column5740"/>
    <tableColumn id="5759" xr3:uid="{CBC7B0C4-C045-6848-9F20-D82DA14BAE9F}" name="Column5741"/>
    <tableColumn id="5760" xr3:uid="{129FE2F0-281C-AC48-BCC8-0257DCB42D5A}" name="Column5742"/>
    <tableColumn id="5761" xr3:uid="{90578FF6-53BC-AA49-A219-16C19642413B}" name="Column5743"/>
    <tableColumn id="5762" xr3:uid="{36AEFBAB-2DEC-4048-B6D8-6C1B7E0A9701}" name="Column5744"/>
    <tableColumn id="5763" xr3:uid="{3273E8A5-935E-8744-8F28-BA24ED774EC3}" name="Column5745"/>
    <tableColumn id="5764" xr3:uid="{A2CBF627-FA75-FF4D-8914-A061FBA354FC}" name="Column5746"/>
    <tableColumn id="5765" xr3:uid="{02F5E1CE-5A86-934B-BC30-278596A0565E}" name="Column5747"/>
    <tableColumn id="5766" xr3:uid="{A3BD3740-4146-6240-A15A-4DB22655DAC2}" name="Column5748"/>
    <tableColumn id="5767" xr3:uid="{B6014DE1-EE44-4748-8E3D-3ED75F2FC8E4}" name="Column5749"/>
    <tableColumn id="5768" xr3:uid="{6A112656-0F78-AD42-883B-6AB684C4DA3B}" name="Column5750"/>
    <tableColumn id="5769" xr3:uid="{F4105E3D-5E98-074A-B3F5-62767EC93990}" name="Column5751"/>
    <tableColumn id="5770" xr3:uid="{6859EDD4-B254-A548-BADF-66F542D4E860}" name="Column5752"/>
    <tableColumn id="5771" xr3:uid="{7B74553A-254C-7446-AF4F-3E8200B395A6}" name="Column5753"/>
    <tableColumn id="5772" xr3:uid="{086AD9EA-604C-1B46-B892-7FD26EE83EAB}" name="Column5754"/>
    <tableColumn id="5773" xr3:uid="{0B079A89-9692-6248-BB25-47324CE820C7}" name="Column5755"/>
    <tableColumn id="5774" xr3:uid="{9639B483-256A-3847-87A5-A70D4487C325}" name="Column5756"/>
    <tableColumn id="5775" xr3:uid="{5B9609BF-3C48-F94B-AA3B-7362A66A4181}" name="Column5757"/>
    <tableColumn id="5776" xr3:uid="{98040F86-903D-0448-88D4-BFECD203BFCF}" name="Column5758"/>
    <tableColumn id="5777" xr3:uid="{1E33D4B6-6D52-AD46-A4D0-68CF128C6CF9}" name="Column5759"/>
    <tableColumn id="5778" xr3:uid="{7507DB4A-8F37-0549-88B8-A5784C2BEEDC}" name="Column5760"/>
    <tableColumn id="5779" xr3:uid="{B269D1F8-6A9B-EB47-8C0E-9807C753EAC2}" name="Column5761"/>
    <tableColumn id="5780" xr3:uid="{2F872CA4-3013-C543-A7FE-4AF1CB934604}" name="Column5762"/>
    <tableColumn id="5781" xr3:uid="{5D0207D4-43D2-1242-9355-02CC71979FFE}" name="Column5763"/>
    <tableColumn id="5782" xr3:uid="{0E37F480-0D57-B24F-A0EC-3FDB0793F40D}" name="Column5764"/>
    <tableColumn id="5783" xr3:uid="{6253A72F-7619-6848-9FDB-C233FF16CFAC}" name="Column5765"/>
    <tableColumn id="5784" xr3:uid="{222E5AC9-02DF-4740-BF2C-6ED4BF2B6DF3}" name="Column5766"/>
    <tableColumn id="5785" xr3:uid="{66D741DE-1A6D-B545-9A0B-46FE276C3BDB}" name="Column5767"/>
    <tableColumn id="5786" xr3:uid="{B12049B5-0C48-2746-A7C4-050E224CA74E}" name="Column5768"/>
    <tableColumn id="5787" xr3:uid="{A0666A41-F6FA-DD41-BB51-36B66A6DEE34}" name="Column5769"/>
    <tableColumn id="5788" xr3:uid="{40082263-B894-344E-975B-7DE33DD911A9}" name="Column5770"/>
    <tableColumn id="5789" xr3:uid="{612CDD4E-4569-9F42-8D08-BC9FDA840519}" name="Column5771"/>
    <tableColumn id="5790" xr3:uid="{E975E00E-D610-C049-A148-E71167F7BCF8}" name="Column5772"/>
    <tableColumn id="5791" xr3:uid="{51E7C50C-73AA-0D44-BE29-B8D74B63E356}" name="Column5773"/>
    <tableColumn id="5792" xr3:uid="{D8F641AD-A6DD-1A41-9AAD-7280D23B9C14}" name="Column5774"/>
    <tableColumn id="5793" xr3:uid="{49A00B2C-64D9-B54C-8F9A-3250C1EE4B77}" name="Column5775"/>
    <tableColumn id="5794" xr3:uid="{B0932639-157A-4549-9E31-DAAE226B63F2}" name="Column5776"/>
    <tableColumn id="5795" xr3:uid="{8FFBD04F-2EC9-C04D-B318-680077458A3E}" name="Column5777"/>
    <tableColumn id="5796" xr3:uid="{BD9B211B-63F2-A143-92E5-73558E5A69E0}" name="Column5778"/>
    <tableColumn id="5797" xr3:uid="{30605B03-9B9E-9249-B261-9989221818C6}" name="Column5779"/>
    <tableColumn id="5798" xr3:uid="{A436F3CA-D581-9948-B00A-AA59E8435ACB}" name="Column5780"/>
    <tableColumn id="5799" xr3:uid="{EF2F2EAA-3078-694B-94E7-463BE8B6AF7B}" name="Column5781"/>
    <tableColumn id="5800" xr3:uid="{7BC0D43E-280F-C340-A31F-977D41C24173}" name="Column5782"/>
    <tableColumn id="5801" xr3:uid="{AB29D8C9-0800-2C46-A65E-997D8EEED8B2}" name="Column5783"/>
    <tableColumn id="5802" xr3:uid="{02EF7DE7-E4F6-1D44-93BB-9DA960011CA2}" name="Column5784"/>
    <tableColumn id="5803" xr3:uid="{CC52D241-568E-A64C-BF32-A03DBFBD2D5A}" name="Column5785"/>
    <tableColumn id="5804" xr3:uid="{91DBBA32-62FD-3544-AA6C-1A57E54DE044}" name="Column5786"/>
    <tableColumn id="5805" xr3:uid="{50F6EC83-70B7-3E40-A4C0-B9515830CE26}" name="Column5787"/>
    <tableColumn id="5806" xr3:uid="{80EC2E27-72E4-5B4F-9D73-E85A36CCF258}" name="Column5788"/>
    <tableColumn id="5807" xr3:uid="{157B8E35-C88D-224B-B1EE-CA9E30F2F1A0}" name="Column5789"/>
    <tableColumn id="5808" xr3:uid="{22DC74E7-59EC-6848-BCAE-B0F147A7AAF0}" name="Column5790"/>
    <tableColumn id="5809" xr3:uid="{F76E4E2A-D66A-F942-90A0-8BB904FAB84C}" name="Column5791"/>
    <tableColumn id="5810" xr3:uid="{DC5D91C4-94DD-9C45-888D-19499CDB95B0}" name="Column5792"/>
    <tableColumn id="5811" xr3:uid="{F7B3EE06-37C4-5348-9819-DBD5556E24EA}" name="Column5793"/>
    <tableColumn id="5812" xr3:uid="{12D20EF8-CC48-A142-A663-FB65FE14BDB5}" name="Column5794"/>
    <tableColumn id="5813" xr3:uid="{75AFDE08-C3DE-FE4B-8D55-BCE956B94F10}" name="Column5795"/>
    <tableColumn id="5814" xr3:uid="{BBA26040-044A-6F44-BD6E-FED83EAED977}" name="Column5796"/>
    <tableColumn id="5815" xr3:uid="{7D3B1396-EB23-0947-AA74-2CB636908146}" name="Column5797"/>
    <tableColumn id="5816" xr3:uid="{F730F157-0CF7-E042-933F-1E42FCB0DB58}" name="Column5798"/>
    <tableColumn id="5817" xr3:uid="{F8B15B34-3AC5-844E-925B-CB232D097794}" name="Column5799"/>
    <tableColumn id="5818" xr3:uid="{529AA7EF-F7D9-A24D-8916-E7A501DD26AB}" name="Column5800"/>
    <tableColumn id="5819" xr3:uid="{162BB5CD-5C70-5948-8DC0-65F8218C2CEB}" name="Column5801"/>
    <tableColumn id="5820" xr3:uid="{F0E3B700-A81B-0649-95CA-B2EB71EDFB35}" name="Column5802"/>
    <tableColumn id="5821" xr3:uid="{E1E50D16-4268-0C42-A63B-B6EFD25CE189}" name="Column5803"/>
    <tableColumn id="5822" xr3:uid="{09649B46-5CB0-3B4C-A3D3-9827B08F04EC}" name="Column5804"/>
    <tableColumn id="5823" xr3:uid="{ADA8D690-77D1-A64A-9A82-5ED95CBD344C}" name="Column5805"/>
    <tableColumn id="5824" xr3:uid="{8F912A77-3098-AE47-A0DC-91020F4BC3FE}" name="Column5806"/>
    <tableColumn id="5825" xr3:uid="{DE989D22-3D29-EE49-BF08-7A6B3F74621F}" name="Column5807"/>
    <tableColumn id="5826" xr3:uid="{23AD6B2F-5FAE-494F-B782-4BAD8D40CFE1}" name="Column5808"/>
    <tableColumn id="5827" xr3:uid="{D3A47BD4-F803-8D45-9C79-0243D9FD21A9}" name="Column5809"/>
    <tableColumn id="5828" xr3:uid="{9298F42F-9104-184C-A4C8-DE118E3117BD}" name="Column5810"/>
    <tableColumn id="5829" xr3:uid="{689B75A8-D54E-924C-ACE6-28B909A8A35E}" name="Column5811"/>
    <tableColumn id="5830" xr3:uid="{C2E5C97F-CC69-D344-B815-3E000F04142F}" name="Column5812"/>
    <tableColumn id="5831" xr3:uid="{F94793BB-4E1C-6E49-9C0C-D71C68AE7141}" name="Column5813"/>
    <tableColumn id="5832" xr3:uid="{8B497200-F955-7D43-8DD0-8CC243C70FCB}" name="Column5814"/>
    <tableColumn id="5833" xr3:uid="{2E8C7377-2656-FC42-B2D3-7D04A746EBC5}" name="Column5815"/>
    <tableColumn id="5834" xr3:uid="{955091A5-39F0-4D4A-9C7F-81C8E68FE678}" name="Column5816"/>
    <tableColumn id="5835" xr3:uid="{163CD0E3-1DDC-A34B-B159-F99FC6268512}" name="Column5817"/>
    <tableColumn id="5836" xr3:uid="{498C950F-8D73-9D43-986B-50B984BE397B}" name="Column5818"/>
    <tableColumn id="5837" xr3:uid="{27EDDFE6-CF57-004D-BED8-B5D888F659D8}" name="Column5819"/>
    <tableColumn id="5838" xr3:uid="{3DF5C045-A67A-0940-8492-812EDF43B922}" name="Column5820"/>
    <tableColumn id="5839" xr3:uid="{2FC7A354-1B86-694F-A59D-4EB9A473B333}" name="Column5821"/>
    <tableColumn id="5840" xr3:uid="{8FCC14D1-C6EE-EB41-8247-418A89A7F570}" name="Column5822"/>
    <tableColumn id="5841" xr3:uid="{813BCC66-3CA1-A84B-8500-BD37B197F027}" name="Column5823"/>
    <tableColumn id="5842" xr3:uid="{52EDA625-4203-1142-850F-FB9A880FB064}" name="Column5824"/>
    <tableColumn id="5843" xr3:uid="{73BE8152-C845-5044-A1C8-B8CF3E0EB5CC}" name="Column5825"/>
    <tableColumn id="5844" xr3:uid="{209D9084-8BC4-9F4E-8A8E-0A545A7628C1}" name="Column5826"/>
    <tableColumn id="5845" xr3:uid="{51DEAF3B-143C-3F42-B61D-0441EAB5E8C9}" name="Column5827"/>
    <tableColumn id="5846" xr3:uid="{A3851464-959F-CF4D-B818-7CB50E550CAF}" name="Column5828"/>
    <tableColumn id="5847" xr3:uid="{4EFECC89-EB31-ED45-9976-374999F3A9C1}" name="Column5829"/>
    <tableColumn id="5848" xr3:uid="{AD60D796-6682-D449-AF87-8D7AAC0B31C5}" name="Column5830"/>
    <tableColumn id="5849" xr3:uid="{F5E2AE70-EE27-8C4E-8DA5-46766CE416E6}" name="Column5831"/>
    <tableColumn id="5850" xr3:uid="{0003570B-5B22-F84A-BEF8-B43CA37C1E67}" name="Column5832"/>
    <tableColumn id="5851" xr3:uid="{4F6D1830-B5B0-704F-9CF2-4E811178A154}" name="Column5833"/>
    <tableColumn id="5852" xr3:uid="{9EDA5710-0322-AA42-80FD-768200CF8973}" name="Column5834"/>
    <tableColumn id="5853" xr3:uid="{8A7F7176-EFAA-E24F-A44F-6A7CF62654E1}" name="Column5835"/>
    <tableColumn id="5854" xr3:uid="{FDC0FA29-E62A-284B-A5B4-324CA683067E}" name="Column5836"/>
    <tableColumn id="5855" xr3:uid="{38499B8B-6C1E-B946-84FC-696D8F139F16}" name="Column5837"/>
    <tableColumn id="5856" xr3:uid="{C41594DE-7BBD-8A44-8011-49AB53091A85}" name="Column5838"/>
    <tableColumn id="5857" xr3:uid="{FD4A9EA1-5502-EF45-8027-257B02B83BD4}" name="Column5839"/>
    <tableColumn id="5858" xr3:uid="{1DD227CE-4982-8548-8ABB-281BC9701689}" name="Column5840"/>
    <tableColumn id="5859" xr3:uid="{95E6D641-098E-0F4B-A927-765FC2C1343D}" name="Column5841"/>
    <tableColumn id="5860" xr3:uid="{67AFC2E4-3CF2-854B-B58F-499E429B2ABA}" name="Column5842"/>
    <tableColumn id="5861" xr3:uid="{9E3F7CD2-B5A7-024A-B8C7-550655AA22D0}" name="Column5843"/>
    <tableColumn id="5862" xr3:uid="{35F76647-4DAB-1E4F-A9A6-C53456B9B9B1}" name="Column5844"/>
    <tableColumn id="5863" xr3:uid="{725B46A0-D6F2-C540-8A8D-E9EDD143C07E}" name="Column5845"/>
    <tableColumn id="5864" xr3:uid="{5BAB285F-D274-524F-8DAE-557C9A7A19B8}" name="Column5846"/>
    <tableColumn id="5865" xr3:uid="{1009E085-0A68-E94F-A926-26BD24900EE0}" name="Column5847"/>
    <tableColumn id="5866" xr3:uid="{DDE92464-FC0F-2F40-AE1E-B0AFD6828EB1}" name="Column5848"/>
    <tableColumn id="5867" xr3:uid="{29033B51-F299-FD42-89DA-99CDF3840079}" name="Column5849"/>
    <tableColumn id="5868" xr3:uid="{24B891ED-219A-9D42-B10F-1D67AEC9244A}" name="Column5850"/>
    <tableColumn id="5869" xr3:uid="{A57B1966-9A6B-4F46-BCAF-F293B25BCF9A}" name="Column5851"/>
    <tableColumn id="5870" xr3:uid="{A75AD6FA-805B-BC44-8368-3880E8072D63}" name="Column5852"/>
    <tableColumn id="5871" xr3:uid="{DAE74F9C-4509-AC49-94F2-6C1FFB45A05D}" name="Column5853"/>
    <tableColumn id="5872" xr3:uid="{85707055-FE27-384F-B7E8-1B59AE74B366}" name="Column5854"/>
    <tableColumn id="5873" xr3:uid="{136D17A3-86A3-D24F-80D6-9CE0812DE17C}" name="Column5855"/>
    <tableColumn id="5874" xr3:uid="{A0A36F62-AB18-9E4C-9D40-C036B38DF476}" name="Column5856"/>
    <tableColumn id="5875" xr3:uid="{7DCC8B55-6690-6544-B987-59E35F22C91B}" name="Column5857"/>
    <tableColumn id="5876" xr3:uid="{0B362245-A7B2-C847-8A35-80EDD9323915}" name="Column5858"/>
    <tableColumn id="5877" xr3:uid="{AED0F296-BDDA-7546-A74E-E7073ADE9584}" name="Column5859"/>
    <tableColumn id="5878" xr3:uid="{6AC26842-4732-3F46-A2FA-28463A23B75C}" name="Column5860"/>
    <tableColumn id="5879" xr3:uid="{58909276-B85C-0A47-AB8D-E5DE88956BCD}" name="Column5861"/>
    <tableColumn id="5880" xr3:uid="{99730CC8-8C18-0D43-B81E-AD33340B3152}" name="Column5862"/>
    <tableColumn id="5881" xr3:uid="{EEE12B41-110B-CB48-9079-40EA8D75073B}" name="Column5863"/>
    <tableColumn id="5882" xr3:uid="{09F62F50-267C-9A48-A9BB-9B57A507420B}" name="Column5864"/>
    <tableColumn id="5883" xr3:uid="{EED6DA40-CDD5-8948-993C-5294B6D66482}" name="Column5865"/>
    <tableColumn id="5884" xr3:uid="{DF18001E-9CF5-204D-8651-71B50B169C54}" name="Column5866"/>
    <tableColumn id="5885" xr3:uid="{0E39ACAD-2FDB-224D-8A52-A4EC464A5998}" name="Column5867"/>
    <tableColumn id="5886" xr3:uid="{BFAD002C-989D-D24C-9704-68AD47ECCCF4}" name="Column5868"/>
    <tableColumn id="5887" xr3:uid="{492A6526-1972-DA47-AA87-632D137BA53F}" name="Column5869"/>
    <tableColumn id="5888" xr3:uid="{C05C0100-5A91-DC4A-9D49-2E7D404CE1B1}" name="Column5870"/>
    <tableColumn id="5889" xr3:uid="{5A86C87D-2344-E842-8CE2-0AE4195FE22B}" name="Column5871"/>
    <tableColumn id="5890" xr3:uid="{5797D9EC-AC5F-304D-A0D1-474458E992EE}" name="Column5872"/>
    <tableColumn id="5891" xr3:uid="{4FCBA4B4-B329-9C46-8B7C-80F44411767E}" name="Column5873"/>
    <tableColumn id="5892" xr3:uid="{DFB5E738-8121-4C42-AECD-E12185E546F1}" name="Column5874"/>
    <tableColumn id="5893" xr3:uid="{D9F50BE8-E95F-BA4A-A156-D039C8CBA742}" name="Column5875"/>
    <tableColumn id="5894" xr3:uid="{FFF35B30-CE9A-6147-B18D-1A4E35972333}" name="Column5876"/>
    <tableColumn id="5895" xr3:uid="{73509556-876D-6042-836D-7B3E5E1C5841}" name="Column5877"/>
    <tableColumn id="5896" xr3:uid="{5D330356-8275-9447-BD05-85E2C0343985}" name="Column5878"/>
    <tableColumn id="5897" xr3:uid="{42BBF0FD-E3A0-5A41-81CA-ABD6E2BB19FB}" name="Column5879"/>
    <tableColumn id="5898" xr3:uid="{0A09543B-04EF-7E4C-BFC9-564FA2DEB7F5}" name="Column5880"/>
    <tableColumn id="5899" xr3:uid="{4663318A-796D-964E-AF95-1B4D37B6FD33}" name="Column5881"/>
    <tableColumn id="5900" xr3:uid="{9D060D7D-65C2-8E45-9A7D-41285326EDE0}" name="Column5882"/>
    <tableColumn id="5901" xr3:uid="{3D9226D6-0791-1649-8344-671DA5A9C611}" name="Column5883"/>
    <tableColumn id="5902" xr3:uid="{4BB1FD8D-5418-8C48-B5DC-551BF1D3AD8F}" name="Column5884"/>
    <tableColumn id="5903" xr3:uid="{065D3BC6-50CB-1F4D-8633-06570694E40B}" name="Column5885"/>
    <tableColumn id="5904" xr3:uid="{AF5D49F1-F371-4B40-94B1-75F08CAFF376}" name="Column5886"/>
    <tableColumn id="5905" xr3:uid="{08AB78B7-4D70-984B-8C0B-B082CF3AD73C}" name="Column5887"/>
    <tableColumn id="5906" xr3:uid="{E7575E7A-F2F9-4148-9ACC-EF2D98E6E296}" name="Column5888"/>
    <tableColumn id="5907" xr3:uid="{A98DC0D8-5979-4342-A384-F14F50A8DDBE}" name="Column5889"/>
    <tableColumn id="5908" xr3:uid="{5EEA96D5-50CC-8E49-973F-F6963C3E7EB7}" name="Column5890"/>
    <tableColumn id="5909" xr3:uid="{9F638E74-5403-5F45-B8EC-7CCDABB38AD2}" name="Column5891"/>
    <tableColumn id="5910" xr3:uid="{E0E8CABE-234D-7F48-8186-1F2AC3334A09}" name="Column5892"/>
    <tableColumn id="5911" xr3:uid="{DB4B3863-3DF1-A44C-B546-D56056737A57}" name="Column5893"/>
    <tableColumn id="5912" xr3:uid="{C1BDF7C0-A136-6A43-96D5-39B7A9B9045A}" name="Column5894"/>
    <tableColumn id="5913" xr3:uid="{7A3F9B74-CE08-6941-92F0-BF66D54CDA34}" name="Column5895"/>
    <tableColumn id="5914" xr3:uid="{FC65FF15-1E7D-A142-884E-74B8D9081BDB}" name="Column5896"/>
    <tableColumn id="5915" xr3:uid="{C9B808A1-C55C-F843-BC77-D4CEA8F1D23B}" name="Column5897"/>
    <tableColumn id="5916" xr3:uid="{832AB6C4-9EDB-7C41-9A97-2F409F6B3F79}" name="Column5898"/>
    <tableColumn id="5917" xr3:uid="{86E2172D-FDAE-3B45-89AD-F3113F8BED96}" name="Column5899"/>
    <tableColumn id="5918" xr3:uid="{E1B12AA2-2EB3-2E4C-9872-8CB4F214A645}" name="Column5900"/>
    <tableColumn id="5919" xr3:uid="{4F62439F-0B97-4343-8254-CC3CBBC5BA6D}" name="Column5901"/>
    <tableColumn id="5920" xr3:uid="{CF468708-7C03-5E43-A61C-A8EFDD52E68A}" name="Column5902"/>
    <tableColumn id="5921" xr3:uid="{F3FA6D13-37FD-294B-B4A1-BB98B78FD1D8}" name="Column5903"/>
    <tableColumn id="5922" xr3:uid="{3802184E-E30F-6446-BDC5-50D803039365}" name="Column5904"/>
    <tableColumn id="5923" xr3:uid="{AC05DF0B-D577-1143-98CB-BC986F5E64CC}" name="Column5905"/>
    <tableColumn id="5924" xr3:uid="{49CC7A82-23ED-4B40-9A5F-D0602EF05223}" name="Column5906"/>
    <tableColumn id="5925" xr3:uid="{855C6968-39FE-9440-9ED9-2994085C4590}" name="Column5907"/>
    <tableColumn id="5926" xr3:uid="{DF127013-E958-E44C-AF0E-C96ACDA2B7B1}" name="Column5908"/>
    <tableColumn id="5927" xr3:uid="{0A0C334C-F887-A044-AC3C-CD93EF499BC0}" name="Column5909"/>
    <tableColumn id="5928" xr3:uid="{76A1DD2C-E05E-424A-BADD-1B0A42F57C92}" name="Column5910"/>
    <tableColumn id="5929" xr3:uid="{B01ABE49-978A-0B42-8B52-9863758EA2B9}" name="Column5911"/>
    <tableColumn id="5930" xr3:uid="{94A8A230-E492-B24E-B68E-218D36096FED}" name="Column5912"/>
    <tableColumn id="5931" xr3:uid="{3F406AFB-AC24-F543-8E39-0AC0A8902B0D}" name="Column5913"/>
    <tableColumn id="5932" xr3:uid="{CEEDDC18-ACCF-4248-80DD-9E49E046C180}" name="Column5914"/>
    <tableColumn id="5933" xr3:uid="{A9490C07-1CAE-CD40-B6F7-DA9FF42D8FA5}" name="Column5915"/>
    <tableColumn id="5934" xr3:uid="{90992F6A-3DBE-D041-943E-9382D78A7262}" name="Column5916"/>
    <tableColumn id="5935" xr3:uid="{E90EF212-AAEF-9541-9832-1806A87022F8}" name="Column5917"/>
    <tableColumn id="5936" xr3:uid="{87C6AF23-5E00-954B-BCC3-F5708E353749}" name="Column5918"/>
    <tableColumn id="5937" xr3:uid="{49E17485-EDF4-7C43-9601-5C7F5433366E}" name="Column5919"/>
    <tableColumn id="5938" xr3:uid="{DD09F884-871F-E24E-964D-CDCDB725FD48}" name="Column5920"/>
    <tableColumn id="5939" xr3:uid="{7B79FA38-7391-A041-A3A4-D369741EF6D2}" name="Column5921"/>
    <tableColumn id="5940" xr3:uid="{576C8573-E557-A948-A8CE-70E52D14E173}" name="Column5922"/>
    <tableColumn id="5941" xr3:uid="{9BBC2193-3207-FD4F-9668-A1039173D548}" name="Column5923"/>
    <tableColumn id="5942" xr3:uid="{901570C6-4885-2742-9BE1-9D4E1B8AFA01}" name="Column5924"/>
    <tableColumn id="5943" xr3:uid="{A27645FC-5FF6-6042-994F-7AFC79D1457A}" name="Column5925"/>
    <tableColumn id="5944" xr3:uid="{E219819C-511E-C346-AFAE-F9D9ED0CBD6E}" name="Column5926"/>
    <tableColumn id="5945" xr3:uid="{D4CAF372-3C15-EA4D-93BD-DCB2F7B80105}" name="Column5927"/>
    <tableColumn id="5946" xr3:uid="{1D703E92-F363-B948-BDC6-62DBF10FC3AB}" name="Column5928"/>
    <tableColumn id="5947" xr3:uid="{58BC79CE-6F3D-E443-9818-A8B5AFBAAAC6}" name="Column5929"/>
    <tableColumn id="5948" xr3:uid="{FC6269B8-7971-4443-BF1A-00A01F143F67}" name="Column5930"/>
    <tableColumn id="5949" xr3:uid="{BFFFD940-E4BB-5B4B-8865-42B02DE1D011}" name="Column5931"/>
    <tableColumn id="5950" xr3:uid="{DB1DBDBE-DA90-7E44-9C69-CB7A91AAF273}" name="Column5932"/>
    <tableColumn id="5951" xr3:uid="{AF8168EF-E5EB-A743-AFE7-178769133367}" name="Column5933"/>
    <tableColumn id="5952" xr3:uid="{4A0FD0FA-BE67-4740-A3B8-B79CEFFDD985}" name="Column5934"/>
    <tableColumn id="5953" xr3:uid="{B40AA3A5-22E2-CA4D-808A-5A79C9F720D3}" name="Column5935"/>
    <tableColumn id="5954" xr3:uid="{E2CF5D13-D271-4545-B124-1ABC6E8F6B94}" name="Column5936"/>
    <tableColumn id="5955" xr3:uid="{F2AE7DD4-F36B-3346-B606-66B3517273C4}" name="Column5937"/>
    <tableColumn id="5956" xr3:uid="{DC3AA29D-4A24-7F48-9A13-150649AEC3D8}" name="Column5938"/>
    <tableColumn id="5957" xr3:uid="{0890FE0E-825B-CA4F-A558-2891176118AD}" name="Column5939"/>
    <tableColumn id="5958" xr3:uid="{447D4DDC-E01F-634B-A2EF-82F1D589B176}" name="Column5940"/>
    <tableColumn id="5959" xr3:uid="{984EE055-DB2B-904A-A560-5991625F98F3}" name="Column5941"/>
    <tableColumn id="5960" xr3:uid="{A64CC1D7-EF84-9E4F-AFA1-E3D4D3D11A98}" name="Column5942"/>
    <tableColumn id="5961" xr3:uid="{18D63B7D-83F1-DB43-968D-D57C1E549976}" name="Column5943"/>
    <tableColumn id="5962" xr3:uid="{BF3858D5-5EBF-FA48-9C85-4D1593D8BB82}" name="Column5944"/>
    <tableColumn id="5963" xr3:uid="{F3EA954A-BBF9-1446-B69A-6D500EEA365A}" name="Column5945"/>
    <tableColumn id="5964" xr3:uid="{1D4DB963-227F-1B45-B3C1-D50A52D4AE15}" name="Column5946"/>
    <tableColumn id="5965" xr3:uid="{D89780A9-2C2F-9046-955B-DD76FEB411C3}" name="Column5947"/>
    <tableColumn id="5966" xr3:uid="{1CE919CD-B31C-034A-9830-2D581AA93658}" name="Column5948"/>
    <tableColumn id="5967" xr3:uid="{061C9A25-B79C-674A-8502-1C2D100104B2}" name="Column5949"/>
    <tableColumn id="5968" xr3:uid="{B20A66EA-BC6E-FC49-B765-28C2CB8A0DDB}" name="Column5950"/>
    <tableColumn id="5969" xr3:uid="{9178D563-20B3-7F41-8254-EB65A53B39FF}" name="Column5951"/>
    <tableColumn id="5970" xr3:uid="{02F5DFDB-CF86-3D48-A0FF-EB58449F1CF3}" name="Column5952"/>
    <tableColumn id="5971" xr3:uid="{C5662195-9C51-ED4E-AF1B-CC1394806179}" name="Column5953"/>
    <tableColumn id="5972" xr3:uid="{4D2A94F7-8BA4-BC42-B2B0-62BE5205FF0E}" name="Column5954"/>
    <tableColumn id="5973" xr3:uid="{AA9D5F01-B6B1-3747-A5D9-FA97D40CAD07}" name="Column5955"/>
    <tableColumn id="5974" xr3:uid="{BF8BA3CF-E61C-DF47-8A65-FCA06E770743}" name="Column5956"/>
    <tableColumn id="5975" xr3:uid="{A93AA921-D4F7-2F40-BDBA-51EED4E630BD}" name="Column5957"/>
    <tableColumn id="5976" xr3:uid="{B6728878-2C2C-B742-B43E-32D6C078EEC4}" name="Column5958"/>
    <tableColumn id="5977" xr3:uid="{C3F463D2-B9A2-8042-AFE6-5B8FDBDD455C}" name="Column5959"/>
    <tableColumn id="5978" xr3:uid="{91CE2FB8-7C79-E244-A928-11FCE3BAE99F}" name="Column5960"/>
    <tableColumn id="5979" xr3:uid="{996D4369-0281-B741-8EF6-78ED5AED1A2D}" name="Column5961"/>
    <tableColumn id="5980" xr3:uid="{107EEAC8-ABF1-EF48-9E08-D3298E065847}" name="Column5962"/>
    <tableColumn id="5981" xr3:uid="{A679452C-1831-6848-951A-8FC63283F54F}" name="Column5963"/>
    <tableColumn id="5982" xr3:uid="{3D993D71-F2B1-F741-A931-B3F6AA63C649}" name="Column5964"/>
    <tableColumn id="5983" xr3:uid="{D3F346FC-A900-AC4F-8C6E-D5489D7C6160}" name="Column5965"/>
    <tableColumn id="5984" xr3:uid="{A6593E6D-8628-EB42-80D1-C16FB9761231}" name="Column5966"/>
    <tableColumn id="5985" xr3:uid="{A8F68A21-8DE3-8C48-884E-7D34EFE29ED9}" name="Column5967"/>
    <tableColumn id="5986" xr3:uid="{C5973C3F-5F92-5A44-8A6F-9F2393402BDB}" name="Column5968"/>
    <tableColumn id="5987" xr3:uid="{B373C649-C421-6F49-9600-C2FD27F27EF9}" name="Column5969"/>
    <tableColumn id="5988" xr3:uid="{9D8436A4-0267-6848-B507-05C5972B0BC1}" name="Column5970"/>
    <tableColumn id="5989" xr3:uid="{C274EC49-2DA9-454F-B640-9AF2C910C5DA}" name="Column5971"/>
    <tableColumn id="5990" xr3:uid="{8C8F3989-671B-8D46-B792-46438CEB1869}" name="Column5972"/>
    <tableColumn id="5991" xr3:uid="{AC2BCCE2-3B19-644D-B81A-F4DAE3F91A3E}" name="Column5973"/>
    <tableColumn id="5992" xr3:uid="{8B5D5D05-D61E-6E4C-B691-9BB8159B4301}" name="Column5974"/>
    <tableColumn id="5993" xr3:uid="{8EE8ADCD-6618-2542-BDD9-3FA87BBDB83D}" name="Column5975"/>
    <tableColumn id="5994" xr3:uid="{ABF82485-1387-254D-8CC4-455CCFAB210B}" name="Column5976"/>
    <tableColumn id="5995" xr3:uid="{DF2342C9-1FBE-EF4C-8277-460C183D9892}" name="Column5977"/>
    <tableColumn id="5996" xr3:uid="{F7CDE659-7219-3E44-8BAC-EE96E02C7CF8}" name="Column5978"/>
    <tableColumn id="5997" xr3:uid="{48D511C7-8A55-2C41-AF0B-67E5F20C0482}" name="Column5979"/>
    <tableColumn id="5998" xr3:uid="{93D2E497-200E-DE4D-A465-819B5E01AA7D}" name="Column5980"/>
    <tableColumn id="5999" xr3:uid="{101466A2-3ECB-F24F-9395-E13F4D082E9B}" name="Column5981"/>
    <tableColumn id="6000" xr3:uid="{3DC50199-ADCF-7448-A3DD-ED685A7C5E14}" name="Column5982"/>
    <tableColumn id="6001" xr3:uid="{57CB480E-5DD5-944D-99BA-A94BA312C5CD}" name="Column5983"/>
    <tableColumn id="6002" xr3:uid="{0AFB08E1-661D-5243-A78E-4B9D37D954BC}" name="Column5984"/>
    <tableColumn id="6003" xr3:uid="{2A64600B-9A0F-9E48-AFC8-471A987B36B4}" name="Column5985"/>
    <tableColumn id="6004" xr3:uid="{B9E15C86-196F-0743-8A78-41691FFC0344}" name="Column5986"/>
    <tableColumn id="6005" xr3:uid="{F7001527-F89F-2C48-A763-B19E5BA607C2}" name="Column5987"/>
    <tableColumn id="6006" xr3:uid="{B549997E-D6D3-7A46-B8B5-E26A593FF262}" name="Column5988"/>
    <tableColumn id="6007" xr3:uid="{668D4DC1-294D-624F-ACFE-6ABC32B29CC4}" name="Column5989"/>
    <tableColumn id="6008" xr3:uid="{F094FED6-79ED-4D4A-946B-2D5E4C6A6B43}" name="Column5990"/>
    <tableColumn id="6009" xr3:uid="{5D624AB9-9E75-D84D-9627-A95E4BB28FF9}" name="Column5991"/>
    <tableColumn id="6010" xr3:uid="{7E36E9C6-7D3A-934F-B950-B045382515E7}" name="Column5992"/>
    <tableColumn id="6011" xr3:uid="{1C9B0824-8FFE-5841-BB33-FC512D9C9178}" name="Column5993"/>
    <tableColumn id="6012" xr3:uid="{A82A842F-A175-3642-9950-DCFE19ED8DAD}" name="Column5994"/>
    <tableColumn id="6013" xr3:uid="{7F37865B-83B6-5447-B900-D8F6D5C15E23}" name="Column5995"/>
    <tableColumn id="6014" xr3:uid="{C2DC5631-622C-514A-BD40-04F290FA937B}" name="Column5996"/>
    <tableColumn id="6015" xr3:uid="{74E406E1-84E6-D74D-A08E-285E45A7E1F3}" name="Column5997"/>
    <tableColumn id="6016" xr3:uid="{AA0D0716-EBE3-FC41-80B0-6AEEF632D5CE}" name="Column5998"/>
    <tableColumn id="6017" xr3:uid="{AAA5E68A-296D-124A-8E78-C2CC14BD2AB1}" name="Column5999"/>
    <tableColumn id="6018" xr3:uid="{8E885265-5B6E-5245-95BD-CB2105B0960D}" name="Column6000"/>
    <tableColumn id="6019" xr3:uid="{12566FE3-11BC-914B-A93A-79F576EC8110}" name="Column6001"/>
    <tableColumn id="6020" xr3:uid="{73684C9D-690D-2B48-A75B-32A83F913287}" name="Column6002"/>
    <tableColumn id="6021" xr3:uid="{96ABE2E3-8036-4446-98E6-78776875E72F}" name="Column6003"/>
    <tableColumn id="6022" xr3:uid="{292F61DF-609D-FF46-ACB4-771E1AE5AAD3}" name="Column6004"/>
    <tableColumn id="6023" xr3:uid="{D856E629-4C2F-D643-B1DA-FF5E998A0FA4}" name="Column6005"/>
    <tableColumn id="6024" xr3:uid="{26FF82D5-9285-B345-9E22-4C9AD44DF68D}" name="Column6006"/>
    <tableColumn id="6025" xr3:uid="{BEC8E594-EC9C-1F4D-863F-DD98C7C3BF9E}" name="Column6007"/>
    <tableColumn id="6026" xr3:uid="{4B506CD8-0729-F642-8702-54F7575D0E78}" name="Column6008"/>
    <tableColumn id="6027" xr3:uid="{61FCC4FF-811A-3C49-A2D8-8FCF4802C235}" name="Column6009"/>
    <tableColumn id="6028" xr3:uid="{B7E96A33-240C-CA4F-A72A-2D6FAE0472E0}" name="Column6010"/>
    <tableColumn id="6029" xr3:uid="{8F1E1155-151D-9A4E-9D14-88E374D11734}" name="Column6011"/>
    <tableColumn id="6030" xr3:uid="{4CF6F9E1-DEDD-4248-BD1E-33A7688311F3}" name="Column6012"/>
    <tableColumn id="6031" xr3:uid="{B758326B-D90F-8049-985A-E3D449059C66}" name="Column6013"/>
    <tableColumn id="6032" xr3:uid="{F2EC10A8-F15A-FE44-8BBE-F85FDD85E4C2}" name="Column6014"/>
    <tableColumn id="6033" xr3:uid="{AFBEFD0A-DBAA-5C4C-AC90-0F4A4D257269}" name="Column6015"/>
    <tableColumn id="6034" xr3:uid="{273620BA-AC3F-D044-A041-BF97D3872F00}" name="Column6016"/>
    <tableColumn id="6035" xr3:uid="{79492B8F-B82D-4143-8535-FE512FA162AD}" name="Column6017"/>
    <tableColumn id="6036" xr3:uid="{231B48CF-C152-9743-BFAD-6D3BCB62A81C}" name="Column6018"/>
    <tableColumn id="6037" xr3:uid="{091BCFCA-B07C-8240-8F5C-DB14659CA836}" name="Column6019"/>
    <tableColumn id="6038" xr3:uid="{FF77055E-3A0D-6645-A359-2184D8E34EC4}" name="Column6020"/>
    <tableColumn id="6039" xr3:uid="{90B3DF0C-C721-3C42-B31B-84BE2EB24C4D}" name="Column6021"/>
    <tableColumn id="6040" xr3:uid="{72CB5A63-9BD4-684D-9787-C382E8B561FD}" name="Column6022"/>
    <tableColumn id="6041" xr3:uid="{7B9F52B8-D6B0-DC4B-BDCE-9D2F22FFC18C}" name="Column6023"/>
    <tableColumn id="6042" xr3:uid="{E2204C39-A551-F54E-8216-57052FA18AC8}" name="Column6024"/>
    <tableColumn id="6043" xr3:uid="{BF0AC969-0A0F-074E-BDB6-C393C95FFB21}" name="Column6025"/>
    <tableColumn id="6044" xr3:uid="{17659DA9-D00E-234A-B15F-DB7EBB9798A0}" name="Column6026"/>
    <tableColumn id="6045" xr3:uid="{5B8C106D-174A-9245-8CF0-FCE0DEE621DB}" name="Column6027"/>
    <tableColumn id="6046" xr3:uid="{63544B13-1A84-5249-9E47-50D2CAD531BE}" name="Column6028"/>
    <tableColumn id="6047" xr3:uid="{C8102687-27A6-E741-883B-7081B6EDB1E8}" name="Column6029"/>
    <tableColumn id="6048" xr3:uid="{BF32E680-C47B-DA42-86FA-2A70B12E2DBD}" name="Column6030"/>
    <tableColumn id="6049" xr3:uid="{567C5925-AFBD-1544-8C06-04BDA7A72E5D}" name="Column6031"/>
    <tableColumn id="6050" xr3:uid="{52EED28B-9E8D-B942-A0B8-CED3BF551DAB}" name="Column6032"/>
    <tableColumn id="6051" xr3:uid="{70C81DC2-E563-3B47-A618-6F36A10998D6}" name="Column6033"/>
    <tableColumn id="6052" xr3:uid="{79FA673F-06E0-A54C-9078-A84BA233BE2D}" name="Column6034"/>
    <tableColumn id="6053" xr3:uid="{82B534A5-F837-274D-8D31-5F6D753C2FE1}" name="Column6035"/>
    <tableColumn id="6054" xr3:uid="{BBA02894-D67B-C84B-9474-5B7FE0D2BEB2}" name="Column6036"/>
    <tableColumn id="6055" xr3:uid="{321EA9AA-4A7F-2248-AE85-8DF097107767}" name="Column6037"/>
    <tableColumn id="6056" xr3:uid="{C2BE4DF0-085C-764E-B567-B79063A7B416}" name="Column6038"/>
    <tableColumn id="6057" xr3:uid="{17763C78-3272-7B41-A081-4D945CAA36D7}" name="Column6039"/>
    <tableColumn id="6058" xr3:uid="{4B14AFEB-6897-CA42-91ED-999C5BD82B67}" name="Column6040"/>
    <tableColumn id="6059" xr3:uid="{81F306DC-9E63-0849-AA8B-205237CDCC16}" name="Column6041"/>
    <tableColumn id="6060" xr3:uid="{4C7DC8CD-C543-1949-B073-58E8A333EE20}" name="Column6042"/>
    <tableColumn id="6061" xr3:uid="{1C523D9C-9C90-B54C-BD72-2684FC822EEA}" name="Column6043"/>
    <tableColumn id="6062" xr3:uid="{03B7094B-2E0F-6E41-AD65-03D00C3E25E6}" name="Column6044"/>
    <tableColumn id="6063" xr3:uid="{F74D830F-BC35-E54A-8915-E95E5B292289}" name="Column6045"/>
    <tableColumn id="6064" xr3:uid="{93CD9AFF-D012-9E41-85EA-5FC01164BAEA}" name="Column6046"/>
    <tableColumn id="6065" xr3:uid="{EA0FC110-95BD-F14D-9CCC-86652BC1DDD3}" name="Column6047"/>
    <tableColumn id="6066" xr3:uid="{C4847BC2-8A98-4546-AFD6-98B8B3FA1D92}" name="Column6048"/>
    <tableColumn id="6067" xr3:uid="{7651B925-53A3-6045-B75F-9744B0DA4C1B}" name="Column6049"/>
    <tableColumn id="6068" xr3:uid="{88329094-372C-E24B-9C19-5E4A465C3255}" name="Column6050"/>
    <tableColumn id="6069" xr3:uid="{765C877D-CDDB-EE4B-838F-A26FB326D78A}" name="Column6051"/>
    <tableColumn id="6070" xr3:uid="{B0D414AC-B832-A54A-81B2-6CF1E7997FEB}" name="Column6052"/>
    <tableColumn id="6071" xr3:uid="{9E550F5C-5778-5449-BF1F-E1F5FA13C28F}" name="Column6053"/>
    <tableColumn id="6072" xr3:uid="{C41F0559-3872-ED4D-88B1-4F97907787DC}" name="Column6054"/>
    <tableColumn id="6073" xr3:uid="{E832902F-8A7B-9E4B-AC5E-1BAE1652735E}" name="Column6055"/>
    <tableColumn id="6074" xr3:uid="{62CA6AEF-5E46-BF45-B1F3-DE94239BC136}" name="Column6056"/>
    <tableColumn id="6075" xr3:uid="{2A1CBBFE-D073-D243-96AF-D12710BB7D45}" name="Column6057"/>
    <tableColumn id="6076" xr3:uid="{4B2C2053-1349-0C4A-936D-1CC38C8BB813}" name="Column6058"/>
    <tableColumn id="6077" xr3:uid="{98CFB591-9E70-DE45-88B5-EC300BF773D1}" name="Column6059"/>
    <tableColumn id="6078" xr3:uid="{96AF5D61-11E0-DB4D-A3A6-FE3DD8C4C61C}" name="Column6060"/>
    <tableColumn id="6079" xr3:uid="{21BDA330-5DE5-064F-AA7D-17C4084496BC}" name="Column6061"/>
    <tableColumn id="6080" xr3:uid="{55C3C342-E811-E44A-BC4A-6E67AFFE7C95}" name="Column6062"/>
    <tableColumn id="6081" xr3:uid="{43C717F0-CAFD-264F-AA36-DBE69A5D1217}" name="Column6063"/>
    <tableColumn id="6082" xr3:uid="{A4DFE30A-789B-DC43-B1AE-C25384B4C127}" name="Column6064"/>
    <tableColumn id="6083" xr3:uid="{7257101A-1128-7B4B-842A-DEE894D2AE1E}" name="Column6065"/>
    <tableColumn id="6084" xr3:uid="{83231419-3EE3-3D46-B89E-B3F6D495879A}" name="Column6066"/>
    <tableColumn id="6085" xr3:uid="{BC83C892-F751-CC48-B92D-8BEC1826F024}" name="Column6067"/>
    <tableColumn id="6086" xr3:uid="{4C7774DB-3BD2-504D-A85B-1D6901A1E2EC}" name="Column6068"/>
    <tableColumn id="6087" xr3:uid="{07A4F4EF-3E11-424A-9E95-0D3FE288BB5C}" name="Column6069"/>
    <tableColumn id="6088" xr3:uid="{319BBF05-0693-6D42-99A2-6C424FBE9CC6}" name="Column6070"/>
    <tableColumn id="6089" xr3:uid="{1F53FCA2-8F09-BC4B-B8B7-1A5ABE3FA62D}" name="Column6071"/>
    <tableColumn id="6090" xr3:uid="{63A2231B-9877-4B4E-9248-FE6B1208E7D3}" name="Column6072"/>
    <tableColumn id="6091" xr3:uid="{5A99D6B1-71F0-094A-B430-BA760952BE9F}" name="Column6073"/>
    <tableColumn id="6092" xr3:uid="{B6D2F3F2-ECE0-8745-8071-B5375812B701}" name="Column6074"/>
    <tableColumn id="6093" xr3:uid="{BDA0D611-6878-2C4E-9C9E-339F33D0E176}" name="Column6075"/>
    <tableColumn id="6094" xr3:uid="{F5D8FA6A-4557-A444-81FD-BD29DEF25C79}" name="Column6076"/>
    <tableColumn id="6095" xr3:uid="{135FD1B0-8DE7-374E-8246-5BEB51D12F58}" name="Column6077"/>
    <tableColumn id="6096" xr3:uid="{2D4B80BC-3923-3245-8BF7-5247CFD5016D}" name="Column6078"/>
    <tableColumn id="6097" xr3:uid="{101849DD-1CCA-8D49-98C7-14363E478691}" name="Column6079"/>
    <tableColumn id="6098" xr3:uid="{FC1F6369-00BE-BF44-88C2-1263FF6B09C5}" name="Column6080"/>
    <tableColumn id="6099" xr3:uid="{83487CDA-10F5-F948-A2A3-0B263B62DC52}" name="Column6081"/>
    <tableColumn id="6100" xr3:uid="{06A0FCAA-9117-AE46-A688-CF00B5CEC80B}" name="Column6082"/>
    <tableColumn id="6101" xr3:uid="{EB9F99CE-C5EC-E74E-A76C-2DA739B8EC08}" name="Column6083"/>
    <tableColumn id="6102" xr3:uid="{7FDE6413-7C23-2E49-8563-1A8C601AF965}" name="Column6084"/>
    <tableColumn id="6103" xr3:uid="{2E96D8A7-6601-3243-93F0-867114B89323}" name="Column6085"/>
    <tableColumn id="6104" xr3:uid="{3747E56A-8F4D-354D-9713-CF0ACEF003D8}" name="Column6086"/>
    <tableColumn id="6105" xr3:uid="{9F7C2D5B-C6D2-B645-AEC0-C6A9401633BE}" name="Column6087"/>
    <tableColumn id="6106" xr3:uid="{594E21D6-30FC-D048-9F26-DFDFD5177470}" name="Column6088"/>
    <tableColumn id="6107" xr3:uid="{37841F35-43BC-1D4A-A2BB-35ECE7770B94}" name="Column6089"/>
    <tableColumn id="6108" xr3:uid="{2E65976C-E2A8-BD41-A0F2-8D86A0CFEF5C}" name="Column6090"/>
    <tableColumn id="6109" xr3:uid="{A5AC6394-64F5-9547-B791-C8099C0D6F28}" name="Column6091"/>
    <tableColumn id="6110" xr3:uid="{AFF76600-FB08-0C48-BF69-EA9488F49381}" name="Column6092"/>
    <tableColumn id="6111" xr3:uid="{E9175E63-BFB8-F549-B250-BD7435EC0468}" name="Column6093"/>
    <tableColumn id="6112" xr3:uid="{55A2C29D-F96D-B248-8D6C-16EA7F2904FE}" name="Column6094"/>
    <tableColumn id="6113" xr3:uid="{2FFA5875-AD1D-7D43-879E-9EA066C715B8}" name="Column6095"/>
    <tableColumn id="6114" xr3:uid="{5D73F8FD-9FAD-2846-8930-9974692BA0A8}" name="Column6096"/>
    <tableColumn id="6115" xr3:uid="{334842D2-6699-E94C-B5D5-0E8ED45481AF}" name="Column6097"/>
    <tableColumn id="6116" xr3:uid="{7414FBC0-24F8-7440-8AF1-0EBF529C910C}" name="Column6098"/>
    <tableColumn id="6117" xr3:uid="{A7ED3055-1B0A-9247-ABF7-5931AF117719}" name="Column6099"/>
    <tableColumn id="6118" xr3:uid="{CFD8A3B2-5BA9-7347-8BAF-F4C6FB5A9771}" name="Column6100"/>
    <tableColumn id="6119" xr3:uid="{E9CBECCB-CA5A-144B-A015-0B782A43C424}" name="Column6101"/>
    <tableColumn id="6120" xr3:uid="{990C8B79-244B-0645-8F60-4F8B91659BBE}" name="Column6102"/>
    <tableColumn id="6121" xr3:uid="{24059E8D-4ED8-EA4F-A6F7-FB292CBDC276}" name="Column6103"/>
    <tableColumn id="6122" xr3:uid="{F803D859-A1E6-0E4D-9951-34BDF17A787B}" name="Column6104"/>
    <tableColumn id="6123" xr3:uid="{0F558E3B-A2EE-8F4F-AAF0-14B033F46C65}" name="Column6105"/>
    <tableColumn id="6124" xr3:uid="{65169B09-448D-1B45-B02C-A3EED54DDC0D}" name="Column6106"/>
    <tableColumn id="6125" xr3:uid="{BFF40DB6-5D32-A242-B1D1-C086A6625214}" name="Column6107"/>
    <tableColumn id="6126" xr3:uid="{39EF5761-8960-4E42-AC1C-247472A0FAA2}" name="Column6108"/>
    <tableColumn id="6127" xr3:uid="{E0C10D8B-7DCD-3D45-A6B6-CFEF1AE8CBBC}" name="Column6109"/>
    <tableColumn id="6128" xr3:uid="{53A95560-9660-4647-90DF-8321FE197BF4}" name="Column6110"/>
    <tableColumn id="6129" xr3:uid="{EC6B3199-F24E-CC42-8A56-86052B1B100C}" name="Column6111"/>
    <tableColumn id="6130" xr3:uid="{A4890AE1-048D-134F-8AD7-93A335637FA5}" name="Column6112"/>
    <tableColumn id="6131" xr3:uid="{67E215C8-9863-9843-830A-7C1BEEDD4E38}" name="Column6113"/>
    <tableColumn id="6132" xr3:uid="{821BDBA3-8433-2F4C-BB0A-81E7095FC1B8}" name="Column6114"/>
    <tableColumn id="6133" xr3:uid="{C8A6C290-9D6B-C44C-A66C-EE6B02D35C25}" name="Column6115"/>
    <tableColumn id="6134" xr3:uid="{8554584E-04C1-ED44-972B-626ED04B2255}" name="Column6116"/>
    <tableColumn id="6135" xr3:uid="{FC72ECD8-7ED4-4E45-B56D-B8194899BCDF}" name="Column6117"/>
    <tableColumn id="6136" xr3:uid="{18FAE879-2170-9F45-B451-D3BD5175EC0E}" name="Column6118"/>
    <tableColumn id="6137" xr3:uid="{2D9EEC52-DF30-7A4A-926A-CF38251868F1}" name="Column6119"/>
    <tableColumn id="6138" xr3:uid="{839F7ABB-112A-C841-A2F1-F811C06485E1}" name="Column6120"/>
    <tableColumn id="6139" xr3:uid="{DC633711-2D90-294A-B7A3-E9D5BAC5491E}" name="Column6121"/>
    <tableColumn id="6140" xr3:uid="{49ABB28F-CFF3-4C4D-BE2D-5696CD43149A}" name="Column6122"/>
    <tableColumn id="6141" xr3:uid="{52091780-B65A-6449-95DE-D2C5BE81C41F}" name="Column6123"/>
    <tableColumn id="6142" xr3:uid="{BE3BA437-9C02-F447-88EB-5CFA7777669C}" name="Column6124"/>
    <tableColumn id="6143" xr3:uid="{0D830A79-9F85-9D41-9DAF-03E995D53AB1}" name="Column6125"/>
    <tableColumn id="6144" xr3:uid="{3B289454-2E44-DD48-9DCF-AFF07F86D329}" name="Column6126"/>
    <tableColumn id="6145" xr3:uid="{0CC762DE-8246-104D-AA7C-B272856C13EE}" name="Column6127"/>
    <tableColumn id="6146" xr3:uid="{83C5C3BC-D591-5940-83F3-C2B22FCF0875}" name="Column6128"/>
    <tableColumn id="6147" xr3:uid="{B922A5A4-96E3-FB43-B104-04459F0FCD3C}" name="Column6129"/>
    <tableColumn id="6148" xr3:uid="{F5D79D68-8AA8-6B49-8AC1-A44057142C81}" name="Column6130"/>
    <tableColumn id="6149" xr3:uid="{CA461561-B01C-0148-B2A1-4362594C1971}" name="Column6131"/>
    <tableColumn id="6150" xr3:uid="{F4541287-7AE6-CD49-BD4A-30B8C415BF62}" name="Column6132"/>
    <tableColumn id="6151" xr3:uid="{84A5D91F-043B-844F-AF8C-4C5532A3037B}" name="Column6133"/>
    <tableColumn id="6152" xr3:uid="{D9D38E40-DD91-F044-8544-5742791F0BBC}" name="Column6134"/>
    <tableColumn id="6153" xr3:uid="{9F925132-7215-F440-8F3F-9B2BE313DCCC}" name="Column6135"/>
    <tableColumn id="6154" xr3:uid="{1353F4B6-3D14-3649-B6A1-88DC755C6CF5}" name="Column6136"/>
    <tableColumn id="6155" xr3:uid="{43B99622-674A-6645-B2D1-4A390DC4815B}" name="Column6137"/>
    <tableColumn id="6156" xr3:uid="{C1197116-1230-CD44-BD64-152148EF7E49}" name="Column6138"/>
    <tableColumn id="6157" xr3:uid="{077B9151-4C5C-DA44-BE87-7A7752B80806}" name="Column6139"/>
    <tableColumn id="6158" xr3:uid="{F656702D-9178-AD42-947C-104E27507C16}" name="Column6140"/>
    <tableColumn id="6159" xr3:uid="{40EB388F-144E-9441-9152-0153A3DDADAC}" name="Column6141"/>
    <tableColumn id="6160" xr3:uid="{1AE9AED0-70B4-8E41-A26E-2FE4E4F505D2}" name="Column6142"/>
    <tableColumn id="6161" xr3:uid="{12CAC68A-712B-F54B-88DC-8062DCEB2436}" name="Column6143"/>
    <tableColumn id="6162" xr3:uid="{799645CA-2C8B-2044-9B94-57B080C59461}" name="Column6144"/>
    <tableColumn id="6163" xr3:uid="{A1C7FDB3-B666-C247-BA4A-3AF9D20B66B5}" name="Column6145"/>
    <tableColumn id="6164" xr3:uid="{99B9CC76-3531-7B48-98FA-CDF335DF0E80}" name="Column6146"/>
    <tableColumn id="6165" xr3:uid="{4CAE54A7-E44E-D94D-9015-8D41C2F31346}" name="Column6147"/>
    <tableColumn id="6166" xr3:uid="{6BBA7DF9-1E43-084D-8CD3-9B6D047A7EB5}" name="Column6148"/>
    <tableColumn id="6167" xr3:uid="{F9B5A6AC-9361-1342-9A84-EDBC03647229}" name="Column6149"/>
    <tableColumn id="6168" xr3:uid="{BCDDA783-064F-0348-A10E-4A3A0115E422}" name="Column6150"/>
    <tableColumn id="6169" xr3:uid="{0B891B87-6F4D-1541-9787-0F20F2C316BA}" name="Column6151"/>
    <tableColumn id="6170" xr3:uid="{B1F818D6-59BA-B647-9C6F-E6BE4A710D33}" name="Column6152"/>
    <tableColumn id="6171" xr3:uid="{2D1E8EB5-7FE3-AB49-AB04-ED942D69E50B}" name="Column6153"/>
    <tableColumn id="6172" xr3:uid="{D656A69B-A0A4-5D48-B617-0745ABD380C8}" name="Column6154"/>
    <tableColumn id="6173" xr3:uid="{BF3EAFCA-2AA9-9B45-8EEE-F40EA3FB0B29}" name="Column6155"/>
    <tableColumn id="6174" xr3:uid="{2B32F465-1806-2C4C-BC6C-76B1F59333D6}" name="Column6156"/>
    <tableColumn id="6175" xr3:uid="{FDF60947-F7D9-D842-8E0D-9589730D1008}" name="Column6157"/>
    <tableColumn id="6176" xr3:uid="{867E55C7-2465-8941-8B28-ECE744A4FBED}" name="Column6158"/>
    <tableColumn id="6177" xr3:uid="{9920DCD0-B631-8B45-B9A4-38BF6C081376}" name="Column6159"/>
    <tableColumn id="6178" xr3:uid="{A3A73B1E-02CE-AB4C-9C18-C283A469F264}" name="Column6160"/>
    <tableColumn id="6179" xr3:uid="{CCEE4E19-62E7-9D4D-88FB-4273BA3DBA7D}" name="Column6161"/>
    <tableColumn id="6180" xr3:uid="{3F43E671-77AC-DB41-8B2E-2B71FD3D0E41}" name="Column6162"/>
    <tableColumn id="6181" xr3:uid="{1E62CDE9-F11C-8D47-B405-7B445CF207C2}" name="Column6163"/>
    <tableColumn id="6182" xr3:uid="{D1079547-C2B1-B046-9FDC-A39A4747EE0F}" name="Column6164"/>
    <tableColumn id="6183" xr3:uid="{AEE24EE9-448D-2A45-9846-A510FD90D959}" name="Column6165"/>
    <tableColumn id="6184" xr3:uid="{244E1931-F027-5B45-A98E-FC7E558947D2}" name="Column6166"/>
    <tableColumn id="6185" xr3:uid="{C0702EAE-6A48-344A-A1BC-37D0C7D6D0AB}" name="Column6167"/>
    <tableColumn id="6186" xr3:uid="{9009B632-16D1-384A-B770-534006308B20}" name="Column6168"/>
    <tableColumn id="6187" xr3:uid="{A9F15E4B-9E84-5843-9D3E-B1EAACDDB946}" name="Column6169"/>
    <tableColumn id="6188" xr3:uid="{3AD7F087-DB4B-8145-B47A-25DC7CF7AB88}" name="Column6170"/>
    <tableColumn id="6189" xr3:uid="{50D53F53-B4D4-E749-B524-DCB84ED62755}" name="Column6171"/>
    <tableColumn id="6190" xr3:uid="{091E8B3F-C8F8-0648-A903-47C3314DD7DC}" name="Column6172"/>
    <tableColumn id="6191" xr3:uid="{659A1E01-24EA-B442-94E7-4F52F380CA31}" name="Column6173"/>
    <tableColumn id="6192" xr3:uid="{07F40CE4-53A3-AC42-BF6D-46B0E5E3FEC8}" name="Column6174"/>
    <tableColumn id="6193" xr3:uid="{5D670CB4-9272-834A-A745-152BD6BF490B}" name="Column6175"/>
    <tableColumn id="6194" xr3:uid="{A15538F5-1EEE-8E4C-9C20-EE7A8DE7D925}" name="Column6176"/>
    <tableColumn id="6195" xr3:uid="{D60C2A97-45F6-3846-8A04-CDEFEEA348E5}" name="Column6177"/>
    <tableColumn id="6196" xr3:uid="{E9F56D49-A4CE-864A-9FC5-C1D2B441254E}" name="Column6178"/>
    <tableColumn id="6197" xr3:uid="{2F46BC54-48E4-994A-BF9B-4ABB4B69EB78}" name="Column6179"/>
    <tableColumn id="6198" xr3:uid="{49E43AD6-C9B9-8F4A-9C73-B0814F983969}" name="Column6180"/>
    <tableColumn id="6199" xr3:uid="{C38ACC54-D202-DA4A-B4DA-518B2422C54D}" name="Column6181"/>
    <tableColumn id="6200" xr3:uid="{118F9B91-DDE8-C746-9331-88DF42520096}" name="Column6182"/>
    <tableColumn id="6201" xr3:uid="{B6C641E4-D7C1-5942-A4F9-660027707AB4}" name="Column6183"/>
    <tableColumn id="6202" xr3:uid="{8732593B-6813-BF47-AD95-C4F8E1F15CDB}" name="Column6184"/>
    <tableColumn id="6203" xr3:uid="{1E5C5088-6CD3-5F43-8A1E-E3AE579A8957}" name="Column6185"/>
    <tableColumn id="6204" xr3:uid="{B7997AF8-3EC5-B648-9372-D0093E123157}" name="Column6186"/>
    <tableColumn id="6205" xr3:uid="{75A7CAAD-673F-374E-814C-69F6CA109A96}" name="Column6187"/>
    <tableColumn id="6206" xr3:uid="{F6CC236D-0BB2-B743-BD84-4CEFE5FE3699}" name="Column6188"/>
    <tableColumn id="6207" xr3:uid="{19068E1C-57B8-9B47-9C20-37C93C528F10}" name="Column6189"/>
    <tableColumn id="6208" xr3:uid="{F8F6BA80-9732-2F4E-9D30-EEB4BC3201DE}" name="Column6190"/>
    <tableColumn id="6209" xr3:uid="{879C40E3-6DB3-3B45-9F48-261CE08D9B48}" name="Column6191"/>
    <tableColumn id="6210" xr3:uid="{771EEBAA-EE6B-6F43-B26D-78FA136649E7}" name="Column6192"/>
    <tableColumn id="6211" xr3:uid="{7F3F7CE2-56BC-8948-9F7D-7ED17D116F21}" name="Column6193"/>
    <tableColumn id="6212" xr3:uid="{0D5827CB-0E89-4044-8EDB-27553A38D653}" name="Column6194"/>
    <tableColumn id="6213" xr3:uid="{5C363EFB-4D70-8B4E-AC4C-825E16EC2877}" name="Column6195"/>
    <tableColumn id="6214" xr3:uid="{929E87D8-89B5-E940-A2C6-5C50446DD3CD}" name="Column6196"/>
    <tableColumn id="6215" xr3:uid="{69A537D3-6F78-4C4F-A6CC-4C4B23D39171}" name="Column6197"/>
    <tableColumn id="6216" xr3:uid="{8BC2913C-2FDC-0840-A22F-FB83071C77ED}" name="Column6198"/>
    <tableColumn id="6217" xr3:uid="{29148792-C324-9C4F-8985-945644AF92C9}" name="Column6199"/>
    <tableColumn id="6218" xr3:uid="{66661AB9-B941-E94D-B6B1-21ECDF5F7B58}" name="Column6200"/>
    <tableColumn id="6219" xr3:uid="{A7FD3107-F5AE-8040-AE29-7A8CFD4102A3}" name="Column6201"/>
    <tableColumn id="6220" xr3:uid="{4363B50E-215B-B744-A149-70FA1E3BB4D7}" name="Column6202"/>
    <tableColumn id="6221" xr3:uid="{E0B347E2-9093-7148-A1C6-0A873E31C5D1}" name="Column6203"/>
    <tableColumn id="6222" xr3:uid="{F55A32E3-4656-244F-8941-1B9C391E65A4}" name="Column6204"/>
    <tableColumn id="6223" xr3:uid="{AF5C35A0-A353-704F-BDA2-669A6C9F6C2A}" name="Column6205"/>
    <tableColumn id="6224" xr3:uid="{53091468-9CDF-934D-84DE-8B44393D1604}" name="Column6206"/>
    <tableColumn id="6225" xr3:uid="{61865B32-0169-BC42-8AAD-497943156D44}" name="Column6207"/>
    <tableColumn id="6226" xr3:uid="{4991BFDA-020F-3C47-B461-AC4DAD75F65F}" name="Column6208"/>
    <tableColumn id="6227" xr3:uid="{0A143D8C-D30E-6A48-A110-2A878C78A5D1}" name="Column6209"/>
    <tableColumn id="6228" xr3:uid="{20ED0618-AB0D-0D42-A197-4EEFCC3DDF17}" name="Column6210"/>
    <tableColumn id="6229" xr3:uid="{629241F2-D0B8-6B47-9215-C995BE3F01F4}" name="Column6211"/>
    <tableColumn id="6230" xr3:uid="{68459ABE-C1C3-C446-8E7F-BAEDAADF27E3}" name="Column6212"/>
    <tableColumn id="6231" xr3:uid="{E84D75EE-14AD-A247-94DA-AA585F00BD9F}" name="Column6213"/>
    <tableColumn id="6232" xr3:uid="{C4F1AB28-5665-B641-8541-9B6A1134E707}" name="Column6214"/>
    <tableColumn id="6233" xr3:uid="{B7DBCD70-B84F-F341-927C-B5E109F172BF}" name="Column6215"/>
    <tableColumn id="6234" xr3:uid="{8124B2EF-F948-A34C-A5E6-5A550D188A95}" name="Column6216"/>
    <tableColumn id="6235" xr3:uid="{0E6E7E0D-C9E2-7C49-BA81-ECCC08B22353}" name="Column6217"/>
    <tableColumn id="6236" xr3:uid="{3E5DAF5B-43E8-C942-850A-B3A7813129C2}" name="Column6218"/>
    <tableColumn id="6237" xr3:uid="{D7112FA4-4336-3E4C-83FC-2AF685CD2E4B}" name="Column6219"/>
    <tableColumn id="6238" xr3:uid="{AE56D438-FAAF-5946-9F83-626F65A1502F}" name="Column6220"/>
    <tableColumn id="6239" xr3:uid="{F2C92DDA-CF55-D645-96ED-802C8FA4E112}" name="Column6221"/>
    <tableColumn id="6240" xr3:uid="{71CA826C-E488-A447-88F5-893ED4B20526}" name="Column6222"/>
    <tableColumn id="6241" xr3:uid="{F504FE49-4F5B-EF40-863E-4297368E4256}" name="Column6223"/>
    <tableColumn id="6242" xr3:uid="{B0695684-E9F2-E14D-B32F-0AD86440527C}" name="Column6224"/>
    <tableColumn id="6243" xr3:uid="{E858BFA5-EF8D-6B44-AA63-ED6F477FD7DD}" name="Column6225"/>
    <tableColumn id="6244" xr3:uid="{59C73181-2DBE-8C4C-A573-FE556FCF5506}" name="Column6226"/>
    <tableColumn id="6245" xr3:uid="{F8F977EB-21C1-104F-8EE2-45A5638C1BE9}" name="Column6227"/>
    <tableColumn id="6246" xr3:uid="{20E15032-D7F8-024C-BEA2-A9B7315F74C2}" name="Column6228"/>
    <tableColumn id="6247" xr3:uid="{62CBCDDE-1ECD-A341-BBA2-7F7B92D614D9}" name="Column6229"/>
    <tableColumn id="6248" xr3:uid="{8D3956FD-9B32-2849-9A07-C3D4BFF758E4}" name="Column6230"/>
    <tableColumn id="6249" xr3:uid="{25F865DA-930B-7C46-9D4E-C2A5ED808C5A}" name="Column6231"/>
    <tableColumn id="6250" xr3:uid="{EA0E5AEB-D064-0B40-9EEE-8D97C883FB90}" name="Column6232"/>
    <tableColumn id="6251" xr3:uid="{278973B0-3709-7C4C-A1F6-5515AB6DC0DF}" name="Column6233"/>
    <tableColumn id="6252" xr3:uid="{09C9D331-ECAF-5B47-BCD7-3EA68EA1F89F}" name="Column6234"/>
    <tableColumn id="6253" xr3:uid="{6AEBBCF3-7751-924C-937E-F20053C5003A}" name="Column6235"/>
    <tableColumn id="6254" xr3:uid="{BC690905-D804-0D4F-8FFB-99BF0A08B99D}" name="Column6236"/>
    <tableColumn id="6255" xr3:uid="{39A82BE6-EAB3-BA41-A4E3-02D8067B6C58}" name="Column6237"/>
    <tableColumn id="6256" xr3:uid="{FF754205-309D-CB4C-997E-BCDA60BA2772}" name="Column6238"/>
    <tableColumn id="6257" xr3:uid="{6BCA3E54-4FB9-A848-9532-26A07DE617B1}" name="Column6239"/>
    <tableColumn id="6258" xr3:uid="{2BFE2953-4C6C-F742-84C4-2E071A335E17}" name="Column6240"/>
    <tableColumn id="6259" xr3:uid="{D91B9BC5-E100-0D4A-B5DD-055462246810}" name="Column6241"/>
    <tableColumn id="6260" xr3:uid="{EF76727D-867A-E740-8386-2B639832C941}" name="Column6242"/>
    <tableColumn id="6261" xr3:uid="{53F75280-5528-9344-8F19-515CEE5BF871}" name="Column6243"/>
    <tableColumn id="6262" xr3:uid="{15F3831B-CCA7-6342-AAF4-9F3C4104E4C3}" name="Column6244"/>
    <tableColumn id="6263" xr3:uid="{D2E79F6C-7537-2A42-B1D3-6CC1A6B9C8B8}" name="Column6245"/>
    <tableColumn id="6264" xr3:uid="{58558E80-BE5D-7C43-8B81-E9A72E52C7AB}" name="Column6246"/>
    <tableColumn id="6265" xr3:uid="{C8D758CF-4F5B-6D4D-A796-EE7371934AF5}" name="Column6247"/>
    <tableColumn id="6266" xr3:uid="{37E232E5-3BC6-9A44-8A3C-F881239E7EDD}" name="Column6248"/>
    <tableColumn id="6267" xr3:uid="{3A68F01C-84FB-E84E-B59E-8AAA11B6EC46}" name="Column6249"/>
    <tableColumn id="6268" xr3:uid="{DEA373C2-1019-9343-9EB5-5CC06DBA8740}" name="Column6250"/>
    <tableColumn id="6269" xr3:uid="{6D62F1F8-D1E1-EF43-B946-0594FC8DFC7D}" name="Column6251"/>
    <tableColumn id="6270" xr3:uid="{19719880-B2FD-E84B-B4E8-C89EC41C85C2}" name="Column6252"/>
    <tableColumn id="6271" xr3:uid="{7F790431-F3BE-7244-AFD3-80A04FEF547B}" name="Column6253"/>
    <tableColumn id="6272" xr3:uid="{4D8A8EDC-1ECB-FD47-80B6-CAF5E3AC12ED}" name="Column6254"/>
    <tableColumn id="6273" xr3:uid="{29B300E7-7027-734D-A223-2EA7006388FC}" name="Column6255"/>
    <tableColumn id="6274" xr3:uid="{14612348-578F-1346-AE9F-665F31B7A982}" name="Column6256"/>
    <tableColumn id="6275" xr3:uid="{B0F55BF8-6912-274F-BDC9-47C1627229DD}" name="Column6257"/>
    <tableColumn id="6276" xr3:uid="{D3A38AC6-BE59-634C-AE27-61951C013B85}" name="Column6258"/>
    <tableColumn id="6277" xr3:uid="{E4A333FA-0039-0648-BF94-13CB61A3D075}" name="Column6259"/>
    <tableColumn id="6278" xr3:uid="{13B0531A-0170-0140-B7F4-949E3344BB0B}" name="Column6260"/>
    <tableColumn id="6279" xr3:uid="{7B13C750-125F-FB44-BAB0-9E6295A0111A}" name="Column6261"/>
    <tableColumn id="6280" xr3:uid="{56B50E1C-E5A7-2C4B-891F-0BB8FB7F416B}" name="Column6262"/>
    <tableColumn id="6281" xr3:uid="{1E85FE4E-9BDF-7F4E-8F50-25082D7DA16E}" name="Column6263"/>
    <tableColumn id="6282" xr3:uid="{DDD2AFCE-8B02-8F44-A087-EB0987702A51}" name="Column6264"/>
    <tableColumn id="6283" xr3:uid="{BD8AD6A4-009C-BB48-9EB2-1F051D140CAB}" name="Column6265"/>
    <tableColumn id="6284" xr3:uid="{FC99EE44-2898-6744-96CA-B413C452B90F}" name="Column6266"/>
    <tableColumn id="6285" xr3:uid="{0E7E660C-6228-0740-8EE8-C9DA86BF4F49}" name="Column6267"/>
    <tableColumn id="6286" xr3:uid="{05B7707E-D9CE-264C-81F4-CEC4E16F9834}" name="Column6268"/>
    <tableColumn id="6287" xr3:uid="{E8EEF947-E3D0-AC47-9F74-30D256B434A8}" name="Column6269"/>
    <tableColumn id="6288" xr3:uid="{480E9E44-AC11-1B4E-BF11-396072D74680}" name="Column6270"/>
    <tableColumn id="6289" xr3:uid="{2D6EB2A6-34F7-7746-85AF-457B3904ED53}" name="Column6271"/>
    <tableColumn id="6290" xr3:uid="{6C125A02-E753-994C-82F7-55DA7B1B4953}" name="Column6272"/>
    <tableColumn id="6291" xr3:uid="{8375E0AA-CA4E-B441-8C33-E427D9CA57DF}" name="Column6273"/>
    <tableColumn id="6292" xr3:uid="{EC5021C8-2B76-5546-973A-454FB47AEC48}" name="Column6274"/>
    <tableColumn id="6293" xr3:uid="{7699C1F3-7D71-1741-A790-46088E266EB2}" name="Column6275"/>
    <tableColumn id="6294" xr3:uid="{F45FA97F-54CD-AE4D-A64B-02F9B2D698FC}" name="Column6276"/>
    <tableColumn id="6295" xr3:uid="{B58EFCC1-1D4B-9547-9A8E-4AB287B21F02}" name="Column6277"/>
    <tableColumn id="6296" xr3:uid="{C55FFBC0-0209-FA4C-8E72-05F8640A088A}" name="Column6278"/>
    <tableColumn id="6297" xr3:uid="{999CC1AC-F0E9-244F-AEA4-6FA9BF967519}" name="Column6279"/>
    <tableColumn id="6298" xr3:uid="{EB1B6F90-8B74-EA41-B543-B801DE7C74AA}" name="Column6280"/>
    <tableColumn id="6299" xr3:uid="{8D7A341F-372A-2844-A020-062872C5AFBE}" name="Column6281"/>
    <tableColumn id="6300" xr3:uid="{B94DD379-5BF8-8F40-932F-3798AB6CB8DE}" name="Column6282"/>
    <tableColumn id="6301" xr3:uid="{2210E9BE-03AA-4741-9EDF-992BA25A1FF7}" name="Column6283"/>
    <tableColumn id="6302" xr3:uid="{F76D981B-004E-1F4C-8613-CC824BAD06F6}" name="Column6284"/>
    <tableColumn id="6303" xr3:uid="{B678A6F2-4E1C-B64B-8C67-824DA97A823A}" name="Column6285"/>
    <tableColumn id="6304" xr3:uid="{74219CDF-3C9F-8545-A965-04407EB25293}" name="Column6286"/>
    <tableColumn id="6305" xr3:uid="{31725484-417C-6448-BFD3-E08085207F15}" name="Column6287"/>
    <tableColumn id="6306" xr3:uid="{842EA494-2BB9-BB43-81E9-E1A7DF19A48F}" name="Column6288"/>
    <tableColumn id="6307" xr3:uid="{C6C47125-C9B5-3345-8C4D-71A3400A9CA3}" name="Column6289"/>
    <tableColumn id="6308" xr3:uid="{AD2907E6-A0D9-5740-97B5-DFC111298AB6}" name="Column6290"/>
    <tableColumn id="6309" xr3:uid="{C6836C2E-50B6-134F-8EC4-290A478FA08A}" name="Column6291"/>
    <tableColumn id="6310" xr3:uid="{E4D2C800-375D-9E4C-B485-5397474BE252}" name="Column6292"/>
    <tableColumn id="6311" xr3:uid="{F7EF1301-681D-2A41-894F-DE9D6C589262}" name="Column6293"/>
    <tableColumn id="6312" xr3:uid="{F0EEFE08-59FD-D44E-9035-288CFC7AE50D}" name="Column6294"/>
    <tableColumn id="6313" xr3:uid="{7DCE9B0A-B595-B549-9BA7-8E2B9B4E9DC4}" name="Column6295"/>
    <tableColumn id="6314" xr3:uid="{3D9634D1-D866-9041-826A-E1938AC7B018}" name="Column6296"/>
    <tableColumn id="6315" xr3:uid="{214EF4BE-3D34-4A4A-A587-B5B7079996E1}" name="Column6297"/>
    <tableColumn id="6316" xr3:uid="{697551FA-13C0-C54B-9FEB-9533CE91B6EC}" name="Column6298"/>
    <tableColumn id="6317" xr3:uid="{70418F39-1EAE-1547-AA2D-A44BAD6F6381}" name="Column6299"/>
    <tableColumn id="6318" xr3:uid="{40F0C9CC-BC67-4C4A-B2C7-0ACF99B98E3C}" name="Column6300"/>
    <tableColumn id="6319" xr3:uid="{81128A93-421F-994E-9C02-3EAE1A7203C6}" name="Column6301"/>
    <tableColumn id="6320" xr3:uid="{DD8A0F49-DB53-5A40-8479-EC52438F00DB}" name="Column6302"/>
    <tableColumn id="6321" xr3:uid="{B0920277-D718-554E-B493-817AE7BEDC38}" name="Column6303"/>
    <tableColumn id="6322" xr3:uid="{C2E11575-13A2-AA4E-BCA1-A543E4E8BAE3}" name="Column6304"/>
    <tableColumn id="6323" xr3:uid="{2AD549FC-D36D-CB40-8BE0-24B9DC29670A}" name="Column6305"/>
    <tableColumn id="6324" xr3:uid="{5FC6986B-952A-5C4E-A9C8-D553429D907D}" name="Column6306"/>
    <tableColumn id="6325" xr3:uid="{07433BBC-2BE2-FD42-A87D-9A1FE72CF3A2}" name="Column6307"/>
    <tableColumn id="6326" xr3:uid="{DD07E88E-6265-2545-BBD4-BA0C247E6A15}" name="Column6308"/>
    <tableColumn id="6327" xr3:uid="{C000BF6B-64B9-584E-94BB-FF5DA8F114D5}" name="Column6309"/>
    <tableColumn id="6328" xr3:uid="{758F094E-2486-6947-BCDC-C4F0AF03F65D}" name="Column6310"/>
    <tableColumn id="6329" xr3:uid="{D68DDEA3-F1B0-0C4F-811C-A663B0AA90F5}" name="Column6311"/>
    <tableColumn id="6330" xr3:uid="{C81DA0A1-685A-6E42-BCDB-F42DA6D63C94}" name="Column6312"/>
    <tableColumn id="6331" xr3:uid="{AF29C217-6C73-C34D-8F39-69BCC8957587}" name="Column6313"/>
    <tableColumn id="6332" xr3:uid="{88243EE3-76BA-034C-9D83-6A38AEBF2788}" name="Column6314"/>
    <tableColumn id="6333" xr3:uid="{DB2A09B5-7416-0447-9A6C-34AE80863728}" name="Column6315"/>
    <tableColumn id="6334" xr3:uid="{2F3E672A-CB3C-0245-A078-D158409D0526}" name="Column6316"/>
    <tableColumn id="6335" xr3:uid="{52F25319-4AC7-3F4F-942E-775EBE44D99D}" name="Column6317"/>
    <tableColumn id="6336" xr3:uid="{059DC15E-D800-4D4F-8CCD-70FEFC56271F}" name="Column6318"/>
    <tableColumn id="6337" xr3:uid="{A1E8F371-9364-2E43-B73D-A1F2AD9B38A0}" name="Column6319"/>
    <tableColumn id="6338" xr3:uid="{4048F870-B44F-8049-8EA3-2126196A211C}" name="Column6320"/>
    <tableColumn id="6339" xr3:uid="{AC1D1172-3B68-F040-863B-EBA0F256D153}" name="Column6321"/>
    <tableColumn id="6340" xr3:uid="{5578EE5E-1D6C-9D43-9F66-13AF298C5EF1}" name="Column6322"/>
    <tableColumn id="6341" xr3:uid="{5187E2C5-0F1B-6246-A127-5FFEF32E6006}" name="Column6323"/>
    <tableColumn id="6342" xr3:uid="{74926750-DCE1-D14A-96C2-96EC33E67EA6}" name="Column6324"/>
    <tableColumn id="6343" xr3:uid="{36A36504-8F61-7C45-9B9C-6A399190C191}" name="Column6325"/>
    <tableColumn id="6344" xr3:uid="{D6E0018F-3352-FA45-AD71-FDC614A402F2}" name="Column6326"/>
    <tableColumn id="6345" xr3:uid="{CEDCE8F8-B392-E248-83AB-EA86F3702FB6}" name="Column6327"/>
    <tableColumn id="6346" xr3:uid="{CCEBECC7-3FD5-7741-9AF4-ECD1EF5F3A51}" name="Column6328"/>
    <tableColumn id="6347" xr3:uid="{9A3625FA-23E9-0748-B155-4C296E3F4161}" name="Column6329"/>
    <tableColumn id="6348" xr3:uid="{1AFB2431-03AF-A844-9240-DF12939D15A9}" name="Column6330"/>
    <tableColumn id="6349" xr3:uid="{0995D166-8972-654E-A04A-DED5BD093952}" name="Column6331"/>
    <tableColumn id="6350" xr3:uid="{6DA01403-4D42-D848-BF1F-647A96C1A9C3}" name="Column6332"/>
    <tableColumn id="6351" xr3:uid="{3243BBA7-C2B2-874E-A9E1-F9B96BCD7BDA}" name="Column6333"/>
    <tableColumn id="6352" xr3:uid="{2E2DCEF2-F8D7-2A46-A331-8FDFF56304F3}" name="Column6334"/>
    <tableColumn id="6353" xr3:uid="{FF9E197A-D18D-5C49-A3D0-8CAF090CBC03}" name="Column6335"/>
    <tableColumn id="6354" xr3:uid="{947E7D03-D2B1-4D43-8BC0-7C92197E7842}" name="Column6336"/>
    <tableColumn id="6355" xr3:uid="{08B0BCDF-DD98-F047-9416-A9BC385064B3}" name="Column6337"/>
    <tableColumn id="6356" xr3:uid="{D0720DAA-72AB-D542-BCB3-D116C401C70B}" name="Column6338"/>
    <tableColumn id="6357" xr3:uid="{647AF8BF-52FC-F743-ABF4-CE64882228F0}" name="Column6339"/>
    <tableColumn id="6358" xr3:uid="{5A110C27-AA35-4B43-8ABE-2105A7B54EC0}" name="Column6340"/>
    <tableColumn id="6359" xr3:uid="{11B0BBA2-B947-434A-9190-852D5D478BB3}" name="Column6341"/>
    <tableColumn id="6360" xr3:uid="{47435CAD-BBB9-2F42-92B4-382B899EB237}" name="Column6342"/>
    <tableColumn id="6361" xr3:uid="{3F406AB6-2C40-6B43-AD25-69915A33B14A}" name="Column6343"/>
    <tableColumn id="6362" xr3:uid="{FF293D0C-F712-444A-A467-F0CC1DD1EAB3}" name="Column6344"/>
    <tableColumn id="6363" xr3:uid="{79F97E2B-7E55-194A-AE4D-76B262B94B8A}" name="Column6345"/>
    <tableColumn id="6364" xr3:uid="{6EF067E9-F019-DF41-91FD-61A1A1711DD5}" name="Column6346"/>
    <tableColumn id="6365" xr3:uid="{A333AAC8-E73D-B248-A386-2D303F23CAE5}" name="Column6347"/>
    <tableColumn id="6366" xr3:uid="{7C4F180C-9FEE-DD4F-A531-4B8D41BA9ED7}" name="Column6348"/>
    <tableColumn id="6367" xr3:uid="{0DA46664-DFE2-E648-AC25-0F1E5D49EF44}" name="Column6349"/>
    <tableColumn id="6368" xr3:uid="{35BB3667-5268-6045-A7EE-946F9775644C}" name="Column6350"/>
    <tableColumn id="6369" xr3:uid="{637606CB-C8C7-4645-8EFD-A4ECCE988F67}" name="Column6351"/>
    <tableColumn id="6370" xr3:uid="{6372AEF7-C098-4142-BFFD-49569644D407}" name="Column6352"/>
    <tableColumn id="6371" xr3:uid="{ECF7CB56-7D9B-754F-964F-0C3AC3EECF34}" name="Column6353"/>
    <tableColumn id="6372" xr3:uid="{1652C887-ED66-E847-978C-3F15D0A9E0EE}" name="Column6354"/>
    <tableColumn id="6373" xr3:uid="{3F01EB32-C1D4-6E49-9288-56251F9B1334}" name="Column6355"/>
    <tableColumn id="6374" xr3:uid="{83220BB5-26C7-434A-A076-51F66B0ECE95}" name="Column6356"/>
    <tableColumn id="6375" xr3:uid="{1F61D4AD-0702-8640-860D-38A22C8D1A09}" name="Column6357"/>
    <tableColumn id="6376" xr3:uid="{37E06A80-67BE-6548-8043-E013F6625BD1}" name="Column6358"/>
    <tableColumn id="6377" xr3:uid="{8A49F22A-61F1-914B-A885-167DB8DFAD39}" name="Column6359"/>
    <tableColumn id="6378" xr3:uid="{74F532C7-BED8-9C4A-84F0-87A8013E613B}" name="Column6360"/>
    <tableColumn id="6379" xr3:uid="{657AD830-F1A7-774F-92F9-4CB6BF2B6B1D}" name="Column6361"/>
    <tableColumn id="6380" xr3:uid="{E1FFE6E5-25EE-2D43-8F80-C7B1A7618F43}" name="Column6362"/>
    <tableColumn id="6381" xr3:uid="{B295E461-3722-C447-8EF7-2B63F5DCEADB}" name="Column6363"/>
    <tableColumn id="6382" xr3:uid="{7A1E8AF1-0EB0-C14B-9A34-80E40DAE7861}" name="Column6364"/>
    <tableColumn id="6383" xr3:uid="{EF6D4016-0194-B845-B610-100FC36699D7}" name="Column6365"/>
    <tableColumn id="6384" xr3:uid="{A5EA2FD0-C9D0-6F44-BEEB-430744A67D06}" name="Column6366"/>
    <tableColumn id="6385" xr3:uid="{90750031-E94C-774A-9DBE-7279CB0629E5}" name="Column6367"/>
    <tableColumn id="6386" xr3:uid="{894291D0-0608-3F47-AD32-680627E8EB3E}" name="Column6368"/>
    <tableColumn id="6387" xr3:uid="{CFCE4D97-2DCF-3741-95E0-703F09C61E33}" name="Column6369"/>
    <tableColumn id="6388" xr3:uid="{8810D984-DF27-0F47-A5E3-16AAE35D924E}" name="Column6370"/>
    <tableColumn id="6389" xr3:uid="{D1E8ED76-F8FC-574F-B128-0C1CAD1ED8EC}" name="Column6371"/>
    <tableColumn id="6390" xr3:uid="{A4E47276-428D-A045-B785-6D4FF756DC50}" name="Column6372"/>
    <tableColumn id="6391" xr3:uid="{53BA1C36-5652-AF49-A82E-8D71FD01B0B4}" name="Column6373"/>
    <tableColumn id="6392" xr3:uid="{7C077519-89A4-A94C-A2B3-28E13BA81512}" name="Column6374"/>
    <tableColumn id="6393" xr3:uid="{29775EE4-0C42-7C4C-95AB-5E824B071A7B}" name="Column6375"/>
    <tableColumn id="6394" xr3:uid="{0CBD83F0-3B91-9C48-B187-F3ACA4A59BF6}" name="Column6376"/>
    <tableColumn id="6395" xr3:uid="{252A7E07-1618-8C4F-94D9-8AC17822DE8F}" name="Column6377"/>
    <tableColumn id="6396" xr3:uid="{A812E806-9D57-9F44-9E51-BA64ECFFB2E4}" name="Column6378"/>
    <tableColumn id="6397" xr3:uid="{1E9588FC-A4B7-AE4B-9537-CAE234EFFE60}" name="Column6379"/>
    <tableColumn id="6398" xr3:uid="{9BAB4469-CC2A-944B-803E-7D519A9CDAC8}" name="Column6380"/>
    <tableColumn id="6399" xr3:uid="{96525B37-C431-EF45-9751-1AD3DACA5638}" name="Column6381"/>
    <tableColumn id="6400" xr3:uid="{5654B955-C775-7745-8103-F04419611C5C}" name="Column6382"/>
    <tableColumn id="6401" xr3:uid="{D60F1821-8A28-DD4F-9981-0D6A4C2038D4}" name="Column6383"/>
    <tableColumn id="6402" xr3:uid="{06124182-57BB-964C-AD06-B96102CF7D34}" name="Column6384"/>
    <tableColumn id="6403" xr3:uid="{8732AC18-A9E8-514B-A41D-30D85640B675}" name="Column6385"/>
    <tableColumn id="6404" xr3:uid="{4B090CED-F402-ED42-B244-CB866819A2E7}" name="Column6386"/>
    <tableColumn id="6405" xr3:uid="{0C5816AF-5D33-E142-AB6E-9295E4DEE012}" name="Column6387"/>
    <tableColumn id="6406" xr3:uid="{2CEA1D8C-0FEF-C14C-A827-A0260F5528F7}" name="Column6388"/>
    <tableColumn id="6407" xr3:uid="{B064D7FD-5BE7-E944-A431-BC7A08A4BE36}" name="Column6389"/>
    <tableColumn id="6408" xr3:uid="{77D46F9A-04AC-5443-B29C-AEFED3D81043}" name="Column6390"/>
    <tableColumn id="6409" xr3:uid="{C074BB05-44AE-AE44-9095-3DCE7FDB2E86}" name="Column6391"/>
    <tableColumn id="6410" xr3:uid="{190353E6-77A5-AD4C-B9A3-DBBFF28F9AB1}" name="Column6392"/>
    <tableColumn id="6411" xr3:uid="{E59EB454-9807-6646-B27E-F2CC31B1593C}" name="Column6393"/>
    <tableColumn id="6412" xr3:uid="{DD800BB0-40AD-3A46-BBDB-ABC34C8D2571}" name="Column6394"/>
    <tableColumn id="6413" xr3:uid="{C1BD3AD0-C45E-2C46-9975-0566BB5811E5}" name="Column6395"/>
    <tableColumn id="6414" xr3:uid="{9A973D5F-AAFD-9643-9F18-B1C19D4B9EDE}" name="Column6396"/>
    <tableColumn id="6415" xr3:uid="{C89658AA-0088-FE40-AC96-5E4D47345ACA}" name="Column6397"/>
    <tableColumn id="6416" xr3:uid="{10456163-06BA-D342-896A-E284A83A0F9F}" name="Column6398"/>
    <tableColumn id="6417" xr3:uid="{9CBFE5C3-8AC2-B448-BB00-E54CD61502DB}" name="Column6399"/>
    <tableColumn id="6418" xr3:uid="{B403FFC0-2953-8745-8271-B3612147A508}" name="Column6400"/>
    <tableColumn id="6419" xr3:uid="{9BC3C580-6FAE-4D43-AE34-A199F20DD0E4}" name="Column6401"/>
    <tableColumn id="6420" xr3:uid="{9785F877-2596-2945-BF60-3762190C4145}" name="Column6402"/>
    <tableColumn id="6421" xr3:uid="{06798276-4A2A-6F49-83E7-7E06DFBDCF53}" name="Column6403"/>
    <tableColumn id="6422" xr3:uid="{291BD138-1069-5A4A-A2E9-79BD5403F939}" name="Column6404"/>
    <tableColumn id="6423" xr3:uid="{85368806-7B86-704A-9A73-EE3F9382B029}" name="Column6405"/>
    <tableColumn id="6424" xr3:uid="{E41C00A9-7BD6-1A4D-8943-AD212C1F4855}" name="Column6406"/>
    <tableColumn id="6425" xr3:uid="{3393FC9C-1F11-2E4E-A786-B0C807538EA6}" name="Column6407"/>
    <tableColumn id="6426" xr3:uid="{FC9C2EBE-AA61-164F-84F2-58B4D4A19C04}" name="Column6408"/>
    <tableColumn id="6427" xr3:uid="{7C4306A2-99FC-4C45-B357-C47583AF7C47}" name="Column6409"/>
    <tableColumn id="6428" xr3:uid="{7B2B2A83-A4D4-E649-A66E-F7080CA660AD}" name="Column6410"/>
    <tableColumn id="6429" xr3:uid="{32698A00-B81A-8C49-A894-357ED7942111}" name="Column6411"/>
    <tableColumn id="6430" xr3:uid="{E90868BE-1965-354D-B4EB-AA253004A32A}" name="Column6412"/>
    <tableColumn id="6431" xr3:uid="{E54E6749-ABD4-EC46-900B-26FDB95CA267}" name="Column6413"/>
    <tableColumn id="6432" xr3:uid="{C0B012CD-0841-E74B-98A6-DEBFC1FB7813}" name="Column6414"/>
    <tableColumn id="6433" xr3:uid="{EA26844A-EEFB-2049-97F6-3073A9C38E49}" name="Column6415"/>
    <tableColumn id="6434" xr3:uid="{F4EBD31F-C857-8D45-BE84-6E6B2596B7F5}" name="Column6416"/>
    <tableColumn id="6435" xr3:uid="{AF2F2013-2B1C-174C-BF50-8584520AE67B}" name="Column6417"/>
    <tableColumn id="6436" xr3:uid="{3C550247-CF50-834B-A69C-852F679E932C}" name="Column6418"/>
    <tableColumn id="6437" xr3:uid="{D4524C23-9946-4045-B04B-02EA11BB1F95}" name="Column6419"/>
    <tableColumn id="6438" xr3:uid="{BC879754-FCF9-BC45-A4A9-06C09A119305}" name="Column6420"/>
    <tableColumn id="6439" xr3:uid="{CF208BC8-4E6A-E346-8C95-6A2FD86462BC}" name="Column6421"/>
    <tableColumn id="6440" xr3:uid="{EEB50F31-D21D-244F-818B-2D89C749AD99}" name="Column6422"/>
    <tableColumn id="6441" xr3:uid="{9C9B3210-DAB7-7949-95C6-7216F39A4B19}" name="Column6423"/>
    <tableColumn id="6442" xr3:uid="{A359CCBE-62DE-8543-B7A0-1DEC1959D6D6}" name="Column6424"/>
    <tableColumn id="6443" xr3:uid="{61562F99-037F-4C42-9E9E-DA50AE7AA0CC}" name="Column6425"/>
    <tableColumn id="6444" xr3:uid="{14E3EC31-71DE-DA40-9947-088DBE27B24C}" name="Column6426"/>
    <tableColumn id="6445" xr3:uid="{A1A80F18-AF22-9143-8578-694BA30A1C17}" name="Column6427"/>
    <tableColumn id="6446" xr3:uid="{0B311913-4239-8344-A048-9C0A24C756BC}" name="Column6428"/>
    <tableColumn id="6447" xr3:uid="{7D7C3FEC-65AD-564D-9737-59D5DA96EE41}" name="Column6429"/>
    <tableColumn id="6448" xr3:uid="{DA5ADABB-6354-C24A-A797-37A1C9C2FC99}" name="Column6430"/>
    <tableColumn id="6449" xr3:uid="{C1FE494C-9AA7-3E40-A942-06898B648AC7}" name="Column6431"/>
    <tableColumn id="6450" xr3:uid="{30BE1109-D69B-7346-B7BF-D30034D085AE}" name="Column6432"/>
    <tableColumn id="6451" xr3:uid="{8FE72AFF-9BBD-5C44-B64A-36495803A1BA}" name="Column6433"/>
    <tableColumn id="6452" xr3:uid="{FCF033AC-214D-1B47-933E-885BD1D4664E}" name="Column6434"/>
    <tableColumn id="6453" xr3:uid="{2B7ED783-097F-434E-A5F0-95C7482B7C5F}" name="Column6435"/>
    <tableColumn id="6454" xr3:uid="{CA4B3E86-BC9A-BD4A-BD62-8905162C6D73}" name="Column6436"/>
    <tableColumn id="6455" xr3:uid="{BECBEF01-A98A-EA44-9487-56094A93A074}" name="Column6437"/>
    <tableColumn id="6456" xr3:uid="{7A2D7FAC-1DF0-C244-974A-3EDFE6E8DD37}" name="Column6438"/>
    <tableColumn id="6457" xr3:uid="{C105B611-CF7D-2B4D-A82D-394C90A6F4B7}" name="Column6439"/>
    <tableColumn id="6458" xr3:uid="{C648E8C5-C7CF-3C44-A6AB-8B65851904C5}" name="Column6440"/>
    <tableColumn id="6459" xr3:uid="{6321DBE1-3343-DE47-A406-67BC7E15D6D9}" name="Column6441"/>
    <tableColumn id="6460" xr3:uid="{05458FDF-F3CA-8E4D-951E-12A9E418AD75}" name="Column6442"/>
    <tableColumn id="6461" xr3:uid="{018F66F9-4F10-8A4D-B989-446EA950CF3D}" name="Column6443"/>
    <tableColumn id="6462" xr3:uid="{1DB57C76-C595-8246-B7CB-174CE3941E51}" name="Column6444"/>
    <tableColumn id="6463" xr3:uid="{E2FCA710-9D72-1B4C-A551-096A97AABB99}" name="Column6445"/>
    <tableColumn id="6464" xr3:uid="{9CA9490A-B436-F24A-A3B1-B615F769A5EC}" name="Column6446"/>
    <tableColumn id="6465" xr3:uid="{8687923B-0156-0A43-BB11-C30D2313FF4C}" name="Column6447"/>
    <tableColumn id="6466" xr3:uid="{7F1BE910-96E9-F94A-B87C-9D167874BDD3}" name="Column6448"/>
    <tableColumn id="6467" xr3:uid="{DF987B96-C567-3747-8560-3D9A29C0747E}" name="Column6449"/>
    <tableColumn id="6468" xr3:uid="{7B40E940-FA2A-5C4D-AAC4-017AAC34F5A8}" name="Column6450"/>
    <tableColumn id="6469" xr3:uid="{E7E66550-1B7B-D542-8191-C02D05802C49}" name="Column6451"/>
    <tableColumn id="6470" xr3:uid="{18734E33-4CFC-0145-8036-8A08B3913249}" name="Column6452"/>
    <tableColumn id="6471" xr3:uid="{83565BC8-7A2D-AD49-9E6F-3444E285268C}" name="Column6453"/>
    <tableColumn id="6472" xr3:uid="{47F64753-73BE-7C40-AA73-23D243D450BE}" name="Column6454"/>
    <tableColumn id="6473" xr3:uid="{528C3CDC-3920-BD49-A2D7-A7E3F2738596}" name="Column6455"/>
    <tableColumn id="6474" xr3:uid="{0430880B-EF47-F245-AEAF-D45ADD189EA3}" name="Column6456"/>
    <tableColumn id="6475" xr3:uid="{B5F61154-1FFD-464F-B125-F957BB041B6F}" name="Column6457"/>
    <tableColumn id="6476" xr3:uid="{7E40AFA8-132E-B447-924F-DB806C2D6707}" name="Column6458"/>
    <tableColumn id="6477" xr3:uid="{A72C1F48-6FD9-3E4B-9DB2-AF606C1994CF}" name="Column6459"/>
    <tableColumn id="6478" xr3:uid="{708A2B30-284B-2341-AE7F-69C33C0723D3}" name="Column6460"/>
    <tableColumn id="6479" xr3:uid="{2C37E952-F943-5B4C-A84D-E32613FDF6F3}" name="Column6461"/>
    <tableColumn id="6480" xr3:uid="{B5EAC657-750B-FD4E-82DC-6C62CC729243}" name="Column6462"/>
    <tableColumn id="6481" xr3:uid="{24653E9F-B876-2A48-908E-079EFD7042FF}" name="Column6463"/>
    <tableColumn id="6482" xr3:uid="{0EB771DB-CDA6-6D40-A016-C8BFF8216637}" name="Column6464"/>
    <tableColumn id="6483" xr3:uid="{83FB9E0B-7BA6-FE4B-B9BB-0608A3B40696}" name="Column6465"/>
    <tableColumn id="6484" xr3:uid="{E439253E-F392-9F4E-A582-EA093AD9A594}" name="Column6466"/>
    <tableColumn id="6485" xr3:uid="{7D101A4B-6C87-3244-A442-8A9A4952A9B1}" name="Column6467"/>
    <tableColumn id="6486" xr3:uid="{4DBE5B7C-7ABC-4646-AB60-9C8158585592}" name="Column6468"/>
    <tableColumn id="6487" xr3:uid="{FDD08216-95C0-A64A-B9BA-18E2802FDF56}" name="Column6469"/>
    <tableColumn id="6488" xr3:uid="{45D17613-0731-3A4E-9338-B3904010E721}" name="Column6470"/>
    <tableColumn id="6489" xr3:uid="{84DE2604-3C5A-B14B-9230-53320B0DD093}" name="Column6471"/>
    <tableColumn id="6490" xr3:uid="{38520019-2C00-364B-BB7B-209753592118}" name="Column6472"/>
    <tableColumn id="6491" xr3:uid="{8D0172EB-BDBA-7B47-8E8E-A4D11EA50A11}" name="Column6473"/>
    <tableColumn id="6492" xr3:uid="{66F355C1-B51B-5747-9BC9-21A3E3A8B1E5}" name="Column6474"/>
    <tableColumn id="6493" xr3:uid="{F9D9E424-30EF-F244-9FD1-1FEC67683EE6}" name="Column6475"/>
    <tableColumn id="6494" xr3:uid="{42B9E391-3CF5-064D-93D9-1E8B168EF802}" name="Column6476"/>
    <tableColumn id="6495" xr3:uid="{FF4F771F-5E6A-764E-83F9-35E7DC1CA751}" name="Column6477"/>
    <tableColumn id="6496" xr3:uid="{31165055-1B46-4347-8CC3-02D85AB01C60}" name="Column6478"/>
    <tableColumn id="6497" xr3:uid="{18999072-B0C7-2149-B82E-16A98D824631}" name="Column6479"/>
    <tableColumn id="6498" xr3:uid="{FC702CC9-437A-CD4A-AEC9-5645F6D5B04D}" name="Column6480"/>
    <tableColumn id="6499" xr3:uid="{D972798F-1DC7-374D-96F9-6E8A7295DBFA}" name="Column6481"/>
    <tableColumn id="6500" xr3:uid="{2F276886-BB3F-5A4F-81B4-415F69F0D4CC}" name="Column6482"/>
    <tableColumn id="6501" xr3:uid="{3958891E-9F53-834D-BB0E-7D28D2E3F419}" name="Column6483"/>
    <tableColumn id="6502" xr3:uid="{4AFE7D91-245D-BA40-BBE0-9F0FBC119E47}" name="Column6484"/>
    <tableColumn id="6503" xr3:uid="{201D5919-4F27-2743-B610-7B876FDD375D}" name="Column6485"/>
    <tableColumn id="6504" xr3:uid="{F906C7F3-6FFC-9241-831E-B0EC381565D0}" name="Column6486"/>
    <tableColumn id="6505" xr3:uid="{4ED446E2-94F4-8845-9541-21D7DDCE9808}" name="Column6487"/>
    <tableColumn id="6506" xr3:uid="{0D244A9D-5C3B-9E4A-B548-F21A7B0E81F8}" name="Column6488"/>
    <tableColumn id="6507" xr3:uid="{E99F4AD8-80D4-9F4A-9CE7-338E9F3010D6}" name="Column6489"/>
    <tableColumn id="6508" xr3:uid="{EC0CD364-2433-EA49-BD93-D82C5F8EF61C}" name="Column6490"/>
    <tableColumn id="6509" xr3:uid="{CAAB12AE-CC2F-4B4C-B0AB-DF0362B1B2AC}" name="Column6491"/>
    <tableColumn id="6510" xr3:uid="{54DCBD9D-AF3A-0F4E-8B71-12B0C1A50B50}" name="Column6492"/>
    <tableColumn id="6511" xr3:uid="{DA1FAFD7-D83A-4E46-9079-99192A02A338}" name="Column6493"/>
    <tableColumn id="6512" xr3:uid="{FD6E186B-2473-1845-905E-340DF6C44AC2}" name="Column6494"/>
    <tableColumn id="6513" xr3:uid="{5A19B6A0-0B1B-4E42-99B6-3EF63200A6CA}" name="Column6495"/>
    <tableColumn id="6514" xr3:uid="{42F62027-C175-BB44-A11D-C067D56201EF}" name="Column6496"/>
    <tableColumn id="6515" xr3:uid="{BEAC1A12-A90D-BD44-8A06-0C12C6765FD3}" name="Column6497"/>
    <tableColumn id="6516" xr3:uid="{612F3476-1AA1-1448-A723-5AC1711D3B25}" name="Column6498"/>
    <tableColumn id="6517" xr3:uid="{B04FA8E3-8226-C741-9696-BF0F9992D6DB}" name="Column6499"/>
    <tableColumn id="6518" xr3:uid="{C831B01A-0C25-9044-BAE1-7C759C352285}" name="Column6500"/>
    <tableColumn id="6519" xr3:uid="{6F07A82B-13C9-614F-B65D-7751B10D2353}" name="Column6501"/>
    <tableColumn id="6520" xr3:uid="{B0EC9378-64E4-4A45-B1A8-F114D35E6F76}" name="Column6502"/>
    <tableColumn id="6521" xr3:uid="{A38297A5-B3E2-9D47-8F6D-E3EE1AC38F1A}" name="Column6503"/>
    <tableColumn id="6522" xr3:uid="{9ED98B41-9C03-1E46-A87A-5CF1EC75290A}" name="Column6504"/>
    <tableColumn id="6523" xr3:uid="{9ABDC58B-B7EB-6F41-A88A-C56965290FC2}" name="Column6505"/>
    <tableColumn id="6524" xr3:uid="{A5C45ABC-A142-084D-8C7D-450A16FDE95C}" name="Column6506"/>
    <tableColumn id="6525" xr3:uid="{59365CC8-9A87-4A49-87A5-AEDC6DE5D151}" name="Column6507"/>
    <tableColumn id="6526" xr3:uid="{07B51E48-92E1-BF41-A150-4CB1E8848E3C}" name="Column6508"/>
    <tableColumn id="6527" xr3:uid="{30DE21A2-D46D-7544-B2D3-080000154FF5}" name="Column6509"/>
    <tableColumn id="6528" xr3:uid="{A98AA264-8941-BC47-A7BE-4D75F510181E}" name="Column6510"/>
    <tableColumn id="6529" xr3:uid="{C3B72070-07EC-A84A-9176-BF41E6C4B739}" name="Column6511"/>
    <tableColumn id="6530" xr3:uid="{CA2387CA-2EEC-5A40-91BD-24276544198E}" name="Column6512"/>
    <tableColumn id="6531" xr3:uid="{ABC6F175-01CE-5647-863D-BABF01D232E6}" name="Column6513"/>
    <tableColumn id="6532" xr3:uid="{67C209AB-0683-1647-87C2-A24F14FF272E}" name="Column6514"/>
    <tableColumn id="6533" xr3:uid="{7CAA76E1-B157-C645-974F-9A3F300E3BF3}" name="Column6515"/>
    <tableColumn id="6534" xr3:uid="{D0C540E2-A060-5B49-8206-9FB5D2670D40}" name="Column6516"/>
    <tableColumn id="6535" xr3:uid="{BA65002E-4CEA-B145-9728-2AE9BF458F17}" name="Column6517"/>
    <tableColumn id="6536" xr3:uid="{FBA1B57F-350B-3246-8B0A-6DE0F9447576}" name="Column6518"/>
    <tableColumn id="6537" xr3:uid="{BC01145C-D1B6-8D4E-8854-CD58F7305356}" name="Column6519"/>
    <tableColumn id="6538" xr3:uid="{1BB371B7-5452-5945-9FD2-C8554F943F8B}" name="Column6520"/>
    <tableColumn id="6539" xr3:uid="{A71FB565-0303-C543-8223-C7D85013FE50}" name="Column6521"/>
    <tableColumn id="6540" xr3:uid="{05CA59CC-8519-4245-9834-A80F04AE293E}" name="Column6522"/>
    <tableColumn id="6541" xr3:uid="{B85875F2-E1BE-4F4C-8F6D-6EBC6572DDB3}" name="Column6523"/>
    <tableColumn id="6542" xr3:uid="{20DBAD2C-D4C7-2E4F-B257-1407707D22AF}" name="Column6524"/>
    <tableColumn id="6543" xr3:uid="{A7E138AB-5686-AF42-AF69-F0C94860CD6E}" name="Column6525"/>
    <tableColumn id="6544" xr3:uid="{6AF83A1B-E299-9F40-8411-43F0A1464ED5}" name="Column6526"/>
    <tableColumn id="6545" xr3:uid="{BB139590-847E-1642-AF3A-B1A3008B1C08}" name="Column6527"/>
    <tableColumn id="6546" xr3:uid="{113BD89E-5C33-6543-9F19-B0C3A44EB452}" name="Column6528"/>
    <tableColumn id="6547" xr3:uid="{93BC7FEA-9A60-0B46-AADC-FAB31B0E076A}" name="Column6529"/>
    <tableColumn id="6548" xr3:uid="{36E079CB-1020-4B49-A31E-9B938493F664}" name="Column6530"/>
    <tableColumn id="6549" xr3:uid="{633B5B47-E5DA-1947-9118-D792CD5734EC}" name="Column6531"/>
    <tableColumn id="6550" xr3:uid="{1831698C-B185-FC4D-83D4-6953B9D3C4DC}" name="Column6532"/>
    <tableColumn id="6551" xr3:uid="{6EA498BC-62F9-E04E-BC28-50AF67E8864C}" name="Column6533"/>
    <tableColumn id="6552" xr3:uid="{9F52CAE1-E94D-544C-AE07-8E53ECDF3018}" name="Column6534"/>
    <tableColumn id="6553" xr3:uid="{77E5E147-4C86-474E-B21C-2D1F108E1BE9}" name="Column6535"/>
    <tableColumn id="6554" xr3:uid="{11394CE0-44A3-3046-BFF9-F408DF9B1B3F}" name="Column6536"/>
    <tableColumn id="6555" xr3:uid="{AE8C6B36-2986-5B4C-BA01-C3D49FB40962}" name="Column6537"/>
    <tableColumn id="6556" xr3:uid="{D852E072-F1AD-234C-999F-36A3910F7536}" name="Column6538"/>
    <tableColumn id="6557" xr3:uid="{B7B43450-CD3F-464B-BD53-10865CEB09FA}" name="Column6539"/>
    <tableColumn id="6558" xr3:uid="{5DE15098-2DB3-484C-9F04-6A525CB462D6}" name="Column6540"/>
    <tableColumn id="6559" xr3:uid="{C3BC3501-8B8A-6748-8FB1-3BE6902EA1C1}" name="Column6541"/>
    <tableColumn id="6560" xr3:uid="{9F12D48A-C25B-4A4E-B32F-FA777B6BAC43}" name="Column6542"/>
    <tableColumn id="6561" xr3:uid="{20E16AAF-C960-B14E-BF63-8DD48D750015}" name="Column6543"/>
    <tableColumn id="6562" xr3:uid="{9CB8397B-85AE-3A4F-9129-5558A124FE43}" name="Column6544"/>
    <tableColumn id="6563" xr3:uid="{091CCFD9-AA9F-0942-8D94-46E678BD0C4B}" name="Column6545"/>
    <tableColumn id="6564" xr3:uid="{2771BB09-36F7-064C-BA4B-785FEF76AC44}" name="Column6546"/>
    <tableColumn id="6565" xr3:uid="{D48ADAE3-DC03-7640-8289-6F9D3A97547F}" name="Column6547"/>
    <tableColumn id="6566" xr3:uid="{0B5F9B3F-415C-9045-B6F5-6EB005F112CB}" name="Column6548"/>
    <tableColumn id="6567" xr3:uid="{918378A1-7462-5A4C-BAAA-6A884B06785C}" name="Column6549"/>
    <tableColumn id="6568" xr3:uid="{EB1FA33C-AA9E-2F40-B298-6D12975DB9A9}" name="Column6550"/>
    <tableColumn id="6569" xr3:uid="{7303C41D-FFBE-E94A-86E7-C3C05CEC5380}" name="Column6551"/>
    <tableColumn id="6570" xr3:uid="{10D32F57-F061-4441-B589-F8E463C822E4}" name="Column6552"/>
    <tableColumn id="6571" xr3:uid="{6089833F-F869-A043-B980-66C61B591575}" name="Column6553"/>
    <tableColumn id="6572" xr3:uid="{E6EC3534-5529-544F-B9A2-0F128D8A6F0A}" name="Column6554"/>
    <tableColumn id="6573" xr3:uid="{BCDC7B89-07BD-6E4E-A604-23BEB741304D}" name="Column6555"/>
    <tableColumn id="6574" xr3:uid="{5F61540D-B605-2A4A-B2E2-DB7FE2B0C011}" name="Column6556"/>
    <tableColumn id="6575" xr3:uid="{34B918C6-2631-7941-A44A-6D4B86697509}" name="Column6557"/>
    <tableColumn id="6576" xr3:uid="{C8BC5FED-2D9A-564C-93AC-E019666BCB84}" name="Column6558"/>
    <tableColumn id="6577" xr3:uid="{A56D20BE-1161-7942-9D61-A4FF1A2C687E}" name="Column6559"/>
    <tableColumn id="6578" xr3:uid="{948634C2-EFE0-C848-991E-87EB64D92074}" name="Column6560"/>
    <tableColumn id="6579" xr3:uid="{479F15A5-B3D4-7B48-AA52-0764944EED16}" name="Column6561"/>
    <tableColumn id="6580" xr3:uid="{501C487F-B5EC-1B4D-A35E-4495CD26CD30}" name="Column6562"/>
    <tableColumn id="6581" xr3:uid="{0F8C0E63-949A-BF47-AA48-915116CB5A17}" name="Column6563"/>
    <tableColumn id="6582" xr3:uid="{462140C8-BABE-0D4E-856E-397E285F8687}" name="Column6564"/>
    <tableColumn id="6583" xr3:uid="{6F5090D1-769A-B445-B191-80B7BA519960}" name="Column6565"/>
    <tableColumn id="6584" xr3:uid="{551B0FAA-50CB-484F-AF3F-D6BC57BAB7C2}" name="Column6566"/>
    <tableColumn id="6585" xr3:uid="{11C82523-0C71-6545-AEB6-B27C0AD68409}" name="Column6567"/>
    <tableColumn id="6586" xr3:uid="{49DAAAF9-F46B-114B-B990-D170535B0977}" name="Column6568"/>
    <tableColumn id="6587" xr3:uid="{946C9065-B382-4645-BC56-6AB12DB3A57B}" name="Column6569"/>
    <tableColumn id="6588" xr3:uid="{8EE15231-1BD5-604D-97DF-A240922A8F1B}" name="Column6570"/>
    <tableColumn id="6589" xr3:uid="{9F83F089-6052-574B-99C5-EE01033B6F99}" name="Column6571"/>
    <tableColumn id="6590" xr3:uid="{C831486E-5C32-8147-8693-8A941D14288F}" name="Column6572"/>
    <tableColumn id="6591" xr3:uid="{C7D95D65-DE2C-C947-8079-5E66BB2E50D8}" name="Column6573"/>
    <tableColumn id="6592" xr3:uid="{66BE415B-134D-0544-86D4-851190C480CB}" name="Column6574"/>
    <tableColumn id="6593" xr3:uid="{17179FED-9F44-E447-81A5-D061ED0937AA}" name="Column6575"/>
    <tableColumn id="6594" xr3:uid="{E778BCB5-09F8-504A-B29C-A2BBE4A0D882}" name="Column6576"/>
    <tableColumn id="6595" xr3:uid="{B1CAC4D4-59DE-9A48-BA94-BAB12402A567}" name="Column6577"/>
    <tableColumn id="6596" xr3:uid="{FF8B6F17-8595-5647-B03F-18A2E9A3C631}" name="Column6578"/>
    <tableColumn id="6597" xr3:uid="{75598A94-4FDE-8E4D-8EFE-F10081552AD2}" name="Column6579"/>
    <tableColumn id="6598" xr3:uid="{D53FD87F-6A69-6541-9045-954B9E891476}" name="Column6580"/>
    <tableColumn id="6599" xr3:uid="{9076271D-37FC-6B47-8415-510FDF852542}" name="Column6581"/>
    <tableColumn id="6600" xr3:uid="{A2F94884-48C8-874E-926D-2A8B1FBE914D}" name="Column6582"/>
    <tableColumn id="6601" xr3:uid="{FAA7B08B-AEF0-8D4D-BFC9-BD4EBD2D6600}" name="Column6583"/>
    <tableColumn id="6602" xr3:uid="{96B910A8-58FC-6040-874C-DC38444DCE4E}" name="Column6584"/>
    <tableColumn id="6603" xr3:uid="{E4C9DCC4-CB83-E64E-B18E-079C712B65B6}" name="Column6585"/>
    <tableColumn id="6604" xr3:uid="{E545A934-147F-9F41-9F37-243BD8690752}" name="Column6586"/>
    <tableColumn id="6605" xr3:uid="{502F9D3B-A4D3-8E43-A3FA-E4E37D8E268A}" name="Column6587"/>
    <tableColumn id="6606" xr3:uid="{2CA20018-D7BB-0C46-A553-09C49E9309EF}" name="Column6588"/>
    <tableColumn id="6607" xr3:uid="{C8B3E8BD-C056-A34D-924A-26EF71A89F6D}" name="Column6589"/>
    <tableColumn id="6608" xr3:uid="{28BE6019-68CD-7E42-921A-C8A2B7B85F49}" name="Column6590"/>
    <tableColumn id="6609" xr3:uid="{F8D369C8-9C4B-3946-8C17-80583738B0CE}" name="Column6591"/>
    <tableColumn id="6610" xr3:uid="{70292053-9EDB-4741-83AC-0BD26CFA1D45}" name="Column6592"/>
    <tableColumn id="6611" xr3:uid="{24DAA843-2A06-B549-9EEA-21772F8C7040}" name="Column6593"/>
    <tableColumn id="6612" xr3:uid="{22E2A93F-EE10-CD44-9368-CFAF6072DF83}" name="Column6594"/>
    <tableColumn id="6613" xr3:uid="{DD030F9B-DA14-684E-8E00-73BBFCCA68AA}" name="Column6595"/>
    <tableColumn id="6614" xr3:uid="{D64C1BC7-F07E-BA49-B783-54991767EA99}" name="Column6596"/>
    <tableColumn id="6615" xr3:uid="{92F6F357-AF79-3F48-B887-0E7BD162FFE0}" name="Column6597"/>
    <tableColumn id="6616" xr3:uid="{8ED9D263-A562-F24F-955D-120F39E6506F}" name="Column6598"/>
    <tableColumn id="6617" xr3:uid="{A144CA17-61B4-B748-A5E0-BBDF4673781C}" name="Column6599"/>
    <tableColumn id="6618" xr3:uid="{D2D87DCC-8123-3A42-B1E2-7287109B4317}" name="Column6600"/>
    <tableColumn id="6619" xr3:uid="{B82BA2F2-A0F4-9447-B79E-E4BA41555902}" name="Column6601"/>
    <tableColumn id="6620" xr3:uid="{186D2742-6270-FE4E-9B0C-CF00838DCD07}" name="Column6602"/>
    <tableColumn id="6621" xr3:uid="{D8F1C39C-3529-2647-9D4C-1C7C53EBFDC8}" name="Column6603"/>
    <tableColumn id="6622" xr3:uid="{605BAF49-EA64-014A-BB48-97CD92E29928}" name="Column6604"/>
    <tableColumn id="6623" xr3:uid="{4DC677BD-EBB6-EF4B-9E82-B0D704E17C70}" name="Column6605"/>
    <tableColumn id="6624" xr3:uid="{53D8C703-98EC-3F46-B2DC-425A8FD7437F}" name="Column6606"/>
    <tableColumn id="6625" xr3:uid="{17A5B966-4DE7-F64D-A0B5-C4A205413BAB}" name="Column6607"/>
    <tableColumn id="6626" xr3:uid="{892CE9B7-62C0-D64A-8F51-6970F67484B0}" name="Column6608"/>
    <tableColumn id="6627" xr3:uid="{D8813715-780B-C34E-B01B-D2560BFED204}" name="Column6609"/>
    <tableColumn id="6628" xr3:uid="{A8FE19AC-AA86-9643-8DCC-BA977E4FCB3B}" name="Column6610"/>
    <tableColumn id="6629" xr3:uid="{05BD382E-F4F2-B647-B82F-55C0217DD5C2}" name="Column6611"/>
    <tableColumn id="6630" xr3:uid="{EB5FA950-CA0F-A94E-ACAD-9029CE0FD968}" name="Column6612"/>
    <tableColumn id="6631" xr3:uid="{351C5341-1E6A-684D-A797-5F068D90DB6C}" name="Column6613"/>
    <tableColumn id="6632" xr3:uid="{70788580-2C13-1342-9F5C-EFFDFBF16AFE}" name="Column6614"/>
    <tableColumn id="6633" xr3:uid="{5B8EBEDA-2754-4644-A6E8-70C8A6E35E60}" name="Column6615"/>
    <tableColumn id="6634" xr3:uid="{F88BC32C-0109-904D-99EF-F5B9AE337F0D}" name="Column6616"/>
    <tableColumn id="6635" xr3:uid="{0F2D6956-C222-CB4D-8494-2A9796ABA81A}" name="Column6617"/>
    <tableColumn id="6636" xr3:uid="{68EA78F3-A3AF-4943-B5F5-0F212C9C372D}" name="Column6618"/>
    <tableColumn id="6637" xr3:uid="{4740ED7E-3DF2-434A-AB23-F826366926FD}" name="Column6619"/>
    <tableColumn id="6638" xr3:uid="{414F0472-B31A-A94D-9DC1-061468DFE1D8}" name="Column6620"/>
    <tableColumn id="6639" xr3:uid="{A050F8B7-D4BF-E74A-9E14-D49B756B54ED}" name="Column6621"/>
    <tableColumn id="6640" xr3:uid="{AF8F5D17-58F3-FA47-B4B8-FA9C7712DA9D}" name="Column6622"/>
    <tableColumn id="6641" xr3:uid="{A8B4667F-5D1B-EB44-A070-78B71A762FB0}" name="Column6623"/>
    <tableColumn id="6642" xr3:uid="{08E90421-82EC-E64C-A24E-89777A46CE84}" name="Column6624"/>
    <tableColumn id="6643" xr3:uid="{61739BB7-9E8F-E94D-8124-BFF4A67088E8}" name="Column6625"/>
    <tableColumn id="6644" xr3:uid="{557CD7DC-081F-0442-8482-72F7427F55A9}" name="Column6626"/>
    <tableColumn id="6645" xr3:uid="{47ED2835-832B-1547-8DB7-4BDB4B9D834F}" name="Column6627"/>
    <tableColumn id="6646" xr3:uid="{6DACF5D2-EA98-5647-9FEA-60B86D464A44}" name="Column6628"/>
    <tableColumn id="6647" xr3:uid="{611DBC76-3E5B-5040-88F8-B1B1C57C623E}" name="Column6629"/>
    <tableColumn id="6648" xr3:uid="{ADE09608-D138-8C4D-82D1-E8E1E027FB65}" name="Column6630"/>
    <tableColumn id="6649" xr3:uid="{38D21AD6-EE5F-654B-AC83-DF7B95B1646A}" name="Column6631"/>
    <tableColumn id="6650" xr3:uid="{5D731EDC-BD78-EE4F-B210-E0A3159CA9E3}" name="Column6632"/>
    <tableColumn id="6651" xr3:uid="{7F595812-73B4-EC45-B12B-30E594F44ECE}" name="Column6633"/>
    <tableColumn id="6652" xr3:uid="{18258788-C0DE-3240-A34C-2BFF84117080}" name="Column6634"/>
    <tableColumn id="6653" xr3:uid="{EEFB637D-FD84-9E4C-A7FC-9AF262902A48}" name="Column6635"/>
    <tableColumn id="6654" xr3:uid="{A4F3AE58-5AED-BD47-A1CA-D059171D0E38}" name="Column6636"/>
    <tableColumn id="6655" xr3:uid="{36DCAC67-8032-6544-9400-655CD023CEBF}" name="Column6637"/>
    <tableColumn id="6656" xr3:uid="{248215E7-7D43-F741-A33F-3DFDF4F6715E}" name="Column6638"/>
    <tableColumn id="6657" xr3:uid="{A32709CE-30EB-2547-9B61-26ED3A654649}" name="Column6639"/>
    <tableColumn id="6658" xr3:uid="{CB7C6B39-03E3-0541-861F-F07A4AF9B0C5}" name="Column6640"/>
    <tableColumn id="6659" xr3:uid="{7FAB0315-613D-FC40-BB22-749C6984DE6C}" name="Column6641"/>
    <tableColumn id="6660" xr3:uid="{5B9FC6B1-CA17-6F48-8D8A-B483250DBFCF}" name="Column6642"/>
    <tableColumn id="6661" xr3:uid="{39EFB838-BE9A-9745-AF0C-BFEF583F935C}" name="Column6643"/>
    <tableColumn id="6662" xr3:uid="{578FACFD-7B42-2243-ABBA-FA4B4225889D}" name="Column6644"/>
    <tableColumn id="6663" xr3:uid="{FD75198C-B335-494B-8F3B-EF098F6B0D45}" name="Column6645"/>
    <tableColumn id="6664" xr3:uid="{513BA02F-381A-ED4D-807C-F0656CDF0CB7}" name="Column6646"/>
    <tableColumn id="6665" xr3:uid="{7B67F28F-BE04-4A4A-8A2A-15D4C8708D72}" name="Column6647"/>
    <tableColumn id="6666" xr3:uid="{D592C63B-61E8-9041-A2BC-72115E846CE2}" name="Column6648"/>
    <tableColumn id="6667" xr3:uid="{2091A592-70EB-8249-AADB-324EAED73935}" name="Column6649"/>
    <tableColumn id="6668" xr3:uid="{25E76FE2-3E08-E347-B2B8-924DDF61E802}" name="Column6650"/>
    <tableColumn id="6669" xr3:uid="{649D405D-A47B-214C-AE11-C6466070E4EB}" name="Column6651"/>
    <tableColumn id="6670" xr3:uid="{122EEBB3-0B5D-3140-B8CF-9041ADF21FAA}" name="Column6652"/>
    <tableColumn id="6671" xr3:uid="{6AFEAB56-C56D-2047-8E2A-19ADA81D0DED}" name="Column6653"/>
    <tableColumn id="6672" xr3:uid="{49E75D0A-E2CA-E44C-81C6-E8178B67912A}" name="Column6654"/>
    <tableColumn id="6673" xr3:uid="{E6B22D65-55FC-7F4E-A932-0B651499377C}" name="Column6655"/>
    <tableColumn id="6674" xr3:uid="{06BDFB39-D7CD-884D-8D10-317A84021F12}" name="Column6656"/>
    <tableColumn id="6675" xr3:uid="{A74C25EC-78D8-B04E-B95A-C52AB35F2CE6}" name="Column6657"/>
    <tableColumn id="6676" xr3:uid="{DD13CA6A-8404-0F42-A440-0F2969D0CBA3}" name="Column6658"/>
    <tableColumn id="6677" xr3:uid="{B78BB6BC-C781-444D-9E35-9AE424D0263D}" name="Column6659"/>
    <tableColumn id="6678" xr3:uid="{5449EF4F-70B9-0E49-B1C1-233F858831EF}" name="Column6660"/>
    <tableColumn id="6679" xr3:uid="{9EF355A2-F3CB-BA43-8809-60EC769E72BB}" name="Column6661"/>
    <tableColumn id="6680" xr3:uid="{F8D5BB45-D380-E948-A4BB-181D8B8B78F2}" name="Column6662"/>
    <tableColumn id="6681" xr3:uid="{43B97B4A-0CFD-1544-95E2-917072416FA1}" name="Column6663"/>
    <tableColumn id="6682" xr3:uid="{B1DAFFEB-77B7-9D4D-9A53-5AF2D70C5042}" name="Column6664"/>
    <tableColumn id="6683" xr3:uid="{0B9E9119-A6CF-2148-9361-4F16920015B3}" name="Column6665"/>
    <tableColumn id="6684" xr3:uid="{32430BCA-C27A-874D-AADA-0445BC62E586}" name="Column6666"/>
    <tableColumn id="6685" xr3:uid="{8A8C61A1-4FF1-8344-81F2-9A7C97CF6C5E}" name="Column6667"/>
    <tableColumn id="6686" xr3:uid="{BB87C00E-5B52-CC44-A1E5-19E1677525ED}" name="Column6668"/>
    <tableColumn id="6687" xr3:uid="{119F8618-B7D9-8F48-ABB7-132BFE6318CA}" name="Column6669"/>
    <tableColumn id="6688" xr3:uid="{8EE00E66-3800-E245-AC68-FC9DDAC97FA4}" name="Column6670"/>
    <tableColumn id="6689" xr3:uid="{A3DAB54B-27EE-B142-A247-5C45A674CCFE}" name="Column6671"/>
    <tableColumn id="6690" xr3:uid="{5AF1FEC7-926F-D145-A587-FFD2A6183964}" name="Column6672"/>
    <tableColumn id="6691" xr3:uid="{ECCE015B-1CD3-3E4C-8C9A-A471E28A6FAD}" name="Column6673"/>
    <tableColumn id="6692" xr3:uid="{47143E81-1AC8-9A43-AD16-C41E0715E8EA}" name="Column6674"/>
    <tableColumn id="6693" xr3:uid="{73FD8638-AEC0-8F4C-A969-A5EE8013373F}" name="Column6675"/>
    <tableColumn id="6694" xr3:uid="{725DC665-F829-434E-95AF-59037E172C96}" name="Column6676"/>
    <tableColumn id="6695" xr3:uid="{B2FA723B-2988-4945-BA57-B2F70685DD5F}" name="Column6677"/>
    <tableColumn id="6696" xr3:uid="{16C47F1A-E27B-D449-893D-EAB7A12DEAFE}" name="Column6678"/>
    <tableColumn id="6697" xr3:uid="{F2B47E7A-75A2-5649-9FEB-FD8A4B2224D8}" name="Column6679"/>
    <tableColumn id="6698" xr3:uid="{CAAB5DC6-5197-4549-BB1C-C157703C0F7A}" name="Column6680"/>
    <tableColumn id="6699" xr3:uid="{FE7621F7-5294-1843-9EC1-AC9248D83F56}" name="Column6681"/>
    <tableColumn id="6700" xr3:uid="{853411B8-E6F2-7C48-853F-2862971F35D6}" name="Column6682"/>
    <tableColumn id="6701" xr3:uid="{F5E61FAB-FEC2-C04A-A019-19CBD0FF5ED1}" name="Column6683"/>
    <tableColumn id="6702" xr3:uid="{754192F5-B2E4-AD47-B1BA-BB4D7B94D7EF}" name="Column6684"/>
    <tableColumn id="6703" xr3:uid="{18241DFD-D3C4-6C42-9FEF-6241B92CBDAA}" name="Column6685"/>
    <tableColumn id="6704" xr3:uid="{447D67B3-0194-1949-B370-D75D8BC6DD44}" name="Column6686"/>
    <tableColumn id="6705" xr3:uid="{69C0C2DA-6B0E-9043-BAD4-19556B0BFFB5}" name="Column6687"/>
    <tableColumn id="6706" xr3:uid="{EBB13F7B-67CC-B745-BBBF-4A563ECE4441}" name="Column6688"/>
    <tableColumn id="6707" xr3:uid="{D5FB42D9-E040-DD44-A701-72B1B9F1FB83}" name="Column6689"/>
    <tableColumn id="6708" xr3:uid="{2CCCBA4C-0790-BA4B-953A-1AD471A93155}" name="Column6690"/>
    <tableColumn id="6709" xr3:uid="{C0556416-E069-AB40-85F0-E89D6CBEA2E5}" name="Column6691"/>
    <tableColumn id="6710" xr3:uid="{B80519E8-9B5E-D344-A1A8-A2A50555725E}" name="Column6692"/>
    <tableColumn id="6711" xr3:uid="{4FAD65A1-5FC5-A34B-889D-E99AABE3715C}" name="Column6693"/>
    <tableColumn id="6712" xr3:uid="{EB89A096-55DE-C940-A385-F69643D6086D}" name="Column6694"/>
    <tableColumn id="6713" xr3:uid="{6A4EEA0B-1A20-BD4A-8F59-5560D911BB9F}" name="Column6695"/>
    <tableColumn id="6714" xr3:uid="{497BF0FC-8AA0-0F45-97CF-EDC8F5A89CE6}" name="Column6696"/>
    <tableColumn id="6715" xr3:uid="{78CA4986-F3DA-6141-9133-A5014CDFAEF7}" name="Column6697"/>
    <tableColumn id="6716" xr3:uid="{C37CF3C2-D735-6B49-843F-4C02FDCB18A0}" name="Column6698"/>
    <tableColumn id="6717" xr3:uid="{7180AC0D-3166-204D-BBCC-C84F9710B5EF}" name="Column6699"/>
    <tableColumn id="6718" xr3:uid="{56CEADC5-471C-5C4F-927E-CE4B011ED060}" name="Column6700"/>
    <tableColumn id="6719" xr3:uid="{27FDA75E-0600-7E49-8115-EA13B5D52960}" name="Column6701"/>
    <tableColumn id="6720" xr3:uid="{7591B6F2-9750-A44D-B7A8-0B9FEBC20EB8}" name="Column6702"/>
    <tableColumn id="6721" xr3:uid="{F9A660FC-C2D8-C248-848F-E61EBCC59836}" name="Column6703"/>
    <tableColumn id="6722" xr3:uid="{2BD7DF4A-5267-6E4D-9507-96185E0199CF}" name="Column6704"/>
    <tableColumn id="6723" xr3:uid="{5FB2B6B2-7955-5140-99DF-0998E73F67E1}" name="Column6705"/>
    <tableColumn id="6724" xr3:uid="{AF2DE26A-B124-FE48-AC85-7406018FA423}" name="Column6706"/>
    <tableColumn id="6725" xr3:uid="{79D64526-3A3D-C14B-B520-F9950D512E7B}" name="Column6707"/>
    <tableColumn id="6726" xr3:uid="{9ED876C8-A7DD-E043-8BE7-226286AEBF99}" name="Column6708"/>
    <tableColumn id="6727" xr3:uid="{F7E75504-67E9-5942-A14B-7ABD5E592E79}" name="Column6709"/>
    <tableColumn id="6728" xr3:uid="{9BB71D9A-3326-C744-8751-46446E1CF286}" name="Column6710"/>
    <tableColumn id="6729" xr3:uid="{55C6EEEA-A371-7E48-9451-3C81D9FB0C6C}" name="Column6711"/>
    <tableColumn id="6730" xr3:uid="{573A83A0-4B60-FF45-942A-196A47AC4D61}" name="Column6712"/>
    <tableColumn id="6731" xr3:uid="{447194B6-CF01-604E-8ED9-4E8E231F79BE}" name="Column6713"/>
    <tableColumn id="6732" xr3:uid="{C2452655-E7C2-C440-8069-DA8922191B47}" name="Column6714"/>
    <tableColumn id="6733" xr3:uid="{C868EB97-2598-3B4D-8DDA-92DEA22741D6}" name="Column6715"/>
    <tableColumn id="6734" xr3:uid="{14472CF4-0DD6-F947-8647-5244168DC57A}" name="Column6716"/>
    <tableColumn id="6735" xr3:uid="{98FDE6E0-D1AD-4D4B-B3E4-83BB4172DC88}" name="Column6717"/>
    <tableColumn id="6736" xr3:uid="{95784208-867D-CB4F-91B0-FCDD4E751B15}" name="Column6718"/>
    <tableColumn id="6737" xr3:uid="{F8ECD107-9954-054D-8276-5D5B929CA73F}" name="Column6719"/>
    <tableColumn id="6738" xr3:uid="{60E8DB92-631C-0E43-8019-B953FE7CEDB7}" name="Column6720"/>
    <tableColumn id="6739" xr3:uid="{FC70D31E-0173-B042-AA0E-F53A8E0CA9C5}" name="Column6721"/>
    <tableColumn id="6740" xr3:uid="{610F7C0E-C5D3-C146-9DFD-0B1601123DF5}" name="Column6722"/>
    <tableColumn id="6741" xr3:uid="{C1F34AB7-3C3F-5140-A637-16AD39B933A1}" name="Column6723"/>
    <tableColumn id="6742" xr3:uid="{59BF9C7E-54BC-5647-A408-CF5CDBCD7D6A}" name="Column6724"/>
    <tableColumn id="6743" xr3:uid="{B5BB4870-DFCB-DA49-9B7B-36468338E6A0}" name="Column6725"/>
    <tableColumn id="6744" xr3:uid="{2DFA493B-04DC-D94D-A8C2-3247FA9C7FEC}" name="Column6726"/>
    <tableColumn id="6745" xr3:uid="{6778C145-31EB-224E-8EB3-E7DCFD8C902A}" name="Column6727"/>
    <tableColumn id="6746" xr3:uid="{5DAF9141-AE68-A94E-89CA-B442DA15A0A7}" name="Column6728"/>
    <tableColumn id="6747" xr3:uid="{05A94FCF-2BAF-E441-A88D-EE0021C5F227}" name="Column6729"/>
    <tableColumn id="6748" xr3:uid="{D03022A9-A0AE-1E4A-9C84-DD0D12A49457}" name="Column6730"/>
    <tableColumn id="6749" xr3:uid="{3AE6F87A-3086-0C4E-9DEE-7335273F98F7}" name="Column6731"/>
    <tableColumn id="6750" xr3:uid="{364046BB-A4D2-3E46-A0A2-C10D7384F9DA}" name="Column6732"/>
    <tableColumn id="6751" xr3:uid="{F6AB8C6B-3CE1-F840-A1F1-C68019A7796B}" name="Column6733"/>
    <tableColumn id="6752" xr3:uid="{AE5DB035-A6BE-274F-AC31-5308B82BDBDC}" name="Column6734"/>
    <tableColumn id="6753" xr3:uid="{002B370E-635A-C948-915B-AD00BB4B66F9}" name="Column6735"/>
    <tableColumn id="6754" xr3:uid="{7B4D446A-F7C4-8841-B12A-9A3B985253C6}" name="Column6736"/>
    <tableColumn id="6755" xr3:uid="{051D1EDE-71EE-7A45-BE9C-EDDD3912B0E6}" name="Column6737"/>
    <tableColumn id="6756" xr3:uid="{45B58A6B-0E59-394D-9086-5F703D59D791}" name="Column6738"/>
    <tableColumn id="6757" xr3:uid="{D7B3CF36-CB72-024B-8E10-82937AEE62B7}" name="Column6739"/>
    <tableColumn id="6758" xr3:uid="{47205C92-B423-EE43-AF75-DD78E6B12082}" name="Column6740"/>
    <tableColumn id="6759" xr3:uid="{87C23D46-2751-A648-9D67-976B68256F8F}" name="Column6741"/>
    <tableColumn id="6760" xr3:uid="{FEE864A9-DA9F-6446-9E79-765CB5F9A04F}" name="Column6742"/>
    <tableColumn id="6761" xr3:uid="{9104FCE6-4D66-404B-AEB4-C6992B6326BE}" name="Column6743"/>
    <tableColumn id="6762" xr3:uid="{F23100FC-D96D-C644-8CAC-B084A1A7CF55}" name="Column6744"/>
    <tableColumn id="6763" xr3:uid="{A61D565D-84E6-6341-882A-4CEEFDB50132}" name="Column6745"/>
    <tableColumn id="6764" xr3:uid="{7070BDE4-B18A-E149-9145-07161A9D4D4D}" name="Column6746"/>
    <tableColumn id="6765" xr3:uid="{02CD3509-C0C7-6940-A43B-AF89DBE86379}" name="Column6747"/>
    <tableColumn id="6766" xr3:uid="{2B0208E4-0356-544F-9879-C95801BE7142}" name="Column6748"/>
    <tableColumn id="6767" xr3:uid="{4E8D5626-7ED1-B241-AE63-12F33B9F143A}" name="Column6749"/>
    <tableColumn id="6768" xr3:uid="{B4A93DF2-3397-324A-ADC5-1FE1A80D3435}" name="Column6750"/>
    <tableColumn id="6769" xr3:uid="{C26208F6-0BAF-4248-AEFB-320CD0957C61}" name="Column6751"/>
    <tableColumn id="6770" xr3:uid="{F6C6CA03-B451-2343-BEA1-D04CFCFD5979}" name="Column6752"/>
    <tableColumn id="6771" xr3:uid="{28F0CC1A-9E41-7A4D-98CA-6CC5B88A1AFE}" name="Column6753"/>
    <tableColumn id="6772" xr3:uid="{FA73A848-9436-1949-BE47-B46022A6215D}" name="Column6754"/>
    <tableColumn id="6773" xr3:uid="{C7DC74CD-5174-6149-BAA5-A919E445A953}" name="Column6755"/>
    <tableColumn id="6774" xr3:uid="{2AB09D2E-6B74-AD46-B36D-9DB9F6763068}" name="Column6756"/>
    <tableColumn id="6775" xr3:uid="{72616A68-AA8A-DD4F-9AEC-9C4749E866DC}" name="Column6757"/>
    <tableColumn id="6776" xr3:uid="{6A692C6B-11B2-3048-903F-D39F9088F1CC}" name="Column6758"/>
    <tableColumn id="6777" xr3:uid="{A91C9445-B9B6-1B4E-8D7D-0A3CCDF536B4}" name="Column6759"/>
    <tableColumn id="6778" xr3:uid="{FE279957-2FE9-3241-B6BF-EC29D5A8B45F}" name="Column6760"/>
    <tableColumn id="6779" xr3:uid="{56F5A0FA-CF62-C042-B3BE-1B1B66D5570A}" name="Column6761"/>
    <tableColumn id="6780" xr3:uid="{B385F4E6-9C6B-B948-8D43-78B09D7D712D}" name="Column6762"/>
    <tableColumn id="6781" xr3:uid="{09C7E34F-1FD4-DD4C-BB17-27CA3DB49E2D}" name="Column6763"/>
    <tableColumn id="6782" xr3:uid="{7170AB1D-31C7-AC4F-AB94-6CB90CAC5124}" name="Column6764"/>
    <tableColumn id="6783" xr3:uid="{55511521-377B-5B42-A2AD-98209793BD5B}" name="Column6765"/>
    <tableColumn id="6784" xr3:uid="{EE35B446-39DD-0A4E-A826-B26172758687}" name="Column6766"/>
    <tableColumn id="6785" xr3:uid="{51F6E6F8-26AA-5746-8E18-922CBB3EFD36}" name="Column6767"/>
    <tableColumn id="6786" xr3:uid="{0C116CC2-D003-A548-AC19-B6EED0DB064D}" name="Column6768"/>
    <tableColumn id="6787" xr3:uid="{4138DA22-465D-3D40-B409-52D6E0CA5167}" name="Column6769"/>
    <tableColumn id="6788" xr3:uid="{5018B726-224A-C34C-B474-DAF7A812C38C}" name="Column6770"/>
    <tableColumn id="6789" xr3:uid="{72DC1FBD-CA13-994B-A0D5-C18F862F120E}" name="Column6771"/>
    <tableColumn id="6790" xr3:uid="{FA7128D8-4DDE-444C-B35D-52FFB902F96D}" name="Column6772"/>
    <tableColumn id="6791" xr3:uid="{609F0373-21BA-0B48-9827-82C7AB2964F2}" name="Column6773"/>
    <tableColumn id="6792" xr3:uid="{B2992EA0-3A69-E74B-8DFF-305A1831CE14}" name="Column6774"/>
    <tableColumn id="6793" xr3:uid="{D6CBD3B0-31EC-8F46-907C-7A014A041670}" name="Column6775"/>
    <tableColumn id="6794" xr3:uid="{309E209F-6E19-7B41-B03A-993FF7C357D5}" name="Column6776"/>
    <tableColumn id="6795" xr3:uid="{7F142012-2EAD-CE4E-9CD0-01490AA95E66}" name="Column6777"/>
    <tableColumn id="6796" xr3:uid="{12335928-45E6-D441-B01B-82EE9552A03F}" name="Column6778"/>
    <tableColumn id="6797" xr3:uid="{9E187672-96C8-704B-A090-9ACD2BE64925}" name="Column6779"/>
    <tableColumn id="6798" xr3:uid="{E14DB4A2-29C4-DF43-935C-81C2D2398900}" name="Column6780"/>
    <tableColumn id="6799" xr3:uid="{D09C526E-606C-7444-882E-67FD907F5C30}" name="Column6781"/>
    <tableColumn id="6800" xr3:uid="{4B98E080-ED47-4148-9E27-80F1D4BEED1C}" name="Column6782"/>
    <tableColumn id="6801" xr3:uid="{69B0E2B9-AD06-6540-9649-95C6321B61A6}" name="Column6783"/>
    <tableColumn id="6802" xr3:uid="{583D5D11-9353-7745-B4E3-F373990AD775}" name="Column6784"/>
    <tableColumn id="6803" xr3:uid="{B1A17D1C-5E01-A14C-9003-705150638377}" name="Column6785"/>
    <tableColumn id="6804" xr3:uid="{CDC0D0A9-29A3-A24E-81C6-A8E93A7D4B9C}" name="Column6786"/>
    <tableColumn id="6805" xr3:uid="{A8B9BC1E-D3C9-6945-A1ED-61878B05FF10}" name="Column6787"/>
    <tableColumn id="6806" xr3:uid="{C533EB48-FB3F-BD4F-8BBD-0A13DD6121B6}" name="Column6788"/>
    <tableColumn id="6807" xr3:uid="{0A9FF898-52B5-E146-87E5-A83B18E425EC}" name="Column6789"/>
    <tableColumn id="6808" xr3:uid="{DA9BBEB4-7D97-994C-B578-1326DE86EF82}" name="Column6790"/>
    <tableColumn id="6809" xr3:uid="{21CB2432-7F32-554A-A69A-D9F83E60AE71}" name="Column6791"/>
    <tableColumn id="6810" xr3:uid="{DD3BFC97-47A2-A14B-96D2-DEB842A8E113}" name="Column6792"/>
    <tableColumn id="6811" xr3:uid="{39C7514F-58EC-7E44-A547-E4B9051CF7A8}" name="Column6793"/>
    <tableColumn id="6812" xr3:uid="{456DE692-DEA0-964B-A0BD-CCEC642706E2}" name="Column6794"/>
    <tableColumn id="6813" xr3:uid="{B91FAE2F-D3F1-0449-87FD-2C14A2EC639C}" name="Column6795"/>
    <tableColumn id="6814" xr3:uid="{03DA097F-D3D1-0040-B040-79BE16DD50D4}" name="Column6796"/>
    <tableColumn id="6815" xr3:uid="{65651D7C-5C96-7040-9B55-1451652F143B}" name="Column6797"/>
    <tableColumn id="6816" xr3:uid="{28288848-8F0A-BB41-BD2E-B84EB6E0588D}" name="Column6798"/>
    <tableColumn id="6817" xr3:uid="{ECE8833D-7345-924C-9276-7C16179ED7CB}" name="Column6799"/>
    <tableColumn id="6818" xr3:uid="{2F3D3B2B-3C54-B14F-B65A-2B5E3B9DE0FB}" name="Column6800"/>
    <tableColumn id="6819" xr3:uid="{F2982EDF-8AE4-D94F-863D-552DEAD36F5E}" name="Column6801"/>
    <tableColumn id="6820" xr3:uid="{5B5F7890-8AB2-4D45-8075-D8B26B557024}" name="Column6802"/>
    <tableColumn id="6821" xr3:uid="{34491DC5-3888-0F43-B3E2-CFB71989E715}" name="Column6803"/>
    <tableColumn id="6822" xr3:uid="{2C017DED-5210-FD4F-A6C1-ADA8283676EA}" name="Column6804"/>
    <tableColumn id="6823" xr3:uid="{2EF3B23C-2430-7A4B-BDC2-E2D9AF1671B1}" name="Column6805"/>
    <tableColumn id="6824" xr3:uid="{353C4498-1027-454D-B00A-B38E2FAE0DA8}" name="Column6806"/>
    <tableColumn id="6825" xr3:uid="{30AA8F6F-9973-4245-9C04-1EF2ABE1E9C6}" name="Column6807"/>
    <tableColumn id="6826" xr3:uid="{B667C4E2-3628-A543-9CE8-EC1FAB159134}" name="Column6808"/>
    <tableColumn id="6827" xr3:uid="{4D47BAC2-0276-A343-A034-39979F26F1F5}" name="Column6809"/>
    <tableColumn id="6828" xr3:uid="{AD3F8146-E545-1249-8C7D-37037066E7B9}" name="Column6810"/>
    <tableColumn id="6829" xr3:uid="{26D5DC89-20F5-8849-9CBF-A810E65D1CC2}" name="Column6811"/>
    <tableColumn id="6830" xr3:uid="{9BFB5A33-B416-6545-9D98-EB4A92AAACA0}" name="Column6812"/>
    <tableColumn id="6831" xr3:uid="{009CC75B-3BC8-2C48-B692-2253D0D587D6}" name="Column6813"/>
    <tableColumn id="6832" xr3:uid="{B2C63720-E1C4-0A47-AC34-242E5FA4B67C}" name="Column6814"/>
    <tableColumn id="6833" xr3:uid="{8E015154-D13B-4747-B924-D3DF3EF7C3A8}" name="Column6815"/>
    <tableColumn id="6834" xr3:uid="{B7D5C93A-A206-1D41-A76A-038E99679E75}" name="Column6816"/>
    <tableColumn id="6835" xr3:uid="{1CE3F499-8FDB-9F43-8421-1EA0EBF48BA0}" name="Column6817"/>
    <tableColumn id="6836" xr3:uid="{54D7C68F-495E-9246-9B3B-5400F6C762ED}" name="Column6818"/>
    <tableColumn id="6837" xr3:uid="{ED0B3C55-2D68-2740-9B13-3BB3E8500B1C}" name="Column6819"/>
    <tableColumn id="6838" xr3:uid="{9E8A8373-FAF7-4E46-AF94-552A04AD1AC2}" name="Column6820"/>
    <tableColumn id="6839" xr3:uid="{06F88991-9290-9946-AFE7-3E93A9627F13}" name="Column6821"/>
    <tableColumn id="6840" xr3:uid="{71475FA7-6ECB-DE4D-A1B9-79C84572192D}" name="Column6822"/>
    <tableColumn id="6841" xr3:uid="{FB7E7048-5373-5B4B-AC64-6F3B79DD0964}" name="Column6823"/>
    <tableColumn id="6842" xr3:uid="{96B7D04B-9F6F-654F-83EF-5F30A2CA1A79}" name="Column6824"/>
    <tableColumn id="6843" xr3:uid="{7E5E2EA6-6CC4-8F46-9497-A40EB24975F1}" name="Column6825"/>
    <tableColumn id="6844" xr3:uid="{72D24DC7-CC37-B443-956F-ABAC4B5100DD}" name="Column6826"/>
    <tableColumn id="6845" xr3:uid="{E0591E56-CA95-B24D-BD88-58D7CE1E30C2}" name="Column6827"/>
    <tableColumn id="6846" xr3:uid="{F0DDB8B0-5444-E94E-B90B-216030AF8D8B}" name="Column6828"/>
    <tableColumn id="6847" xr3:uid="{46699474-C7C2-3544-9936-4145A8D13F22}" name="Column6829"/>
    <tableColumn id="6848" xr3:uid="{421F07AD-2D28-5240-901D-0776378A3CD9}" name="Column6830"/>
    <tableColumn id="6849" xr3:uid="{F809B9E0-1C4F-574A-BE69-0AE0E0A4EE30}" name="Column6831"/>
    <tableColumn id="6850" xr3:uid="{5E61AD0E-876E-F54C-8130-CF1A9849FD35}" name="Column6832"/>
    <tableColumn id="6851" xr3:uid="{11C2102A-E9BA-FB45-A2B6-0957329BAEA2}" name="Column6833"/>
    <tableColumn id="6852" xr3:uid="{ABB34F9D-02C4-6645-B426-5C564924E517}" name="Column6834"/>
    <tableColumn id="6853" xr3:uid="{1F3F8FFF-44F0-944E-9796-6067A0071A4B}" name="Column6835"/>
    <tableColumn id="6854" xr3:uid="{5CE23340-952E-7F45-B7D6-DAFF786663AF}" name="Column6836"/>
    <tableColumn id="6855" xr3:uid="{C3B205C0-CC99-D64E-82DF-AB7C5798DA5F}" name="Column6837"/>
    <tableColumn id="6856" xr3:uid="{2DE324A3-0F9E-BF46-A72B-235BA1D883B1}" name="Column6838"/>
    <tableColumn id="6857" xr3:uid="{B57E006F-EC03-3B44-86A9-A70F2A656DB1}" name="Column6839"/>
    <tableColumn id="6858" xr3:uid="{7CCC9EFA-BDB8-644C-B44E-4168D7CBE2BB}" name="Column6840"/>
    <tableColumn id="6859" xr3:uid="{348049A2-238C-6349-AB3A-B849B82D6502}" name="Column6841"/>
    <tableColumn id="6860" xr3:uid="{043617DB-8223-AF4F-A2A0-EF28ECC38459}" name="Column6842"/>
    <tableColumn id="6861" xr3:uid="{3F718F4D-F1AC-F447-8B5D-BB7BC4385E24}" name="Column6843"/>
    <tableColumn id="6862" xr3:uid="{889A4D54-F3F3-3342-9076-5B926E240D1D}" name="Column6844"/>
    <tableColumn id="6863" xr3:uid="{AB263BA0-CA9E-624A-B471-2F5D0FD5C48C}" name="Column6845"/>
    <tableColumn id="6864" xr3:uid="{78B6721D-81C5-2C43-B517-90B9AAD1D9D3}" name="Column6846"/>
    <tableColumn id="6865" xr3:uid="{D0BE3400-7FFB-2740-A5AC-DDCC181AC3B3}" name="Column6847"/>
    <tableColumn id="6866" xr3:uid="{FBEA273F-DFE1-594D-A62C-2654BD93CE2A}" name="Column6848"/>
    <tableColumn id="6867" xr3:uid="{085DD729-4637-934E-8EB1-2A40F4ABE752}" name="Column6849"/>
    <tableColumn id="6868" xr3:uid="{EC03E98D-869D-EF43-BA36-D274C20A703D}" name="Column6850"/>
    <tableColumn id="6869" xr3:uid="{485F4DF7-BF28-6A46-9CA0-610988039758}" name="Column6851"/>
    <tableColumn id="6870" xr3:uid="{183769E1-ACB7-CC44-9BF0-656D64D4331D}" name="Column6852"/>
    <tableColumn id="6871" xr3:uid="{BF56804C-C891-C444-81A5-FE9C8626E363}" name="Column6853"/>
    <tableColumn id="6872" xr3:uid="{8BBCD231-2606-F546-B272-446DD199319D}" name="Column6854"/>
    <tableColumn id="6873" xr3:uid="{FFA7CB43-5C5B-314F-A37D-D42911B574EE}" name="Column6855"/>
    <tableColumn id="6874" xr3:uid="{B68C365A-1B8F-D145-89C2-A52D1E09E35C}" name="Column6856"/>
    <tableColumn id="6875" xr3:uid="{76B617EF-3FFF-E04E-98B2-7466E58BC95F}" name="Column6857"/>
    <tableColumn id="6876" xr3:uid="{246762A3-F9D2-F743-BD24-19BE5C331ABD}" name="Column6858"/>
    <tableColumn id="6877" xr3:uid="{FA0E9A0F-E201-5E43-9486-514C0FB111E5}" name="Column6859"/>
    <tableColumn id="6878" xr3:uid="{BB996CA8-529B-8A47-8637-89CCBD0E3CBA}" name="Column6860"/>
    <tableColumn id="6879" xr3:uid="{6E666AF7-F584-1245-9E85-D79E738DF9FE}" name="Column6861"/>
    <tableColumn id="6880" xr3:uid="{D85FE451-4606-A24F-9DC3-935A4989E0AF}" name="Column6862"/>
    <tableColumn id="6881" xr3:uid="{55141227-D6A4-1242-BC3C-29F7E7CC1942}" name="Column6863"/>
    <tableColumn id="6882" xr3:uid="{3AB92E7F-7C3C-5C4C-BA55-86F1AB5DF1CB}" name="Column6864"/>
    <tableColumn id="6883" xr3:uid="{1EE8E913-8D53-2247-86B3-310C4279B386}" name="Column6865"/>
    <tableColumn id="6884" xr3:uid="{5C987466-34C5-4849-8890-080BE756ECFE}" name="Column6866"/>
    <tableColumn id="6885" xr3:uid="{52DBC998-B350-6D4F-B3A6-74E9F92BD93D}" name="Column6867"/>
    <tableColumn id="6886" xr3:uid="{60EF4E0B-DF36-7A4B-B9C6-AF8E26005C8E}" name="Column6868"/>
    <tableColumn id="6887" xr3:uid="{2A51069B-8D47-6A46-B207-716321073007}" name="Column6869"/>
    <tableColumn id="6888" xr3:uid="{A092CFEB-15E1-644B-B5BC-F1C8B5718583}" name="Column6870"/>
    <tableColumn id="6889" xr3:uid="{4E4B4E78-DDBD-654B-86FC-116F96F3C3AC}" name="Column6871"/>
    <tableColumn id="6890" xr3:uid="{30B1FA16-40A5-5847-AAEF-F0FCE084F576}" name="Column6872"/>
    <tableColumn id="6891" xr3:uid="{309F6B83-A21F-024F-A070-DFE3EEF1DB15}" name="Column6873"/>
    <tableColumn id="6892" xr3:uid="{1C3E2935-5BC3-0148-AE44-205CF751BDA2}" name="Column6874"/>
    <tableColumn id="6893" xr3:uid="{00944768-A9E3-0E4A-81CC-FF1F7B494B81}" name="Column6875"/>
    <tableColumn id="6894" xr3:uid="{AA20840B-F6DC-684D-BC18-939E317145B6}" name="Column6876"/>
    <tableColumn id="6895" xr3:uid="{683FF8EA-26D9-A24A-9AC1-5283CC2403CC}" name="Column6877"/>
    <tableColumn id="6896" xr3:uid="{F33B050D-E9D4-2549-BA34-D0CDF38EA4DA}" name="Column6878"/>
    <tableColumn id="6897" xr3:uid="{BF2A3CD3-77FA-2941-8584-1C7911749DF8}" name="Column6879"/>
    <tableColumn id="6898" xr3:uid="{C630B8A4-C54F-384B-991E-10DA68041EF0}" name="Column6880"/>
    <tableColumn id="6899" xr3:uid="{1A630B46-674C-274C-9598-11DF8DB94762}" name="Column6881"/>
    <tableColumn id="6900" xr3:uid="{1D723F88-78B8-1249-96FC-39EEC17BD02C}" name="Column6882"/>
    <tableColumn id="6901" xr3:uid="{D4F734DB-0FDE-3B46-911C-58980B750AF5}" name="Column6883"/>
    <tableColumn id="6902" xr3:uid="{222CF07A-CAE3-B04D-8C8E-EE833F8E82CC}" name="Column6884"/>
    <tableColumn id="6903" xr3:uid="{10C643F5-683B-7541-814B-476A8B989886}" name="Column6885"/>
    <tableColumn id="6904" xr3:uid="{53444B0A-E3E7-1744-B20B-08FDA126B396}" name="Column6886"/>
    <tableColumn id="6905" xr3:uid="{6D615064-E16B-8843-A569-F16EA55FC0E3}" name="Column6887"/>
    <tableColumn id="6906" xr3:uid="{EBA7E564-564B-4A46-B188-73B90FCEBCA4}" name="Column6888"/>
    <tableColumn id="6907" xr3:uid="{267ACF5E-008D-9C48-8A58-14A1A674910E}" name="Column6889"/>
    <tableColumn id="6908" xr3:uid="{D034A210-7293-B445-A3F9-8BEED1E75ED0}" name="Column6890"/>
    <tableColumn id="6909" xr3:uid="{272A009D-DD51-6048-AFFC-96156413AC13}" name="Column6891"/>
    <tableColumn id="6910" xr3:uid="{6B56D194-DB44-AA48-8DFD-7EE43244975F}" name="Column6892"/>
    <tableColumn id="6911" xr3:uid="{F28C63E2-FD35-A741-8191-8B18AEB87E9A}" name="Column6893"/>
    <tableColumn id="6912" xr3:uid="{2E0A11D6-A845-0746-8FD5-0B7C49194CB2}" name="Column6894"/>
    <tableColumn id="6913" xr3:uid="{0258C6AD-C7B3-DB42-80C7-00C739C342FF}" name="Column6895"/>
    <tableColumn id="6914" xr3:uid="{1EBA72B8-7703-5B4B-96BF-1BA3F2C1BF4A}" name="Column6896"/>
    <tableColumn id="6915" xr3:uid="{A13AD107-0D6D-F444-9E24-72ACC5ADDFF7}" name="Column6897"/>
    <tableColumn id="6916" xr3:uid="{88958B69-75A5-2849-B6A9-A32E7212EC36}" name="Column6898"/>
    <tableColumn id="6917" xr3:uid="{BE402680-4460-0847-A1ED-C7C90731A0C7}" name="Column6899"/>
    <tableColumn id="6918" xr3:uid="{C2DDFD0B-C67E-4D41-A12F-98CCF38139B3}" name="Column6900"/>
    <tableColumn id="6919" xr3:uid="{B3CAE669-A11B-9746-87B5-9DCF3CD9334A}" name="Column6901"/>
    <tableColumn id="6920" xr3:uid="{2ACCEA4A-863A-AD44-82D5-1DCACB893830}" name="Column6902"/>
    <tableColumn id="6921" xr3:uid="{BA753FE7-4360-1D44-B8DB-3E3462A28E89}" name="Column6903"/>
    <tableColumn id="6922" xr3:uid="{3E62EDD4-7480-4F43-9C8A-DAA66848C988}" name="Column6904"/>
    <tableColumn id="6923" xr3:uid="{C729D054-7CDD-9049-A804-C5BBC2F1FB3A}" name="Column6905"/>
    <tableColumn id="6924" xr3:uid="{ACC8EB67-7ECF-E64A-9852-F321A63742E6}" name="Column6906"/>
    <tableColumn id="6925" xr3:uid="{5D2E2D09-78B6-CD45-A569-575136A7E3B1}" name="Column6907"/>
    <tableColumn id="6926" xr3:uid="{348C74A4-F91B-5F45-BF2B-F13ABCAB5C5D}" name="Column6908"/>
    <tableColumn id="6927" xr3:uid="{91F4D591-70A4-3040-9512-2ABD0F60B3B4}" name="Column6909"/>
    <tableColumn id="6928" xr3:uid="{830DD179-A1C2-1941-9981-33CD416A67D3}" name="Column6910"/>
    <tableColumn id="6929" xr3:uid="{95A69824-7432-5D4A-BB4D-04266E7E6227}" name="Column6911"/>
    <tableColumn id="6930" xr3:uid="{62C43F4E-62C1-BA43-A8DD-3DF9A7D79803}" name="Column6912"/>
    <tableColumn id="6931" xr3:uid="{DFB7597E-7F91-DF41-8447-C0E4B03A8AFF}" name="Column6913"/>
    <tableColumn id="6932" xr3:uid="{824B72F3-9BA2-4240-BEBA-F6B02FD7482F}" name="Column6914"/>
    <tableColumn id="6933" xr3:uid="{6AD9B0DD-2762-134E-8E17-6DD185E260BC}" name="Column6915"/>
    <tableColumn id="6934" xr3:uid="{07B21CAD-B65D-BE4A-8570-6848B62787FB}" name="Column6916"/>
    <tableColumn id="6935" xr3:uid="{415C7E8F-2553-EE4B-A47D-495F3B3951FE}" name="Column6917"/>
    <tableColumn id="6936" xr3:uid="{B72C8665-D51D-4942-A768-EEA29E220301}" name="Column6918"/>
    <tableColumn id="6937" xr3:uid="{6DFB67F3-8C07-4440-91AC-A9346E8B7DA5}" name="Column6919"/>
    <tableColumn id="6938" xr3:uid="{6FBFD888-2560-DC40-9D20-A8C4BD42394A}" name="Column6920"/>
    <tableColumn id="6939" xr3:uid="{FB31ED62-179F-2140-8011-AC22AABD1DE9}" name="Column6921"/>
    <tableColumn id="6940" xr3:uid="{91D9EDC7-9954-054B-8087-5471BD2C3544}" name="Column6922"/>
    <tableColumn id="6941" xr3:uid="{05732668-3D22-4C4E-838D-EBBF70BCC26E}" name="Column6923"/>
    <tableColumn id="6942" xr3:uid="{EF3E83E2-39BE-6B40-A1BD-9D2D715F8F79}" name="Column6924"/>
    <tableColumn id="6943" xr3:uid="{CADC11F9-2FB3-D441-B58A-88E2128B60D9}" name="Column6925"/>
    <tableColumn id="6944" xr3:uid="{7C466961-C681-CF4C-B748-49E23EDF259F}" name="Column6926"/>
    <tableColumn id="6945" xr3:uid="{A84701EF-3EA6-3948-9854-FC7FCEF82D62}" name="Column6927"/>
    <tableColumn id="6946" xr3:uid="{7148DFFE-0708-7048-83C8-840F017549FD}" name="Column6928"/>
    <tableColumn id="6947" xr3:uid="{9B33C969-EA17-764F-956A-66388E927107}" name="Column6929"/>
    <tableColumn id="6948" xr3:uid="{1D5BEDDD-CFBD-6C47-B7D2-EEB342145D7D}" name="Column6930"/>
    <tableColumn id="6949" xr3:uid="{DEE2E19E-E9A6-674F-B0FE-BD57912EA003}" name="Column6931"/>
    <tableColumn id="6950" xr3:uid="{2D080778-9286-834C-BC5D-B9550FDF33A6}" name="Column6932"/>
    <tableColumn id="6951" xr3:uid="{0316B008-0E27-384F-A6FC-ED7F61204A4A}" name="Column6933"/>
    <tableColumn id="6952" xr3:uid="{687160EC-ADD9-0B4E-99B5-F839936B80D3}" name="Column6934"/>
    <tableColumn id="6953" xr3:uid="{F6768BFE-2017-F44E-8E23-8B2CB3B1BF14}" name="Column6935"/>
    <tableColumn id="6954" xr3:uid="{7A97F7BF-6D9C-B74A-97D9-6C2997C3EE44}" name="Column6936"/>
    <tableColumn id="6955" xr3:uid="{44C231A9-F2AD-3942-BF05-2D704BF3B561}" name="Column6937"/>
    <tableColumn id="6956" xr3:uid="{8E745FE1-F013-2841-9F6A-383A961D947A}" name="Column6938"/>
    <tableColumn id="6957" xr3:uid="{A06B219D-E922-324C-9144-F3DFF14685DE}" name="Column6939"/>
    <tableColumn id="6958" xr3:uid="{B695F263-F67B-3A40-A3AE-9FF12650F096}" name="Column6940"/>
    <tableColumn id="6959" xr3:uid="{EF87EB61-E6D2-0F46-812E-565495577F81}" name="Column6941"/>
    <tableColumn id="6960" xr3:uid="{4930B594-B79E-094A-93B8-BE6078B82B7A}" name="Column6942"/>
    <tableColumn id="6961" xr3:uid="{194958FA-9B26-EB48-982F-53A07EC2F4A7}" name="Column6943"/>
    <tableColumn id="6962" xr3:uid="{FE96586B-ACCA-2241-BA37-90B4140C3738}" name="Column6944"/>
    <tableColumn id="6963" xr3:uid="{4F110F01-77F1-A34C-891B-3F485E14D906}" name="Column6945"/>
    <tableColumn id="6964" xr3:uid="{0C8540D1-F198-1742-8E73-A7C4FCE53B4A}" name="Column6946"/>
    <tableColumn id="6965" xr3:uid="{0380B709-BF8B-F347-A9D7-F88D16F259E6}" name="Column6947"/>
    <tableColumn id="6966" xr3:uid="{D6F46E3C-4410-0146-8391-EC16BB2A03AC}" name="Column6948"/>
    <tableColumn id="6967" xr3:uid="{93038700-F49C-D24B-83E8-61E0B3FF1768}" name="Column6949"/>
    <tableColumn id="6968" xr3:uid="{E0D238BF-915C-1941-9E36-DE75EAC7EE2F}" name="Column6950"/>
    <tableColumn id="6969" xr3:uid="{DF766C77-FF73-494D-9DF0-CD04299F4F42}" name="Column6951"/>
    <tableColumn id="6970" xr3:uid="{BE8D3BD6-565A-0047-AFB7-AB25942BE9BC}" name="Column6952"/>
    <tableColumn id="6971" xr3:uid="{C4183836-1DD6-1540-A593-B7236B95348D}" name="Column6953"/>
    <tableColumn id="6972" xr3:uid="{BF4A2902-0178-8C41-9BA5-C85E00BEC8D3}" name="Column6954"/>
    <tableColumn id="6973" xr3:uid="{700D6D2B-BC06-C940-9DDA-6E875A003FA7}" name="Column6955"/>
    <tableColumn id="6974" xr3:uid="{33048214-6832-7549-AAE2-1634C8BBEF30}" name="Column6956"/>
    <tableColumn id="6975" xr3:uid="{097D4C67-2887-1A4F-84AE-9C20E9FF06B6}" name="Column6957"/>
    <tableColumn id="6976" xr3:uid="{E17885A0-57F1-3345-9099-9279D4A1CB8B}" name="Column6958"/>
    <tableColumn id="6977" xr3:uid="{2DCDCE81-765C-B446-938C-87EFA0391AE2}" name="Column6959"/>
    <tableColumn id="6978" xr3:uid="{A0E8AD17-2314-EA47-B39C-DE918166DC89}" name="Column6960"/>
    <tableColumn id="6979" xr3:uid="{8917656F-76DB-FA4E-80DD-E9E350CBC186}" name="Column6961"/>
    <tableColumn id="6980" xr3:uid="{05114AAA-2C9E-AD44-8657-80C3010708BD}" name="Column6962"/>
    <tableColumn id="6981" xr3:uid="{12A8B03A-2A87-AE4F-AE04-D833AA74C861}" name="Column6963"/>
    <tableColumn id="6982" xr3:uid="{CDCC9C31-D21A-BA4A-B434-FBEC6467E889}" name="Column6964"/>
    <tableColumn id="6983" xr3:uid="{82C9056B-4481-DF48-9D19-340AE2A8559A}" name="Column6965"/>
    <tableColumn id="6984" xr3:uid="{03717298-34EA-4E46-944B-9716AFD9EDD3}" name="Column6966"/>
    <tableColumn id="6985" xr3:uid="{B79B07C9-1C76-D842-A5C8-2C6CBA1321BD}" name="Column6967"/>
    <tableColumn id="6986" xr3:uid="{18B64FDD-08B3-474F-9F09-A83DC49B9C4B}" name="Column6968"/>
    <tableColumn id="6987" xr3:uid="{66758445-2087-0844-B1EF-11FF74FF7B75}" name="Column6969"/>
    <tableColumn id="6988" xr3:uid="{B146B460-EA3D-2C4C-A30D-23E2B54C51D4}" name="Column6970"/>
    <tableColumn id="6989" xr3:uid="{A6B30D76-80D1-4C4C-B26C-2AC007109572}" name="Column6971"/>
    <tableColumn id="6990" xr3:uid="{B2E2DD63-C310-5E4D-A5F6-5DE6A752D1E6}" name="Column6972"/>
    <tableColumn id="6991" xr3:uid="{ED781C3E-96EA-C74A-B2B5-4B182C20C97D}" name="Column6973"/>
    <tableColumn id="6992" xr3:uid="{FE14F441-1726-DF4D-9BB2-0E8718772C31}" name="Column6974"/>
    <tableColumn id="6993" xr3:uid="{81E4F293-6CDE-F744-AF88-887691E14136}" name="Column6975"/>
    <tableColumn id="6994" xr3:uid="{85E94B70-79FC-084B-AB31-9AC655B7714A}" name="Column6976"/>
    <tableColumn id="6995" xr3:uid="{61C9998C-91E2-7E49-8C8F-5D37222B0F81}" name="Column6977"/>
    <tableColumn id="6996" xr3:uid="{CA9C4384-146A-1146-A1E7-E7CBF07F41E3}" name="Column6978"/>
    <tableColumn id="6997" xr3:uid="{520F27F6-5E3A-CD4F-86FC-5C7BAB8B38DD}" name="Column6979"/>
    <tableColumn id="6998" xr3:uid="{187BD157-521A-8840-9CE4-94D732DDE6E7}" name="Column6980"/>
    <tableColumn id="6999" xr3:uid="{43DB53C1-5D55-C74C-9DAC-7F9456CFDA30}" name="Column6981"/>
    <tableColumn id="7000" xr3:uid="{32EA0E5F-FFA5-0E44-A854-CB851851008A}" name="Column6982"/>
    <tableColumn id="7001" xr3:uid="{C24569B2-27F1-E94B-AAD2-427805BA36F9}" name="Column6983"/>
    <tableColumn id="7002" xr3:uid="{958E5AF7-AD75-B946-80AA-EBF978850F4C}" name="Column6984"/>
    <tableColumn id="7003" xr3:uid="{CF605DB1-586D-6F45-A270-CB220CC87157}" name="Column6985"/>
    <tableColumn id="7004" xr3:uid="{585E20D9-8FCA-9D46-83FA-A50879C3E4E6}" name="Column6986"/>
    <tableColumn id="7005" xr3:uid="{343CDD54-BABC-6649-A61A-DA6A96F3D868}" name="Column6987"/>
    <tableColumn id="7006" xr3:uid="{4D3933A2-94DC-8C4F-A921-2A6612E344CC}" name="Column6988"/>
    <tableColumn id="7007" xr3:uid="{CA10A728-1A68-D648-BBFD-7D81490C4037}" name="Column6989"/>
    <tableColumn id="7008" xr3:uid="{F4B806E1-074F-C54C-9A37-0688EBAC57B9}" name="Column6990"/>
    <tableColumn id="7009" xr3:uid="{949CC9F0-E850-084C-8AF6-608C9AD900AC}" name="Column6991"/>
    <tableColumn id="7010" xr3:uid="{4AEB485E-6178-324F-935C-4FCDEC592A3A}" name="Column6992"/>
    <tableColumn id="7011" xr3:uid="{76CA44FC-EAA2-6044-BB5A-88AAEDBE9347}" name="Column6993"/>
    <tableColumn id="7012" xr3:uid="{F5F04D2F-27A8-B04F-A33C-228CF28DC63F}" name="Column6994"/>
    <tableColumn id="7013" xr3:uid="{CF8F96FA-2CAE-8749-BC79-C3299A8A5954}" name="Column6995"/>
    <tableColumn id="7014" xr3:uid="{6D6D8308-27A0-974A-B601-985BC67E628E}" name="Column6996"/>
    <tableColumn id="7015" xr3:uid="{7755CEE3-E548-8545-A909-57935F19ACA6}" name="Column6997"/>
    <tableColumn id="7016" xr3:uid="{87184F33-91FA-D14A-96EF-3703968133EA}" name="Column6998"/>
    <tableColumn id="7017" xr3:uid="{B3E1A378-8BFB-544A-87E7-FC480A71BF4A}" name="Column6999"/>
    <tableColumn id="7018" xr3:uid="{3B105B33-B56E-2C47-A960-322083D26189}" name="Column7000"/>
    <tableColumn id="7019" xr3:uid="{802D0D4C-5920-FF44-9C73-1B2F619F04F6}" name="Column7001"/>
    <tableColumn id="7020" xr3:uid="{61A8C65A-77E0-364C-A33E-55600912578A}" name="Column7002"/>
    <tableColumn id="7021" xr3:uid="{ED1A459A-8E57-2F4D-A990-A162E24A3B21}" name="Column7003"/>
    <tableColumn id="7022" xr3:uid="{ED385A48-B4B0-2C46-94C8-69A8826A89FF}" name="Column7004"/>
    <tableColumn id="7023" xr3:uid="{4F2339B6-9C96-B24E-9110-F4C01F292062}" name="Column7005"/>
    <tableColumn id="7024" xr3:uid="{04E46ACA-1140-5E43-BC24-7F0D308C40BD}" name="Column7006"/>
    <tableColumn id="7025" xr3:uid="{FA7F3F91-13F5-F14F-8F36-0CB7EB5D7108}" name="Column7007"/>
    <tableColumn id="7026" xr3:uid="{FC1C55B6-6A2E-A64A-A15D-4DA449D04CE7}" name="Column7008"/>
    <tableColumn id="7027" xr3:uid="{28F8F204-7FBD-8A48-BBAD-A1A34D34EF26}" name="Column7009"/>
    <tableColumn id="7028" xr3:uid="{9191C4FF-949E-C447-AB5C-A636CF63E470}" name="Column7010"/>
    <tableColumn id="7029" xr3:uid="{ECEF4F43-24F5-B848-8D86-BDADA239AD03}" name="Column7011"/>
    <tableColumn id="7030" xr3:uid="{CF4A336F-B8F6-B44C-841A-AB69AA4E0077}" name="Column7012"/>
    <tableColumn id="7031" xr3:uid="{F85A7234-CCA5-3A45-BBB0-0367D1AC4AB6}" name="Column7013"/>
    <tableColumn id="7032" xr3:uid="{1811B85F-B57F-F543-B532-83EF7732AB33}" name="Column7014"/>
    <tableColumn id="7033" xr3:uid="{865C1117-D2BD-834F-B2EE-09BC0E220B36}" name="Column7015"/>
    <tableColumn id="7034" xr3:uid="{832EF64E-99AA-A54F-A21D-5899981A0853}" name="Column7016"/>
    <tableColumn id="7035" xr3:uid="{A54AF203-8A57-B34B-9661-B9218BD8912B}" name="Column7017"/>
    <tableColumn id="7036" xr3:uid="{83A86140-F2D7-8849-B1C7-8744ABFDE4F7}" name="Column7018"/>
    <tableColumn id="7037" xr3:uid="{BEC5F711-6AC9-E841-B501-56413D408803}" name="Column7019"/>
    <tableColumn id="7038" xr3:uid="{FFEA3CAA-6637-D249-8747-8A47910781A3}" name="Column7020"/>
    <tableColumn id="7039" xr3:uid="{6ED8CE06-BD11-BA46-8D7C-08B6AD1BA501}" name="Column7021"/>
    <tableColumn id="7040" xr3:uid="{CA3D1CA5-AA6C-8744-8867-C09690F73616}" name="Column7022"/>
    <tableColumn id="7041" xr3:uid="{54C7F73B-0836-ED42-83D7-70ECC924C5B3}" name="Column7023"/>
    <tableColumn id="7042" xr3:uid="{FA934D27-5E7A-9A42-A90D-D284860265A6}" name="Column7024"/>
    <tableColumn id="7043" xr3:uid="{1A209C46-C7A5-DE46-9BC7-1B69154BE578}" name="Column7025"/>
    <tableColumn id="7044" xr3:uid="{A54E2142-6ADD-D444-9BE5-5180A8A3F483}" name="Column7026"/>
    <tableColumn id="7045" xr3:uid="{D0B0EF42-A62C-6240-B239-BC1086DC2B5E}" name="Column7027"/>
    <tableColumn id="7046" xr3:uid="{61DC4DA9-5A3C-D040-A99E-A544F506B9A5}" name="Column7028"/>
    <tableColumn id="7047" xr3:uid="{1BBA0A5A-F810-8641-93AD-D830CFB02827}" name="Column7029"/>
    <tableColumn id="7048" xr3:uid="{8F4C4D36-42AF-024A-BCDA-E0F4560C1B53}" name="Column7030"/>
    <tableColumn id="7049" xr3:uid="{EC83AD4D-85D1-9E45-9C15-A0B851882EF5}" name="Column7031"/>
    <tableColumn id="7050" xr3:uid="{320F1FE6-7D44-1C4D-BA55-7B2A500B0CD5}" name="Column7032"/>
    <tableColumn id="7051" xr3:uid="{F6E9FBEF-0F05-8748-93E1-9E5D4D0175BF}" name="Column7033"/>
    <tableColumn id="7052" xr3:uid="{5684227A-62F7-0D44-83CD-0B05C723B97A}" name="Column7034"/>
    <tableColumn id="7053" xr3:uid="{6B67A1C4-A9E1-6F4C-834E-ADE5FDC42EE6}" name="Column7035"/>
    <tableColumn id="7054" xr3:uid="{453F3B59-EB8B-6C44-9517-4F80C547FA7E}" name="Column7036"/>
    <tableColumn id="7055" xr3:uid="{8A413F26-489A-664E-A06C-0A7794E2BE3D}" name="Column7037"/>
    <tableColumn id="7056" xr3:uid="{DF726332-854E-F943-ADE8-951DD958EE62}" name="Column7038"/>
    <tableColumn id="7057" xr3:uid="{BB1B5E80-6CAD-8349-921C-F1DC92C38327}" name="Column7039"/>
    <tableColumn id="7058" xr3:uid="{600CFEB3-8D31-3B4B-8D98-E74C874F2E2D}" name="Column7040"/>
    <tableColumn id="7059" xr3:uid="{CB668E2B-88EF-7049-9FF2-786DE5156957}" name="Column7041"/>
    <tableColumn id="7060" xr3:uid="{D224F6A2-4DED-F549-A8FE-9DEA56D0BA46}" name="Column7042"/>
    <tableColumn id="7061" xr3:uid="{E66D6B51-789D-F246-B830-6FCB21AA91C8}" name="Column7043"/>
    <tableColumn id="7062" xr3:uid="{54E180E6-13DA-D74E-808F-E2716845FB17}" name="Column7044"/>
    <tableColumn id="7063" xr3:uid="{0C730E37-9EC2-FB48-AB16-DEF6FC64D02B}" name="Column7045"/>
    <tableColumn id="7064" xr3:uid="{9C88F7D1-8018-ED40-A011-7912CBE145F1}" name="Column7046"/>
    <tableColumn id="7065" xr3:uid="{015C074B-A163-9745-83D8-9AD02AADB771}" name="Column7047"/>
    <tableColumn id="7066" xr3:uid="{5AE92543-C116-0543-B58C-132E34E21EBF}" name="Column7048"/>
    <tableColumn id="7067" xr3:uid="{6BD2B903-0FBA-7E43-B73C-7BADE9B4AFB9}" name="Column7049"/>
    <tableColumn id="7068" xr3:uid="{E6D08CC7-A527-3941-AB67-DAC570298A88}" name="Column7050"/>
    <tableColumn id="7069" xr3:uid="{DFD438CD-AF75-6D45-9319-7032FF5F7196}" name="Column7051"/>
    <tableColumn id="7070" xr3:uid="{AEC7E4DA-3AA7-D047-A518-202ACB5706AE}" name="Column7052"/>
    <tableColumn id="7071" xr3:uid="{3F6ED0FC-8A6E-3D43-9042-649F733FB5DA}" name="Column7053"/>
    <tableColumn id="7072" xr3:uid="{3145D2B5-EBD1-F34C-A443-FA20714B9242}" name="Column7054"/>
    <tableColumn id="7073" xr3:uid="{177B081A-EB77-C742-AB37-99738B3ABB55}" name="Column7055"/>
    <tableColumn id="7074" xr3:uid="{58393738-4620-5647-A147-3E613C9D1E27}" name="Column7056"/>
    <tableColumn id="7075" xr3:uid="{6590A950-5F1C-B844-8E2C-C54457716056}" name="Column7057"/>
    <tableColumn id="7076" xr3:uid="{FF31F1DA-6349-214F-ADFD-591ABC10E607}" name="Column7058"/>
    <tableColumn id="7077" xr3:uid="{46E5E469-AEA2-1645-9D6F-8B712D1090A3}" name="Column7059"/>
    <tableColumn id="7078" xr3:uid="{05670414-796C-9D40-B3FC-1159F300FE55}" name="Column7060"/>
    <tableColumn id="7079" xr3:uid="{D878F879-28C7-DE40-B82F-2A95F4435613}" name="Column7061"/>
    <tableColumn id="7080" xr3:uid="{B44F5C4B-7B52-724A-A3D8-C5EFA5213EAA}" name="Column7062"/>
    <tableColumn id="7081" xr3:uid="{FE5B91D2-4674-1146-8DCA-536E53207AF3}" name="Column7063"/>
    <tableColumn id="7082" xr3:uid="{B34CE657-6BC5-E14C-A464-BF2EAB8A26C6}" name="Column7064"/>
    <tableColumn id="7083" xr3:uid="{F84889D2-FF78-A043-B95A-5D16AEC3026C}" name="Column7065"/>
    <tableColumn id="7084" xr3:uid="{111DF858-2A3A-D942-92CA-0C430AE61E32}" name="Column7066"/>
    <tableColumn id="7085" xr3:uid="{BA4B1CB3-A03C-494A-8E4A-8D0097DF8170}" name="Column7067"/>
    <tableColumn id="7086" xr3:uid="{440DC885-3BDE-184C-BDE0-0C97B9B0D442}" name="Column7068"/>
    <tableColumn id="7087" xr3:uid="{9102D4BA-0B46-EB4C-A270-DA6F94CA17D1}" name="Column7069"/>
    <tableColumn id="7088" xr3:uid="{A3FC8AC4-CF3D-FF4D-BA1C-65CF7F8639C9}" name="Column7070"/>
    <tableColumn id="7089" xr3:uid="{0F9BF3F5-2F3C-DB4D-8EEA-79F1C485222D}" name="Column7071"/>
    <tableColumn id="7090" xr3:uid="{A35D7277-7E18-514F-9E14-621EA966C3F7}" name="Column7072"/>
    <tableColumn id="7091" xr3:uid="{053A564B-31E3-064D-9F54-3C4848485945}" name="Column7073"/>
    <tableColumn id="7092" xr3:uid="{4C8BFF9C-967B-FD4F-8E6F-1DF87D27F9F9}" name="Column7074"/>
    <tableColumn id="7093" xr3:uid="{B081DDAE-0005-2845-A5A8-1964DA54101C}" name="Column7075"/>
    <tableColumn id="7094" xr3:uid="{BDB4706D-AF4D-0F47-AF71-559A00FEC33D}" name="Column7076"/>
    <tableColumn id="7095" xr3:uid="{0A9B0D2D-5F2D-DB44-B4E8-9EED79C60CB9}" name="Column7077"/>
    <tableColumn id="7096" xr3:uid="{D21F9FE9-5629-4D4F-9181-A9484C36816E}" name="Column7078"/>
    <tableColumn id="7097" xr3:uid="{E715B894-CE10-2C45-9BED-1DC606EED877}" name="Column7079"/>
    <tableColumn id="7098" xr3:uid="{C7699AED-9FD7-354D-A7A4-316F98C84D4A}" name="Column7080"/>
    <tableColumn id="7099" xr3:uid="{C44ED88F-8492-0F45-82D3-08B58EBDBCDF}" name="Column7081"/>
    <tableColumn id="7100" xr3:uid="{B85704E3-380D-F049-B2EA-7630A41B1692}" name="Column7082"/>
    <tableColumn id="7101" xr3:uid="{A9FCE393-9232-AD4A-9BAE-7CE41B9A4F28}" name="Column7083"/>
    <tableColumn id="7102" xr3:uid="{F2F630A5-651B-4A41-A3B4-61E712C8C9C3}" name="Column7084"/>
    <tableColumn id="7103" xr3:uid="{A226A51F-0A08-7040-8324-504A99569705}" name="Column7085"/>
    <tableColumn id="7104" xr3:uid="{159B1F4D-34D1-3C4D-8C04-D52C153192B5}" name="Column7086"/>
    <tableColumn id="7105" xr3:uid="{35E73C5F-FB22-FC47-9AFD-E9C0D3604C60}" name="Column7087"/>
    <tableColumn id="7106" xr3:uid="{5E606368-E47E-B04A-A037-55EFDDFE4DBA}" name="Column7088"/>
    <tableColumn id="7107" xr3:uid="{54DB5C01-4868-7F44-9557-F35FB294AA4F}" name="Column7089"/>
    <tableColumn id="7108" xr3:uid="{9ED25EBF-3015-DB4C-9619-B469081ADD35}" name="Column7090"/>
    <tableColumn id="7109" xr3:uid="{EBF19D11-0380-3648-A866-B9869F15EDB1}" name="Column7091"/>
    <tableColumn id="7110" xr3:uid="{2714C790-A06B-5842-BA89-EEEF845ECEA6}" name="Column7092"/>
    <tableColumn id="7111" xr3:uid="{EB37AD29-D501-2244-B04F-72AD85CF573F}" name="Column7093"/>
    <tableColumn id="7112" xr3:uid="{E12550F4-E56E-C240-90B1-37D497F5AD1A}" name="Column7094"/>
    <tableColumn id="7113" xr3:uid="{C9DB96C7-1303-E74D-934B-9F4389DE7B2F}" name="Column7095"/>
    <tableColumn id="7114" xr3:uid="{F92D0233-E693-324C-9FF6-2D87E3EC8DB5}" name="Column7096"/>
    <tableColumn id="7115" xr3:uid="{18AFEC51-F4D7-F04D-9716-5370554E9214}" name="Column7097"/>
    <tableColumn id="7116" xr3:uid="{FB29B539-68C6-4648-99F6-1FFD1DFD442D}" name="Column7098"/>
    <tableColumn id="7117" xr3:uid="{833CE7C2-9529-8944-B54F-46F7025F5D23}" name="Column7099"/>
    <tableColumn id="7118" xr3:uid="{B8634638-1C73-6A42-837E-057955328C46}" name="Column7100"/>
    <tableColumn id="7119" xr3:uid="{2E01E0A6-4CB9-6443-8825-715FF4312086}" name="Column7101"/>
    <tableColumn id="7120" xr3:uid="{970B7CA4-66F0-9C4E-BB61-5B2BF892D396}" name="Column7102"/>
    <tableColumn id="7121" xr3:uid="{E71DC16F-0120-324E-B5A2-3D972B2BC7D8}" name="Column7103"/>
    <tableColumn id="7122" xr3:uid="{0C9F8646-F75D-6D4E-A09B-45C4472D444C}" name="Column7104"/>
    <tableColumn id="7123" xr3:uid="{650D7AA1-C8F7-A54C-8B81-CB7E58963F35}" name="Column7105"/>
    <tableColumn id="7124" xr3:uid="{955E7E3E-8D09-E440-9440-424C928B6527}" name="Column7106"/>
    <tableColumn id="7125" xr3:uid="{841CDDDF-58E7-E040-B21E-9BA75E959C71}" name="Column7107"/>
    <tableColumn id="7126" xr3:uid="{F34BCFF5-4DDB-334D-9725-451A79F1A81D}" name="Column7108"/>
    <tableColumn id="7127" xr3:uid="{DBA422C6-AB94-AA4F-A613-5167EDD2B285}" name="Column7109"/>
    <tableColumn id="7128" xr3:uid="{A19ED16D-38A0-C14B-B2D5-2C4678208C2B}" name="Column7110"/>
    <tableColumn id="7129" xr3:uid="{E8D471A3-B793-CD44-9FB0-7906E025A4BC}" name="Column7111"/>
    <tableColumn id="7130" xr3:uid="{0849BC88-F7C0-1F41-9E18-43BAC86D83F2}" name="Column7112"/>
    <tableColumn id="7131" xr3:uid="{8E3371BC-11B2-464F-8D9F-6AD31556E624}" name="Column7113"/>
    <tableColumn id="7132" xr3:uid="{710FA39A-125D-7346-B8C9-301F942345E7}" name="Column7114"/>
    <tableColumn id="7133" xr3:uid="{9121D331-4480-5047-99A1-151E99FDD481}" name="Column7115"/>
    <tableColumn id="7134" xr3:uid="{C47F12FB-FEC3-5647-B598-542E9BB78E37}" name="Column7116"/>
    <tableColumn id="7135" xr3:uid="{0F8A2469-A3E4-6A4C-B2EC-E9DAEE77403F}" name="Column7117"/>
    <tableColumn id="7136" xr3:uid="{FD120DF9-57E5-B840-B554-61D8727B08BA}" name="Column7118"/>
    <tableColumn id="7137" xr3:uid="{C18FDC88-668C-6E4F-9A69-97A2B3E23A3C}" name="Column7119"/>
    <tableColumn id="7138" xr3:uid="{2D593870-4B44-464C-97DA-F69DEAAC61AA}" name="Column7120"/>
    <tableColumn id="7139" xr3:uid="{88A591C9-D005-BF46-AB1D-7200A6750ED5}" name="Column7121"/>
    <tableColumn id="7140" xr3:uid="{DA88A948-771C-CF43-820A-69A0B05EA3C8}" name="Column7122"/>
    <tableColumn id="7141" xr3:uid="{0E0A6527-F6A2-9B46-BED3-F331AE7F7180}" name="Column7123"/>
    <tableColumn id="7142" xr3:uid="{5E2BA2F9-14D8-7F4A-8EBB-DE590FC4882A}" name="Column7124"/>
    <tableColumn id="7143" xr3:uid="{FE239B69-B752-E041-89FE-EF993DD19792}" name="Column7125"/>
    <tableColumn id="7144" xr3:uid="{188B43D7-F10A-3D45-92B9-F1442C7CFA6B}" name="Column7126"/>
    <tableColumn id="7145" xr3:uid="{9E3E1050-ADED-444F-B9D0-4D0FDA9A0157}" name="Column7127"/>
    <tableColumn id="7146" xr3:uid="{A4F3F763-0546-0F4E-A9A0-0D8F0F14C8FB}" name="Column7128"/>
    <tableColumn id="7147" xr3:uid="{2B5E1D9D-EAE9-5B48-965A-8ED9C025402F}" name="Column7129"/>
    <tableColumn id="7148" xr3:uid="{902ACD12-51BE-8041-9DC7-35CEE4CE8A34}" name="Column7130"/>
    <tableColumn id="7149" xr3:uid="{A5F27569-93CC-7C44-B1D2-77383535F29C}" name="Column7131"/>
    <tableColumn id="7150" xr3:uid="{3E7981C4-5AFD-BB45-803F-2C45A90E4802}" name="Column7132"/>
    <tableColumn id="7151" xr3:uid="{F72208A4-BA7B-4648-B488-9D0DDBE75741}" name="Column7133"/>
    <tableColumn id="7152" xr3:uid="{283AD21C-D8CC-584D-9B97-E47D646ACE55}" name="Column7134"/>
    <tableColumn id="7153" xr3:uid="{0D3FB27A-D58A-3545-BEC5-539134C242A4}" name="Column7135"/>
    <tableColumn id="7154" xr3:uid="{C518B135-014D-0341-8CF3-BED65E3620B6}" name="Column7136"/>
    <tableColumn id="7155" xr3:uid="{31A05CB1-26A3-BA41-B35F-19D877318F2A}" name="Column7137"/>
    <tableColumn id="7156" xr3:uid="{E3A45C23-D953-2242-BB3E-2808D1287F03}" name="Column7138"/>
    <tableColumn id="7157" xr3:uid="{175CC373-95C4-6F4D-913D-F2B647A2914B}" name="Column7139"/>
    <tableColumn id="7158" xr3:uid="{8D50D7D7-EFEB-954D-BC0F-F83387E8F258}" name="Column7140"/>
    <tableColumn id="7159" xr3:uid="{FCDA2A59-EF5F-E046-9D5C-D98DBE11EA8C}" name="Column7141"/>
    <tableColumn id="7160" xr3:uid="{8BD4D327-9BC1-564B-A8D9-1794BA45DFCF}" name="Column7142"/>
    <tableColumn id="7161" xr3:uid="{7E3A5F4B-62D6-2D47-B819-D38ACFE665E5}" name="Column7143"/>
    <tableColumn id="7162" xr3:uid="{1DF1C3E4-8BBB-4040-BE80-B4CBA8D8F8C2}" name="Column7144"/>
    <tableColumn id="7163" xr3:uid="{B4C1F652-840D-C042-B582-A536C98E40A4}" name="Column7145"/>
    <tableColumn id="7164" xr3:uid="{06793CB3-4ABD-154D-86D6-246C3A2BE3AE}" name="Column7146"/>
    <tableColumn id="7165" xr3:uid="{2E2CF688-7CE6-7C42-96A6-C26D1922E6D9}" name="Column7147"/>
    <tableColumn id="7166" xr3:uid="{F08325B5-4AF3-A24B-B949-2490EB7E4210}" name="Column7148"/>
    <tableColumn id="7167" xr3:uid="{46DB8549-7602-9A4C-8DE8-597A4C471E6C}" name="Column7149"/>
    <tableColumn id="7168" xr3:uid="{2095A061-7A07-EE4E-8EC2-953D39DDA7E0}" name="Column7150"/>
    <tableColumn id="7169" xr3:uid="{A81A7DC0-BF7A-5845-88FE-6E2317297BF8}" name="Column7151"/>
    <tableColumn id="7170" xr3:uid="{528CEDFA-B975-224A-9853-A98300404817}" name="Column7152"/>
    <tableColumn id="7171" xr3:uid="{E155C3CE-827C-9F49-B897-AD5E30B2D0C1}" name="Column7153"/>
    <tableColumn id="7172" xr3:uid="{EC3C8541-4E52-7C4F-AE56-337172D4F1F0}" name="Column7154"/>
    <tableColumn id="7173" xr3:uid="{0701CFD9-0E57-384B-AB57-D284B2EE4532}" name="Column7155"/>
    <tableColumn id="7174" xr3:uid="{633928BA-5F18-9748-AD8B-0B06FACDA962}" name="Column7156"/>
    <tableColumn id="7175" xr3:uid="{D65D1789-3351-8A4A-AE28-D254D75F9290}" name="Column7157"/>
    <tableColumn id="7176" xr3:uid="{02E135B2-4434-4E41-BE5D-4ACA7B2C99A2}" name="Column7158"/>
    <tableColumn id="7177" xr3:uid="{3609275A-DDD7-5141-AB31-51B29C0604B6}" name="Column7159"/>
    <tableColumn id="7178" xr3:uid="{2F0202C8-8908-C942-8E98-879ED4F6EC56}" name="Column7160"/>
    <tableColumn id="7179" xr3:uid="{09E593ED-5EB4-6046-A5DB-B58A47E1E11E}" name="Column7161"/>
    <tableColumn id="7180" xr3:uid="{330F0C5B-9A48-C845-879D-9E1636226502}" name="Column7162"/>
    <tableColumn id="7181" xr3:uid="{2C7E77C2-E8A0-4C4F-9555-33B96034F078}" name="Column7163"/>
    <tableColumn id="7182" xr3:uid="{F5266891-03B0-0148-A4CF-2D99CC876D70}" name="Column7164"/>
    <tableColumn id="7183" xr3:uid="{144F8D0D-9470-624B-BC11-610C6C433F24}" name="Column7165"/>
    <tableColumn id="7184" xr3:uid="{3003BD3D-5DDF-EB40-B294-E940041E4C47}" name="Column7166"/>
    <tableColumn id="7185" xr3:uid="{EBC09FC2-4CED-4640-B5C4-D4A9C93ABF1E}" name="Column7167"/>
    <tableColumn id="7186" xr3:uid="{83C46BFD-AC61-3843-8814-64E480D68FD6}" name="Column7168"/>
    <tableColumn id="7187" xr3:uid="{1979D51D-2FC2-D440-BA5E-476DF40A116A}" name="Column7169"/>
    <tableColumn id="7188" xr3:uid="{FB641BA8-7C5D-7B4D-B9EA-9D14C9262790}" name="Column7170"/>
    <tableColumn id="7189" xr3:uid="{5896BC39-721D-9B4C-A923-6FA75EEAE824}" name="Column7171"/>
    <tableColumn id="7190" xr3:uid="{AB6584D8-3F79-4C40-9CB3-F1070E85A81C}" name="Column7172"/>
    <tableColumn id="7191" xr3:uid="{5883E020-F934-3843-A8AE-97ED50EEBC28}" name="Column7173"/>
    <tableColumn id="7192" xr3:uid="{0433FEFE-2FE4-B741-BE06-C5D0162E4953}" name="Column7174"/>
    <tableColumn id="7193" xr3:uid="{72EAA5DC-116E-C142-930A-4CCFFEC003D9}" name="Column7175"/>
    <tableColumn id="7194" xr3:uid="{7F1776D3-60B4-8649-81CA-5D1098A070F0}" name="Column7176"/>
    <tableColumn id="7195" xr3:uid="{5D719A57-B5C6-7A46-BD07-0A29F19D5967}" name="Column7177"/>
    <tableColumn id="7196" xr3:uid="{C46F7CB0-7CBC-F149-B664-AD3C431AA4EA}" name="Column7178"/>
    <tableColumn id="7197" xr3:uid="{FFDFE7C9-F364-D048-8663-3A147D7BF54E}" name="Column7179"/>
    <tableColumn id="7198" xr3:uid="{FA5CAD75-6C80-A148-B792-7B097896A8D0}" name="Column7180"/>
    <tableColumn id="7199" xr3:uid="{529FE242-7406-7D44-8E25-B38BF29E9FE3}" name="Column7181"/>
    <tableColumn id="7200" xr3:uid="{EE063F8F-1006-CD44-BBF0-E929CE2BBA43}" name="Column7182"/>
    <tableColumn id="7201" xr3:uid="{B28A0A95-556B-7B4A-AE4B-D7FB2549A4C9}" name="Column7183"/>
    <tableColumn id="7202" xr3:uid="{5719BEF9-07DE-FC45-B237-6010781994BB}" name="Column7184"/>
    <tableColumn id="7203" xr3:uid="{4E98089E-F6C9-AB41-B4FA-EFE690348D2A}" name="Column7185"/>
    <tableColumn id="7204" xr3:uid="{5C7C8D2F-FE53-EB4A-AD2E-FB9DC7649EDC}" name="Column7186"/>
    <tableColumn id="7205" xr3:uid="{1E22D999-0AFC-2741-8D2A-C579B3C1E8A2}" name="Column7187"/>
    <tableColumn id="7206" xr3:uid="{6559B026-AEFF-9747-BC00-EA8140CB90DF}" name="Column7188"/>
    <tableColumn id="7207" xr3:uid="{CC3019DD-CE99-1D4B-AA4D-99CEAFFD3733}" name="Column7189"/>
    <tableColumn id="7208" xr3:uid="{5BAEF69E-48B6-0A47-8DC8-ADA194B9C412}" name="Column7190"/>
    <tableColumn id="7209" xr3:uid="{D70E8D03-59DE-FC4C-B72C-90557459EFC4}" name="Column7191"/>
    <tableColumn id="7210" xr3:uid="{134698BE-727E-8C4E-B8C3-7A52A6CB5B79}" name="Column7192"/>
    <tableColumn id="7211" xr3:uid="{035D6D97-E964-B242-BB6A-9579D273818B}" name="Column7193"/>
    <tableColumn id="7212" xr3:uid="{AADFFB88-F8F5-3244-AE96-8678F259F2E7}" name="Column7194"/>
    <tableColumn id="7213" xr3:uid="{2D2754FB-59D6-0E4A-9E2F-0F2F1C40496F}" name="Column7195"/>
    <tableColumn id="7214" xr3:uid="{CB45444F-53BA-4D49-BC72-F125C3F37591}" name="Column7196"/>
    <tableColumn id="7215" xr3:uid="{60D382D7-B416-4E40-852E-9EE51FCE7302}" name="Column7197"/>
    <tableColumn id="7216" xr3:uid="{6F9983A1-AE76-044B-A285-B660529817A3}" name="Column7198"/>
    <tableColumn id="7217" xr3:uid="{BBC1880B-4FC0-0443-9A7E-1D82A9DE3974}" name="Column7199"/>
    <tableColumn id="7218" xr3:uid="{1D38DEA8-B134-8C40-89B4-B2270295C521}" name="Column7200"/>
    <tableColumn id="7219" xr3:uid="{BA646974-B963-9149-90A4-D3CC934A483F}" name="Column7201"/>
    <tableColumn id="7220" xr3:uid="{B0D3FD93-7444-A146-A225-1D9584C9D72F}" name="Column7202"/>
    <tableColumn id="7221" xr3:uid="{BEA563C2-7A40-B646-94E9-D1B9067CFE42}" name="Column7203"/>
    <tableColumn id="7222" xr3:uid="{F1A4409D-B3FC-8944-9990-B075846637AD}" name="Column7204"/>
    <tableColumn id="7223" xr3:uid="{5B8D98E0-115E-154C-938A-8B36272856A4}" name="Column7205"/>
    <tableColumn id="7224" xr3:uid="{2E136DF4-075B-A747-BEF9-EF1C57C53451}" name="Column7206"/>
    <tableColumn id="7225" xr3:uid="{7B80CB3F-41EE-E846-8CB8-333C76916313}" name="Column7207"/>
    <tableColumn id="7226" xr3:uid="{C9C638E8-6B06-BB4D-9545-A224114AA52D}" name="Column7208"/>
    <tableColumn id="7227" xr3:uid="{12EC9BB8-3D21-C24A-BA40-D129B97F538C}" name="Column7209"/>
    <tableColumn id="7228" xr3:uid="{26BBEBEE-3CED-B642-B00E-F8E9FDBF058A}" name="Column7210"/>
    <tableColumn id="7229" xr3:uid="{9A521039-6C75-764B-ACF7-86D5D118F870}" name="Column7211"/>
    <tableColumn id="7230" xr3:uid="{6659A90F-702C-9E4B-BB13-B128F2CEEB52}" name="Column7212"/>
    <tableColumn id="7231" xr3:uid="{9E171F17-B994-814B-B4BB-93205AB861DD}" name="Column7213"/>
    <tableColumn id="7232" xr3:uid="{002DDEF7-3399-D841-AD9A-22D477EED82A}" name="Column7214"/>
    <tableColumn id="7233" xr3:uid="{BBDA4E34-AD70-A640-8B52-FB6CB0F4C2A2}" name="Column7215"/>
    <tableColumn id="7234" xr3:uid="{665583EF-A965-8B4A-916A-5C155619D547}" name="Column7216"/>
    <tableColumn id="7235" xr3:uid="{85DFF2E7-5270-E942-94B6-0500ACCBA451}" name="Column7217"/>
    <tableColumn id="7236" xr3:uid="{D3465DCA-0048-5B49-BFC5-247FDE98A412}" name="Column7218"/>
    <tableColumn id="7237" xr3:uid="{11DF6E32-6C24-3241-BF72-37D28ACD1C23}" name="Column7219"/>
    <tableColumn id="7238" xr3:uid="{E947C9CC-716B-4D48-8FB2-534049B2ECC8}" name="Column7220"/>
    <tableColumn id="7239" xr3:uid="{320624D7-AA23-E547-8E0C-9F626A2909B3}" name="Column7221"/>
    <tableColumn id="7240" xr3:uid="{191A9C3B-EAB8-834E-86F2-B61B95FB5FDB}" name="Column7222"/>
    <tableColumn id="7241" xr3:uid="{3DDDB15F-97C2-5642-A9EF-A8D8B205F0D9}" name="Column7223"/>
    <tableColumn id="7242" xr3:uid="{5769790C-61EC-E14F-9ECE-E8850AD17B0A}" name="Column7224"/>
    <tableColumn id="7243" xr3:uid="{69A0380E-74EC-BE4E-AFE0-C55B3C91F807}" name="Column7225"/>
    <tableColumn id="7244" xr3:uid="{4BE9EEA1-F9B3-6D4D-8C4B-EA2328455529}" name="Column7226"/>
    <tableColumn id="7245" xr3:uid="{B4DA4976-3EDF-5641-881B-D0E55F80375D}" name="Column7227"/>
    <tableColumn id="7246" xr3:uid="{F51F8D69-D886-AE4D-AC93-A69A81E2A23B}" name="Column7228"/>
    <tableColumn id="7247" xr3:uid="{28A02354-2FB6-494C-B167-4478190D212F}" name="Column7229"/>
    <tableColumn id="7248" xr3:uid="{E9D4BF2C-D91B-C84C-915F-6B1AB1B62E77}" name="Column7230"/>
    <tableColumn id="7249" xr3:uid="{B804CF96-B2CB-7048-AD65-04536ACE7C5E}" name="Column7231"/>
    <tableColumn id="7250" xr3:uid="{D13F4692-10EC-1746-9999-3D260F78073B}" name="Column7232"/>
    <tableColumn id="7251" xr3:uid="{53992AF2-AABA-4B42-A64D-5C40D3466479}" name="Column7233"/>
    <tableColumn id="7252" xr3:uid="{B805AFC7-FE64-C54A-A278-4DB984F5970C}" name="Column7234"/>
    <tableColumn id="7253" xr3:uid="{F7B1265D-A572-BE46-80B3-AFA63611F410}" name="Column7235"/>
    <tableColumn id="7254" xr3:uid="{1CE83F22-717D-2E42-8AAA-974E5751E433}" name="Column7236"/>
    <tableColumn id="7255" xr3:uid="{02CCF11D-B215-3445-94BD-41F7AD54EE83}" name="Column7237"/>
    <tableColumn id="7256" xr3:uid="{106259D3-760A-4A44-BFF3-2F8534F93357}" name="Column7238"/>
    <tableColumn id="7257" xr3:uid="{AF36B290-A200-6E48-A3CD-AEDD27402DAE}" name="Column7239"/>
    <tableColumn id="7258" xr3:uid="{0927D82C-AC47-8744-AAC4-AEFDD2E9F8B3}" name="Column7240"/>
    <tableColumn id="7259" xr3:uid="{A4D9B23B-B567-CA4B-A4AD-52F1352C6673}" name="Column7241"/>
    <tableColumn id="7260" xr3:uid="{BF41BE52-4095-984C-A3C0-56A5B1F40550}" name="Column7242"/>
    <tableColumn id="7261" xr3:uid="{A4CBCD4F-DAA6-3A4A-813C-621BBC9F7B38}" name="Column7243"/>
    <tableColumn id="7262" xr3:uid="{13998365-E9D1-0A4A-9FA2-EA5596EEC3CE}" name="Column7244"/>
    <tableColumn id="7263" xr3:uid="{C7D014BF-8C64-234E-9E97-3F595967CA6D}" name="Column7245"/>
    <tableColumn id="7264" xr3:uid="{24DF1DAE-DEF2-414C-BA4E-6E30FDC2F913}" name="Column7246"/>
    <tableColumn id="7265" xr3:uid="{EFA770AC-0047-8A45-B0EE-53EAAE00C6FB}" name="Column7247"/>
    <tableColumn id="7266" xr3:uid="{37CF0E64-1760-424C-ACF1-91F03BBDD74E}" name="Column7248"/>
    <tableColumn id="7267" xr3:uid="{6239C801-603F-4945-B7F0-275842A8513D}" name="Column7249"/>
    <tableColumn id="7268" xr3:uid="{F6D5A7AC-054A-6943-A738-D6D81BBE75BB}" name="Column7250"/>
    <tableColumn id="7269" xr3:uid="{75CB3185-2CF2-9B42-B3EC-EB84B3F76E16}" name="Column7251"/>
    <tableColumn id="7270" xr3:uid="{EB270817-F8FF-B84C-867C-46AD17D81836}" name="Column7252"/>
    <tableColumn id="7271" xr3:uid="{A8FD3A81-D035-4244-A4A0-82C4E1F4B1F6}" name="Column7253"/>
    <tableColumn id="7272" xr3:uid="{4F3D3502-7E16-F14D-B1D7-A07DC0859582}" name="Column7254"/>
    <tableColumn id="7273" xr3:uid="{07E969A2-5DEE-EA4B-BF96-3A6C9644107B}" name="Column7255"/>
    <tableColumn id="7274" xr3:uid="{13DE3D4D-DC07-BF4B-932C-679BE1218004}" name="Column7256"/>
    <tableColumn id="7275" xr3:uid="{72D1AA23-A0FF-0D4E-B9AE-B1125FCFA24F}" name="Column7257"/>
    <tableColumn id="7276" xr3:uid="{A41F5CC4-2E16-9E4E-A548-AAE54493F6FD}" name="Column7258"/>
    <tableColumn id="7277" xr3:uid="{03585A76-AF62-8B49-AD03-7D9C735DC862}" name="Column7259"/>
    <tableColumn id="7278" xr3:uid="{1C7A5577-F7CE-B245-B383-FB71C465C559}" name="Column7260"/>
    <tableColumn id="7279" xr3:uid="{3769DC97-768B-CE4C-8D93-4432F4B54F42}" name="Column7261"/>
    <tableColumn id="7280" xr3:uid="{F1B8E668-A501-3B47-98C1-EC228421E82F}" name="Column7262"/>
    <tableColumn id="7281" xr3:uid="{B37D9E0D-AC13-244B-8558-5951B338CDF4}" name="Column7263"/>
    <tableColumn id="7282" xr3:uid="{4A039F80-8B78-E24E-B5B2-26776C842CF6}" name="Column7264"/>
    <tableColumn id="7283" xr3:uid="{19525565-6E67-4849-8B39-58929DEB3AF6}" name="Column7265"/>
    <tableColumn id="7284" xr3:uid="{58ADA263-6A69-DC49-B2C3-170B0A3E7277}" name="Column7266"/>
    <tableColumn id="7285" xr3:uid="{C7167538-5BEB-FC45-8A7C-777AFC3617E8}" name="Column7267"/>
    <tableColumn id="7286" xr3:uid="{86C58883-FD04-9E46-AC99-BF33347FC4E7}" name="Column7268"/>
    <tableColumn id="7287" xr3:uid="{C0BD4DCA-EB90-654E-BB46-9D3DFB327936}" name="Column7269"/>
    <tableColumn id="7288" xr3:uid="{116654C5-7C47-B34E-A97E-86598AF0730E}" name="Column7270"/>
    <tableColumn id="7289" xr3:uid="{221749CD-A012-D44A-A3C6-6F9CDB1C0CA6}" name="Column7271"/>
    <tableColumn id="7290" xr3:uid="{ED06A9CA-793E-0246-9F63-C0392F919A6E}" name="Column7272"/>
    <tableColumn id="7291" xr3:uid="{A1CB7BEC-DB95-124E-85A7-FD00D23F2665}" name="Column7273"/>
    <tableColumn id="7292" xr3:uid="{C5253E62-0E19-E942-A95F-855B0BEEBE8E}" name="Column7274"/>
    <tableColumn id="7293" xr3:uid="{3A334D98-A9AA-D24C-8852-1FCB26D1B879}" name="Column7275"/>
    <tableColumn id="7294" xr3:uid="{196690A9-2518-834D-B5DA-6EFF47901E9B}" name="Column7276"/>
    <tableColumn id="7295" xr3:uid="{03FCDDD6-B815-3948-A849-494F97A33FB4}" name="Column7277"/>
    <tableColumn id="7296" xr3:uid="{4D24FFC6-A3BC-284B-BA81-3AB4E04997BE}" name="Column7278"/>
    <tableColumn id="7297" xr3:uid="{F62CB945-C669-7B40-BF4D-1BF5E5FFF20F}" name="Column7279"/>
    <tableColumn id="7298" xr3:uid="{3F0E2E0C-BAD3-7747-8AAD-1E4A4E293631}" name="Column7280"/>
    <tableColumn id="7299" xr3:uid="{ABB34EE2-1162-384F-A407-4852929BA038}" name="Column7281"/>
    <tableColumn id="7300" xr3:uid="{0B40CDCE-429A-CD46-BE83-8BB659DA7D19}" name="Column7282"/>
    <tableColumn id="7301" xr3:uid="{C1469912-5520-544B-8685-DC5B2E492508}" name="Column7283"/>
    <tableColumn id="7302" xr3:uid="{EADF82B1-E82B-B349-911F-156F663BCFA3}" name="Column7284"/>
    <tableColumn id="7303" xr3:uid="{669E95E4-01BF-074F-A75E-4E8423926175}" name="Column7285"/>
    <tableColumn id="7304" xr3:uid="{36B1DC74-1B4F-BD41-A98F-AF5B02ECC9FF}" name="Column7286"/>
    <tableColumn id="7305" xr3:uid="{CE752E4D-81FC-984F-9BF6-C4308346B9D3}" name="Column7287"/>
    <tableColumn id="7306" xr3:uid="{252CD87E-8A0B-9A4C-BE0D-2A6A269465D6}" name="Column7288"/>
    <tableColumn id="7307" xr3:uid="{09FCD6A9-72A8-8F42-A192-FE4A97E18FCA}" name="Column7289"/>
    <tableColumn id="7308" xr3:uid="{42F5D359-6E7D-324A-8D72-78AB6CB8F013}" name="Column7290"/>
    <tableColumn id="7309" xr3:uid="{F658749F-FE48-6C4C-B235-3DEE309DFBB8}" name="Column7291"/>
    <tableColumn id="7310" xr3:uid="{BAF64F0F-2DB9-3142-BFA3-ABFDE93FACFA}" name="Column7292"/>
    <tableColumn id="7311" xr3:uid="{373B6708-1796-0448-A66D-4EF34DE38B20}" name="Column7293"/>
    <tableColumn id="7312" xr3:uid="{68165FD5-2A8D-AD4B-811D-26F7E300559C}" name="Column7294"/>
    <tableColumn id="7313" xr3:uid="{FC9D4789-3ED5-EA45-B979-93A9EEB12ACB}" name="Column7295"/>
    <tableColumn id="7314" xr3:uid="{F4FD1A42-6263-794D-870E-300C2316F25C}" name="Column7296"/>
    <tableColumn id="7315" xr3:uid="{56B821A5-4342-9C41-BE8F-4A0100122E9F}" name="Column7297"/>
    <tableColumn id="7316" xr3:uid="{B10976FB-B4B7-AD49-8805-75FC8808EE7C}" name="Column7298"/>
    <tableColumn id="7317" xr3:uid="{D05F3475-4F6B-C74A-8F1E-ADB126868BC2}" name="Column7299"/>
    <tableColumn id="7318" xr3:uid="{77AF2D78-CF2D-924B-881C-EADF64245CDC}" name="Column7300"/>
    <tableColumn id="7319" xr3:uid="{2A02833F-0CC0-9C45-9BFB-13426AD418FB}" name="Column7301"/>
    <tableColumn id="7320" xr3:uid="{9E6E96C2-7247-E14F-A78D-694A3CA040FD}" name="Column7302"/>
    <tableColumn id="7321" xr3:uid="{7EBEE77E-8230-F641-8F20-7DFAB56F6639}" name="Column7303"/>
    <tableColumn id="7322" xr3:uid="{2C7BB26B-BDD8-2F44-B646-464AAC76258B}" name="Column7304"/>
    <tableColumn id="7323" xr3:uid="{79DC512A-0114-DE4A-B0D7-F67871CB3DB3}" name="Column7305"/>
    <tableColumn id="7324" xr3:uid="{DABA8F15-6651-E041-A4A4-8E8467F7A634}" name="Column7306"/>
    <tableColumn id="7325" xr3:uid="{D0C81712-AE97-DD49-9CE8-F04A8D5A94A0}" name="Column7307"/>
    <tableColumn id="7326" xr3:uid="{9F11D56B-4059-754D-8343-43EA9091EC23}" name="Column7308"/>
    <tableColumn id="7327" xr3:uid="{3587C05C-8A31-124A-B018-8D71D0E2C3E5}" name="Column7309"/>
    <tableColumn id="7328" xr3:uid="{185B284C-F930-6E4F-A897-F495CDCE5A18}" name="Column7310"/>
    <tableColumn id="7329" xr3:uid="{FC66E64E-44C3-F046-9055-F63137DEA32F}" name="Column7311"/>
    <tableColumn id="7330" xr3:uid="{3675F2A5-FAB2-2C48-8CD7-BB40E4236A66}" name="Column7312"/>
    <tableColumn id="7331" xr3:uid="{A059A44F-2A22-FD41-B9C2-7D29DDE64599}" name="Column7313"/>
    <tableColumn id="7332" xr3:uid="{BD67C182-CE25-6545-BB10-BD4B81DF0C72}" name="Column7314"/>
    <tableColumn id="7333" xr3:uid="{F7E5DFA0-2C20-5C4F-AAD6-79D37E55CAB7}" name="Column7315"/>
    <tableColumn id="7334" xr3:uid="{E425BAD1-E022-BE4D-8C15-C458A09318EF}" name="Column7316"/>
    <tableColumn id="7335" xr3:uid="{697F71A9-6746-9E4D-AE6D-4C5DE6768646}" name="Column7317"/>
    <tableColumn id="7336" xr3:uid="{77A6E168-15B8-9C4A-B976-18D9DE7BE7D2}" name="Column7318"/>
    <tableColumn id="7337" xr3:uid="{B17AD5D1-A832-1C45-BB8C-ED14B3A489A1}" name="Column7319"/>
    <tableColumn id="7338" xr3:uid="{4D24E98B-DB4C-3E43-80C7-3987B7F90F4C}" name="Column7320"/>
    <tableColumn id="7339" xr3:uid="{B4BD0ECC-FB1E-4A4A-A7B5-151F4AC9322F}" name="Column7321"/>
    <tableColumn id="7340" xr3:uid="{94595FA6-83BE-A14B-9393-D02BC15D3979}" name="Column7322"/>
    <tableColumn id="7341" xr3:uid="{B7499AFC-37C9-FD48-B251-8CEFBC29B29B}" name="Column7323"/>
    <tableColumn id="7342" xr3:uid="{70ABDA24-093C-9247-9C25-1E3584776D15}" name="Column7324"/>
    <tableColumn id="7343" xr3:uid="{C3FAC0D3-2F06-7D4A-84EE-055BEC4BFC71}" name="Column7325"/>
    <tableColumn id="7344" xr3:uid="{551C0EC0-4D3D-9D4F-A7B0-694FD3175E9D}" name="Column7326"/>
    <tableColumn id="7345" xr3:uid="{99C7BB55-C5C2-EF44-9141-BAE3E588CDD7}" name="Column7327"/>
    <tableColumn id="7346" xr3:uid="{CA41277B-26E6-DD42-AFAD-238835639134}" name="Column7328"/>
    <tableColumn id="7347" xr3:uid="{141863E5-F449-D148-92BB-3D2166CBE0C8}" name="Column7329"/>
    <tableColumn id="7348" xr3:uid="{C479296C-495C-2840-9B29-B10DDB89F66C}" name="Column7330"/>
    <tableColumn id="7349" xr3:uid="{A00BE00F-1D86-CC41-A7A2-46533311D89F}" name="Column7331"/>
    <tableColumn id="7350" xr3:uid="{93090FEF-8EBC-CD45-885C-12FE1C642384}" name="Column7332"/>
    <tableColumn id="7351" xr3:uid="{A2386E6B-6143-9049-AD2B-CE0A0E9005C3}" name="Column7333"/>
    <tableColumn id="7352" xr3:uid="{31FE0B02-ECAB-2645-A612-EA47A4198243}" name="Column7334"/>
    <tableColumn id="7353" xr3:uid="{476207E8-8DC0-B648-9209-934D7EDAD6A9}" name="Column7335"/>
    <tableColumn id="7354" xr3:uid="{FED4FCFE-54F6-7E40-8FC9-81D8BCA02571}" name="Column7336"/>
    <tableColumn id="7355" xr3:uid="{65233CA6-2608-4044-87F8-0D6C8CBCA682}" name="Column7337"/>
    <tableColumn id="7356" xr3:uid="{FC190224-FDEB-9C49-8CB6-49880E30F9D1}" name="Column7338"/>
    <tableColumn id="7357" xr3:uid="{E2389083-7664-394F-8E07-BCB5AE481301}" name="Column7339"/>
    <tableColumn id="7358" xr3:uid="{47A820A9-FFF4-2045-80E6-D4E812E9F094}" name="Column7340"/>
    <tableColumn id="7359" xr3:uid="{D879BF44-DD5D-A446-A7FE-3633D171F70C}" name="Column7341"/>
    <tableColumn id="7360" xr3:uid="{C3581696-5E65-3846-9B8D-8E0E18502AE1}" name="Column7342"/>
    <tableColumn id="7361" xr3:uid="{75030592-B384-314B-AEC9-D36AEC19EEFF}" name="Column7343"/>
    <tableColumn id="7362" xr3:uid="{8F9AA4E4-6BEF-F14F-B376-CB56C58D7789}" name="Column7344"/>
    <tableColumn id="7363" xr3:uid="{0692D8B3-B7EE-0D41-A0F6-E8A3577B8701}" name="Column7345"/>
    <tableColumn id="7364" xr3:uid="{9F107451-BE6E-FA4A-AD23-4EF33B79306B}" name="Column7346"/>
    <tableColumn id="7365" xr3:uid="{6E9895EE-158E-6945-B4D2-5BA9A7F01DF7}" name="Column7347"/>
    <tableColumn id="7366" xr3:uid="{443B2D82-4461-944E-807E-7A0418B44A89}" name="Column7348"/>
    <tableColumn id="7367" xr3:uid="{ABC4A702-CF6F-AB4F-A963-4FCA43D1CB6D}" name="Column7349"/>
    <tableColumn id="7368" xr3:uid="{48E8BDC3-835D-374C-931E-25FC2C3CC8D0}" name="Column7350"/>
    <tableColumn id="7369" xr3:uid="{43BCB8D5-C4E3-5A4D-9D7D-C0FFC3F5FB6B}" name="Column7351"/>
    <tableColumn id="7370" xr3:uid="{404C8E98-DC64-EE48-B217-67C75CE3DD84}" name="Column7352"/>
    <tableColumn id="7371" xr3:uid="{6623E04D-F405-0344-A994-7133AE8F4DB0}" name="Column7353"/>
    <tableColumn id="7372" xr3:uid="{2F43027E-D33A-1D4B-A778-5A1A05B7B216}" name="Column7354"/>
    <tableColumn id="7373" xr3:uid="{96A732ED-FF4E-F843-B52C-E6D3105875F3}" name="Column7355"/>
    <tableColumn id="7374" xr3:uid="{BC6751F7-6A66-9541-8808-D7A8DD7A45D2}" name="Column7356"/>
    <tableColumn id="7375" xr3:uid="{95A54C07-5F4C-D346-B2D4-3B28410AF408}" name="Column7357"/>
    <tableColumn id="7376" xr3:uid="{323FEE8F-F23A-7540-94CF-F919E5594B8D}" name="Column7358"/>
    <tableColumn id="7377" xr3:uid="{561650FC-EE7E-B744-8E46-428D99CC9B79}" name="Column7359"/>
    <tableColumn id="7378" xr3:uid="{A4459356-277D-BE4A-9AE9-43F3A9022831}" name="Column7360"/>
    <tableColumn id="7379" xr3:uid="{42D6E0BA-987A-3440-AE37-660CB5B363CC}" name="Column7361"/>
    <tableColumn id="7380" xr3:uid="{4BC34CBF-5E03-4B4B-A47C-299B31AD7071}" name="Column7362"/>
    <tableColumn id="7381" xr3:uid="{05EE8965-2DA1-BE4A-8083-6D280628A130}" name="Column7363"/>
    <tableColumn id="7382" xr3:uid="{0C3F4F88-E9B3-AE4A-87F1-54D487157E44}" name="Column7364"/>
    <tableColumn id="7383" xr3:uid="{2BBA6CF9-023B-C14D-9F66-E01BFAD9E48B}" name="Column7365"/>
    <tableColumn id="7384" xr3:uid="{500B072C-0C2E-BD4B-99D9-0853E53C15E5}" name="Column7366"/>
    <tableColumn id="7385" xr3:uid="{2108F49B-37BE-B748-94A7-C28D4E717420}" name="Column7367"/>
    <tableColumn id="7386" xr3:uid="{6640C3CB-D344-0542-9931-518EC1CD289F}" name="Column7368"/>
    <tableColumn id="7387" xr3:uid="{83F54E47-8732-6F49-98B1-13E59A270CFE}" name="Column7369"/>
    <tableColumn id="7388" xr3:uid="{D032786D-0CDE-8644-BEE4-7E899C4D4CCF}" name="Column7370"/>
    <tableColumn id="7389" xr3:uid="{8A66E990-73E0-EF4A-986A-7DDD84B23F97}" name="Column7371"/>
    <tableColumn id="7390" xr3:uid="{ECC3D7D2-5778-E149-9A78-438401A7CFDC}" name="Column7372"/>
    <tableColumn id="7391" xr3:uid="{8C51B80E-E052-BA43-8851-A47DD0B7829C}" name="Column7373"/>
    <tableColumn id="7392" xr3:uid="{F0B151C4-0C4C-CE4A-AF67-468AEA5AB07D}" name="Column7374"/>
    <tableColumn id="7393" xr3:uid="{26DCC69A-8EAA-D943-A106-17C89F6A08DB}" name="Column7375"/>
    <tableColumn id="7394" xr3:uid="{DDAADFD4-233B-0B45-98F7-150E47252656}" name="Column7376"/>
    <tableColumn id="7395" xr3:uid="{705C7A0C-3DBB-B540-A033-597B7AA82A1E}" name="Column7377"/>
    <tableColumn id="7396" xr3:uid="{ABCFA2F1-B15D-D14D-84F2-AAD23336B977}" name="Column7378"/>
    <tableColumn id="7397" xr3:uid="{640AAA7B-3E41-9C43-B0D3-504F17BC0048}" name="Column7379"/>
    <tableColumn id="7398" xr3:uid="{42E23EE7-129D-C847-AFE6-20D8573B42BD}" name="Column7380"/>
    <tableColumn id="7399" xr3:uid="{F59E1D29-D330-8243-9F66-0BF1B7DEAB21}" name="Column7381"/>
    <tableColumn id="7400" xr3:uid="{7D9F32C5-1C74-1748-8898-A192BE86679E}" name="Column7382"/>
    <tableColumn id="7401" xr3:uid="{C4C86C5B-BEEE-3E4C-BD8F-04731EA09117}" name="Column7383"/>
    <tableColumn id="7402" xr3:uid="{C89E0891-9113-F645-BB69-333B78899E95}" name="Column7384"/>
    <tableColumn id="7403" xr3:uid="{B67C3A3A-101F-7C4D-A073-E2C0D2110D84}" name="Column7385"/>
    <tableColumn id="7404" xr3:uid="{2AA30E4B-49E5-FA4A-AE0D-BE3421489BC2}" name="Column7386"/>
    <tableColumn id="7405" xr3:uid="{3F2F8DDB-B171-3541-BDFF-856EC2CD4B59}" name="Column7387"/>
    <tableColumn id="7406" xr3:uid="{83F34258-9093-DF47-B55D-61CEAA04CE31}" name="Column7388"/>
    <tableColumn id="7407" xr3:uid="{71DCC600-97B0-AA43-9CC3-FD168364EE44}" name="Column7389"/>
    <tableColumn id="7408" xr3:uid="{BC539329-F951-EA43-853C-D9D57087D649}" name="Column7390"/>
    <tableColumn id="7409" xr3:uid="{3D3A3CAD-06AF-014C-9F8C-4F316DC5BAD3}" name="Column7391"/>
    <tableColumn id="7410" xr3:uid="{C8163E1C-DA8C-3D43-B0ED-6912E187853F}" name="Column7392"/>
    <tableColumn id="7411" xr3:uid="{F73AEECF-CD85-2A49-960F-21E3737672A6}" name="Column7393"/>
    <tableColumn id="7412" xr3:uid="{9297B0E2-016C-3E48-BC62-08DFA4D03728}" name="Column7394"/>
    <tableColumn id="7413" xr3:uid="{D08FD521-BE1A-FB48-A78C-DB6C27C3E92F}" name="Column7395"/>
    <tableColumn id="7414" xr3:uid="{2D7F4889-D39C-DF44-A874-8035D86DD83B}" name="Column7396"/>
    <tableColumn id="7415" xr3:uid="{EEC290C3-73D0-604D-8A30-58012BADEFF5}" name="Column7397"/>
    <tableColumn id="7416" xr3:uid="{2CD5FBF5-257F-A649-8EFD-A728B1FA89B2}" name="Column7398"/>
    <tableColumn id="7417" xr3:uid="{FEF263DA-605D-5941-9A6A-99EFB3F1BF62}" name="Column7399"/>
    <tableColumn id="7418" xr3:uid="{2A54DE33-1241-9E43-BAD7-1FF6AF39A4AF}" name="Column7400"/>
    <tableColumn id="7419" xr3:uid="{0D9515C2-37DE-5F47-9AB6-2855814E7CF9}" name="Column7401"/>
    <tableColumn id="7420" xr3:uid="{F7A08CCA-9BA7-4248-ADF7-8EF4F81766B4}" name="Column7402"/>
    <tableColumn id="7421" xr3:uid="{4E672460-DE06-404A-8815-C8FA1D6E87DC}" name="Column7403"/>
    <tableColumn id="7422" xr3:uid="{A0CB7DD3-BAB0-604F-A136-28A73DE1E155}" name="Column7404"/>
    <tableColumn id="7423" xr3:uid="{3C992180-9DD6-6946-8DA8-7D65623C35AC}" name="Column7405"/>
    <tableColumn id="7424" xr3:uid="{8DE307F4-D8FC-474F-BA61-2467F2CD55E4}" name="Column7406"/>
    <tableColumn id="7425" xr3:uid="{549BA200-2C8E-3449-BA33-B60C4E75C7E7}" name="Column7407"/>
    <tableColumn id="7426" xr3:uid="{30B63260-6464-E045-8BFC-ABA143168738}" name="Column7408"/>
    <tableColumn id="7427" xr3:uid="{AF845642-2360-5349-BD69-3D2E191BC27B}" name="Column7409"/>
    <tableColumn id="7428" xr3:uid="{7399195C-7D50-4B4E-9E8A-77082835998C}" name="Column7410"/>
    <tableColumn id="7429" xr3:uid="{C89EA44F-B2BD-6146-8565-51F16ADFF31D}" name="Column7411"/>
    <tableColumn id="7430" xr3:uid="{2C82A661-2E76-DE48-8767-FE9903D75AEF}" name="Column7412"/>
    <tableColumn id="7431" xr3:uid="{F0272180-56A9-8D4E-B1FF-A82F41E8960A}" name="Column7413"/>
    <tableColumn id="7432" xr3:uid="{0B0D8202-1640-4644-AE03-AB8628EB47D6}" name="Column7414"/>
    <tableColumn id="7433" xr3:uid="{4992896B-30BB-7241-A23D-EC512887EBC3}" name="Column7415"/>
    <tableColumn id="7434" xr3:uid="{E580A5AE-3863-F44D-9B92-D6E5011539B8}" name="Column7416"/>
    <tableColumn id="7435" xr3:uid="{A51A67C5-94DF-6F43-A252-DA884164BFE3}" name="Column7417"/>
    <tableColumn id="7436" xr3:uid="{B6E86729-310C-3C41-916C-36A6EF339E0E}" name="Column7418"/>
    <tableColumn id="7437" xr3:uid="{6B032D28-B9A5-6E4C-80BC-5ADAB0A32F85}" name="Column7419"/>
    <tableColumn id="7438" xr3:uid="{D3C7D7D8-3638-354A-95C8-78EAD8C53EE1}" name="Column7420"/>
    <tableColumn id="7439" xr3:uid="{3ACA8796-ECFB-FE4E-9D07-385E0203E465}" name="Column7421"/>
    <tableColumn id="7440" xr3:uid="{E6E240AB-1C32-3C45-BA84-8FD47DC6408B}" name="Column7422"/>
    <tableColumn id="7441" xr3:uid="{F5D47BE1-8C77-1C41-8800-9B742FF1366A}" name="Column7423"/>
    <tableColumn id="7442" xr3:uid="{EE789299-3129-5943-A8F7-EBF4B5542468}" name="Column7424"/>
    <tableColumn id="7443" xr3:uid="{11C54202-2FAA-8546-A066-9F7453F4D5FB}" name="Column7425"/>
    <tableColumn id="7444" xr3:uid="{18D5360E-8739-F24A-9CBE-A322C6F1533C}" name="Column7426"/>
    <tableColumn id="7445" xr3:uid="{974A5642-2D21-9B4A-8764-965C9F783331}" name="Column7427"/>
    <tableColumn id="7446" xr3:uid="{25A23BB8-1ACC-AD4A-B2AC-A2ACEF5BF684}" name="Column7428"/>
    <tableColumn id="7447" xr3:uid="{E7958697-0444-D848-BFDF-9D4D90AB5971}" name="Column7429"/>
    <tableColumn id="7448" xr3:uid="{31583A83-0FF0-CE4D-85C8-FE57B8EBAE6F}" name="Column7430"/>
    <tableColumn id="7449" xr3:uid="{DC3CA7EB-9512-2949-A3CE-E5D48D3BC461}" name="Column7431"/>
    <tableColumn id="7450" xr3:uid="{4DD87D45-2B70-7345-ABD1-D3A76CEFBAB2}" name="Column7432"/>
    <tableColumn id="7451" xr3:uid="{0DC00302-875B-7446-BF62-436F42E4C1AD}" name="Column7433"/>
    <tableColumn id="7452" xr3:uid="{D7569BFB-E267-444B-9A78-AD1A0F36C6D6}" name="Column7434"/>
    <tableColumn id="7453" xr3:uid="{856DDE2C-08AB-F541-B219-D7C493772196}" name="Column7435"/>
    <tableColumn id="7454" xr3:uid="{1BC37391-83B1-C84C-8C3C-BBF80C0751F1}" name="Column7436"/>
    <tableColumn id="7455" xr3:uid="{AA42061C-6DD2-6E4C-8675-3F0007E2947A}" name="Column7437"/>
    <tableColumn id="7456" xr3:uid="{8566792F-F207-C745-B2B2-547D516C3862}" name="Column7438"/>
    <tableColumn id="7457" xr3:uid="{8D4532B1-1EF7-B64D-A162-9C8A7C0989BA}" name="Column7439"/>
    <tableColumn id="7458" xr3:uid="{993F7FF8-6078-1942-9512-7EF7AD59969E}" name="Column7440"/>
    <tableColumn id="7459" xr3:uid="{2F5A53F9-6540-C948-B4BF-0C40560A2C32}" name="Column7441"/>
    <tableColumn id="7460" xr3:uid="{FF852DA4-405A-854A-BFDB-8D17E0D28C83}" name="Column7442"/>
    <tableColumn id="7461" xr3:uid="{328E8E96-CC09-8A4E-96B4-D09725761E15}" name="Column7443"/>
    <tableColumn id="7462" xr3:uid="{32F8A057-729B-5749-A8B7-10574BA57E4D}" name="Column7444"/>
    <tableColumn id="7463" xr3:uid="{5D9695DD-0847-0548-9789-15479329E2E2}" name="Column7445"/>
    <tableColumn id="7464" xr3:uid="{DCE13D10-C35B-B649-8AB2-E1BCCE74BDE7}" name="Column7446"/>
    <tableColumn id="7465" xr3:uid="{9DD160E4-BD04-1545-B2E0-008617E735F0}" name="Column7447"/>
    <tableColumn id="7466" xr3:uid="{AF1C50F4-A8E0-2147-9F4D-254578A4119D}" name="Column7448"/>
    <tableColumn id="7467" xr3:uid="{23EF0C3C-BFB7-8546-A417-96F453500B67}" name="Column7449"/>
    <tableColumn id="7468" xr3:uid="{13980236-B44F-4B42-A9EE-41FEA84A3252}" name="Column7450"/>
    <tableColumn id="7469" xr3:uid="{2D451A3D-024B-0347-B9A8-DEDA1533C6B5}" name="Column7451"/>
    <tableColumn id="7470" xr3:uid="{1E1643C3-43AD-8342-85E4-ED03232D5E3E}" name="Column7452"/>
    <tableColumn id="7471" xr3:uid="{7F20A007-17D2-054F-A4E7-C81DEF4D477F}" name="Column7453"/>
    <tableColumn id="7472" xr3:uid="{5BBBF7A1-39E3-9D4B-89BA-5254D7822681}" name="Column7454"/>
    <tableColumn id="7473" xr3:uid="{7B6ABA55-1D05-E640-A10B-D3745469EF20}" name="Column7455"/>
    <tableColumn id="7474" xr3:uid="{A1640320-C3B3-E64D-A714-1EB69A6D3782}" name="Column7456"/>
    <tableColumn id="7475" xr3:uid="{2AF7B669-9C10-1646-8BD1-F34144886E04}" name="Column7457"/>
    <tableColumn id="7476" xr3:uid="{297059DF-8788-0E49-BE35-A448E15730C1}" name="Column7458"/>
    <tableColumn id="7477" xr3:uid="{68B029A9-1B27-B245-944B-F5A87EEB54B8}" name="Column7459"/>
    <tableColumn id="7478" xr3:uid="{24E96209-6B54-B04F-81A0-A3D9E876BDF1}" name="Column7460"/>
    <tableColumn id="7479" xr3:uid="{D71FCCAC-820C-B948-A285-CA954D678100}" name="Column7461"/>
    <tableColumn id="7480" xr3:uid="{1DAC8435-CAFC-7C45-8E9B-1E8489433F68}" name="Column7462"/>
    <tableColumn id="7481" xr3:uid="{E808FE6C-E3DC-534A-BF17-8F50463EEE9B}" name="Column7463"/>
    <tableColumn id="7482" xr3:uid="{092F723E-004A-8841-8DE1-BA754BD24AC7}" name="Column7464"/>
    <tableColumn id="7483" xr3:uid="{8C1E50E4-1B6B-9C45-A9C5-572595673C4C}" name="Column7465"/>
    <tableColumn id="7484" xr3:uid="{421C887E-2409-0341-833E-16C3BD08A670}" name="Column7466"/>
    <tableColumn id="7485" xr3:uid="{18F5F55E-7E95-CD4F-A339-E7CC8CB1D369}" name="Column7467"/>
    <tableColumn id="7486" xr3:uid="{DE7F566D-F555-484A-A5C1-FD48A543841F}" name="Column7468"/>
    <tableColumn id="7487" xr3:uid="{080D3C0C-1728-6B49-AF05-FC236160CC73}" name="Column7469"/>
    <tableColumn id="7488" xr3:uid="{7874E212-0297-814F-AB24-75FD83C9C380}" name="Column7470"/>
    <tableColumn id="7489" xr3:uid="{1530F649-DEAE-7748-934F-3DF7AF78F577}" name="Column7471"/>
    <tableColumn id="7490" xr3:uid="{3117E323-1DA4-FB43-B320-77155470DF26}" name="Column7472"/>
    <tableColumn id="7491" xr3:uid="{049B3050-E74E-914E-B7F6-BE303789BD10}" name="Column7473"/>
    <tableColumn id="7492" xr3:uid="{114E3EA4-42B4-EF48-88C4-2108F1364018}" name="Column7474"/>
    <tableColumn id="7493" xr3:uid="{4399CCC4-184B-0248-946F-CCF635867052}" name="Column7475"/>
    <tableColumn id="7494" xr3:uid="{9B53D7FC-52DC-824C-AE09-DFA0BBF91830}" name="Column7476"/>
    <tableColumn id="7495" xr3:uid="{28A27BB0-214C-1143-8A89-A5E004B719D6}" name="Column7477"/>
    <tableColumn id="7496" xr3:uid="{A7E1F206-2DBA-1D44-9D99-0655B1E1F331}" name="Column7478"/>
    <tableColumn id="7497" xr3:uid="{9ED5BFAC-8A46-0B42-9167-3A0D263D76CD}" name="Column7479"/>
    <tableColumn id="7498" xr3:uid="{6FFC6439-421E-CB42-B47F-DDB1BF7DE9DF}" name="Column7480"/>
    <tableColumn id="7499" xr3:uid="{17A22CF7-7E11-B047-B476-835F2612BB0D}" name="Column7481"/>
    <tableColumn id="7500" xr3:uid="{20314721-30E3-4E4B-9402-EA8630ABE540}" name="Column7482"/>
    <tableColumn id="7501" xr3:uid="{68FCFBD4-5F53-3044-AF75-3D1D72385267}" name="Column7483"/>
    <tableColumn id="7502" xr3:uid="{B0F5E16B-3861-F54A-9737-A97D5ED98C30}" name="Column7484"/>
    <tableColumn id="7503" xr3:uid="{CDAB71DC-9D61-114B-AB3D-F9ACB008588C}" name="Column7485"/>
    <tableColumn id="7504" xr3:uid="{814AF14E-CC32-254E-BFE8-CFA933CF2173}" name="Column7486"/>
    <tableColumn id="7505" xr3:uid="{36A8E7E8-EBBB-CD41-9CAC-CDF1C7E5A159}" name="Column7487"/>
    <tableColumn id="7506" xr3:uid="{BD57D863-BF2A-5C45-A4F0-9720AA4AC13E}" name="Column7488"/>
    <tableColumn id="7507" xr3:uid="{1FE3FC3D-1C77-1F43-B4B3-6A6A2226B208}" name="Column7489"/>
    <tableColumn id="7508" xr3:uid="{680DA5A5-4531-4C46-99EC-CE0412BAFD10}" name="Column7490"/>
    <tableColumn id="7509" xr3:uid="{DACCD643-D7A8-C348-AFA2-907371990177}" name="Column7491"/>
    <tableColumn id="7510" xr3:uid="{2F1FD939-0C8C-454D-9048-5710FB2C67FD}" name="Column7492"/>
    <tableColumn id="7511" xr3:uid="{33F80540-BF37-044F-9F8E-C2CB1DD69C0C}" name="Column7493"/>
    <tableColumn id="7512" xr3:uid="{3AC872C1-F29E-0B4D-AC27-C3A294A531C7}" name="Column7494"/>
    <tableColumn id="7513" xr3:uid="{9D19C748-E93D-8441-A207-C22A7C9547F8}" name="Column7495"/>
    <tableColumn id="7514" xr3:uid="{96A8C5FB-D63C-044D-B540-0B1147F31266}" name="Column7496"/>
    <tableColumn id="7515" xr3:uid="{C07683D4-D0D8-A448-946F-11D183CBB50C}" name="Column7497"/>
    <tableColumn id="7516" xr3:uid="{251CD27B-4DBE-804B-AB4A-7CABE3F3DE95}" name="Column7498"/>
    <tableColumn id="7517" xr3:uid="{1181279C-53A5-4148-8AD5-EECC2F140A61}" name="Column7499"/>
    <tableColumn id="7518" xr3:uid="{AFC9FD52-B8FB-FB4E-BEBB-FA0C8F240BD1}" name="Column7500"/>
    <tableColumn id="7519" xr3:uid="{8DCE4817-48B7-C14B-89C5-FD6586CCC082}" name="Column7501"/>
    <tableColumn id="7520" xr3:uid="{2999E2F6-0E38-2245-B7D9-AA593F2536D8}" name="Column7502"/>
    <tableColumn id="7521" xr3:uid="{A8DDA651-256A-C744-BB0A-FD4B1C36B494}" name="Column7503"/>
    <tableColumn id="7522" xr3:uid="{7618A59E-12D7-2248-941B-EE86A8CAFB36}" name="Column7504"/>
    <tableColumn id="7523" xr3:uid="{DF6D5A93-8F32-364C-B601-DAE160E757F0}" name="Column7505"/>
    <tableColumn id="7524" xr3:uid="{A862DF56-AC6A-D64F-BC0D-4F31C8583E9C}" name="Column7506"/>
    <tableColumn id="7525" xr3:uid="{C9E18C62-3C93-FE4A-8DAD-7B0F9DE40A3C}" name="Column7507"/>
    <tableColumn id="7526" xr3:uid="{15415F2A-FB62-0842-843B-FC6C8C480A13}" name="Column7508"/>
    <tableColumn id="7527" xr3:uid="{3C41F74D-9AA1-414E-A468-8A54F7FB0C78}" name="Column7509"/>
    <tableColumn id="7528" xr3:uid="{79374BFB-6EB2-2947-8F05-A5BDBA970EAC}" name="Column7510"/>
    <tableColumn id="7529" xr3:uid="{9191E319-9EC5-BC47-A3DC-01B56DF410F8}" name="Column7511"/>
    <tableColumn id="7530" xr3:uid="{A2DF244F-BAED-1546-A08C-41216CAF7CAC}" name="Column7512"/>
    <tableColumn id="7531" xr3:uid="{171E9E1C-2199-114E-B78D-DA0EA2DAC964}" name="Column7513"/>
    <tableColumn id="7532" xr3:uid="{3E4886CC-687D-E94E-8999-D51B3954FF3E}" name="Column7514"/>
    <tableColumn id="7533" xr3:uid="{912C82A3-71BB-C04C-9C23-D04FDDF5F811}" name="Column7515"/>
    <tableColumn id="7534" xr3:uid="{67C7C6A3-AB1C-4A4F-B6E2-1B180575112F}" name="Column7516"/>
    <tableColumn id="7535" xr3:uid="{EDDCA5D0-5900-9A4B-94DB-FCAF58D291CA}" name="Column7517"/>
    <tableColumn id="7536" xr3:uid="{3555E83B-5017-6D4B-AFED-C143C51AC2DE}" name="Column7518"/>
    <tableColumn id="7537" xr3:uid="{A81C4110-63E3-C143-A152-2B541D5B3094}" name="Column7519"/>
    <tableColumn id="7538" xr3:uid="{709021B1-F2B2-8843-B7B7-2B114FB71A58}" name="Column7520"/>
    <tableColumn id="7539" xr3:uid="{049516B3-C465-874D-886D-D97E48CB20A3}" name="Column7521"/>
    <tableColumn id="7540" xr3:uid="{37AA2D1A-CF05-664D-882F-E8CA127A5C43}" name="Column7522"/>
    <tableColumn id="7541" xr3:uid="{DE21078F-E623-6B41-AED8-4EB17B936A1F}" name="Column7523"/>
    <tableColumn id="7542" xr3:uid="{F360B982-29E3-E342-A2DF-CB673E17819A}" name="Column7524"/>
    <tableColumn id="7543" xr3:uid="{E1E8A74B-AD77-4640-BE82-F814FAB0A85A}" name="Column7525"/>
    <tableColumn id="7544" xr3:uid="{DA09E075-8BCE-4644-8DB3-547ABA820E49}" name="Column7526"/>
    <tableColumn id="7545" xr3:uid="{A1A05DDD-DB4C-7846-896B-A91A604CA851}" name="Column7527"/>
    <tableColumn id="7546" xr3:uid="{F040851B-7AD2-6448-9802-0AC97C88612C}" name="Column7528"/>
    <tableColumn id="7547" xr3:uid="{88DF25EA-82BB-5645-B985-5DE50C857C8B}" name="Column7529"/>
    <tableColumn id="7548" xr3:uid="{FC634B06-D4D6-A64F-A70F-8FA45ED13F3E}" name="Column7530"/>
    <tableColumn id="7549" xr3:uid="{12675209-0F22-1A4E-B5DA-115E35360ADC}" name="Column7531"/>
    <tableColumn id="7550" xr3:uid="{A3BEC6A0-A0E5-D64F-BD13-F2213B023716}" name="Column7532"/>
    <tableColumn id="7551" xr3:uid="{C4A40A6D-2CE7-EE43-86F2-9257894A3D50}" name="Column7533"/>
    <tableColumn id="7552" xr3:uid="{3E88B09E-00BD-3647-8211-F338B3BE048D}" name="Column7534"/>
    <tableColumn id="7553" xr3:uid="{0FB9D7DB-DC37-3645-A197-02B0FB9F0156}" name="Column7535"/>
    <tableColumn id="7554" xr3:uid="{8F56EA8B-2ECE-274B-9DBF-856B68398B10}" name="Column7536"/>
    <tableColumn id="7555" xr3:uid="{E311AFE8-7D05-B94E-A7F1-50B2896637E6}" name="Column7537"/>
    <tableColumn id="7556" xr3:uid="{9EDEB61C-8807-FE4F-A3C0-645D3B1EE699}" name="Column7538"/>
    <tableColumn id="7557" xr3:uid="{AD2C5C00-0355-7F4A-9CB5-1037AB52215E}" name="Column7539"/>
    <tableColumn id="7558" xr3:uid="{4C4ABE5D-53A7-EF4C-87BC-BE392F54767C}" name="Column7540"/>
    <tableColumn id="7559" xr3:uid="{69D6B45F-693F-1D49-8F4B-43E94C11DEAB}" name="Column7541"/>
    <tableColumn id="7560" xr3:uid="{D5047330-439D-9749-A40A-D5E3F3A3D5D3}" name="Column7542"/>
    <tableColumn id="7561" xr3:uid="{2A4550A4-3D3F-B442-9EC1-F4F2685978FF}" name="Column7543"/>
    <tableColumn id="7562" xr3:uid="{260478BB-FE83-FE42-A6BA-719E189AF753}" name="Column7544"/>
    <tableColumn id="7563" xr3:uid="{719277EA-75EB-B24A-ADF4-E27FD81F9BC6}" name="Column7545"/>
    <tableColumn id="7564" xr3:uid="{C3C68311-ED67-8F41-ADEA-9212989254E0}" name="Column7546"/>
    <tableColumn id="7565" xr3:uid="{60339EAB-8ADF-9644-8A8D-D6991CA9E605}" name="Column7547"/>
    <tableColumn id="7566" xr3:uid="{6A52924A-C34A-6B4C-BC9A-26A94F02B952}" name="Column7548"/>
    <tableColumn id="7567" xr3:uid="{245885DA-2C80-F34E-8758-A9F56153A04B}" name="Column7549"/>
    <tableColumn id="7568" xr3:uid="{CD297D3D-4724-A446-ADBA-9B97CA19EB64}" name="Column7550"/>
    <tableColumn id="7569" xr3:uid="{DB0F960E-3AB4-F24A-BEC9-BF89AB8AD5D6}" name="Column7551"/>
    <tableColumn id="7570" xr3:uid="{5CFC4DF5-E8A7-5440-807C-AE78FA2DBBC4}" name="Column7552"/>
    <tableColumn id="7571" xr3:uid="{5ED52F6F-204D-E943-A2BF-984F1C29076E}" name="Column7553"/>
    <tableColumn id="7572" xr3:uid="{AB858C3C-5B73-3047-926A-B825E7C0D423}" name="Column7554"/>
    <tableColumn id="7573" xr3:uid="{0001C1C6-1576-9B4A-8099-584AEF720DC3}" name="Column7555"/>
    <tableColumn id="7574" xr3:uid="{793E75A4-C2A1-8343-AF50-0616AB5C9E14}" name="Column7556"/>
    <tableColumn id="7575" xr3:uid="{2C01A827-125B-6741-AAD8-3CFE49A01CC5}" name="Column7557"/>
    <tableColumn id="7576" xr3:uid="{6A7F26B9-63CA-FC49-8B62-66FA3A64D855}" name="Column7558"/>
    <tableColumn id="7577" xr3:uid="{34E894B2-E3C5-4841-8504-FB122661AFD9}" name="Column7559"/>
    <tableColumn id="7578" xr3:uid="{C97907EA-67A9-7149-8284-7CFAE9D19D3A}" name="Column7560"/>
    <tableColumn id="7579" xr3:uid="{9412B0EA-70AB-B34A-89A5-E5FAF98C2E38}" name="Column7561"/>
    <tableColumn id="7580" xr3:uid="{76BF37F1-B4B2-2548-99BB-9D5E667CBD6D}" name="Column7562"/>
    <tableColumn id="7581" xr3:uid="{8EF76AB4-DBA0-3B47-8FAB-957E2CBA4929}" name="Column7563"/>
    <tableColumn id="7582" xr3:uid="{4FA87C12-BBFB-8644-9CFA-45E86D6820D3}" name="Column7564"/>
    <tableColumn id="7583" xr3:uid="{3E0597B6-5EC3-4D4C-B3F6-8C4A38C812F4}" name="Column7565"/>
    <tableColumn id="7584" xr3:uid="{4F9D8E54-EF7C-9E44-B2A8-DD9F87502A0D}" name="Column7566"/>
    <tableColumn id="7585" xr3:uid="{7CE0D56E-9190-2A49-9B3C-3CB90EA789B6}" name="Column7567"/>
    <tableColumn id="7586" xr3:uid="{A6E36C5A-7B4E-CD4F-BE7F-229F744E04C7}" name="Column7568"/>
    <tableColumn id="7587" xr3:uid="{2C95A13A-41D6-5840-BA77-15EDC5D6D13B}" name="Column7569"/>
    <tableColumn id="7588" xr3:uid="{82D67750-A443-EF41-B4C3-65DAD75F82FF}" name="Column7570"/>
    <tableColumn id="7589" xr3:uid="{E644EC18-F157-0147-984F-D55763BB49EB}" name="Column7571"/>
    <tableColumn id="7590" xr3:uid="{E9AC9134-F2F8-DC47-8F13-F1A18B4B89ED}" name="Column7572"/>
    <tableColumn id="7591" xr3:uid="{343B652E-E5A9-D345-AE8D-C179340D6005}" name="Column7573"/>
    <tableColumn id="7592" xr3:uid="{DC1D7393-DEBE-D04B-9022-A4CD1AF1F035}" name="Column7574"/>
    <tableColumn id="7593" xr3:uid="{AF1F307C-4D8B-8947-83DF-A3C13BE770C2}" name="Column7575"/>
    <tableColumn id="7594" xr3:uid="{6CD86E99-4882-EB47-BF4B-086C891F1CFD}" name="Column7576"/>
    <tableColumn id="7595" xr3:uid="{5E51C6B2-AB58-3B4D-82C0-361F5679DEE2}" name="Column7577"/>
    <tableColumn id="7596" xr3:uid="{F006EDE2-1705-3E4D-ADA3-FEDE2720EADA}" name="Column7578"/>
    <tableColumn id="7597" xr3:uid="{48F216AB-D34D-094F-96A9-0598206BF45A}" name="Column7579"/>
    <tableColumn id="7598" xr3:uid="{FE3D798D-0E3F-9F4B-A937-36BE5A73C991}" name="Column7580"/>
    <tableColumn id="7599" xr3:uid="{E8313B64-85AB-624E-B8D3-21DA7DD6DC58}" name="Column7581"/>
    <tableColumn id="7600" xr3:uid="{9173268B-D0CD-5A4A-8D50-E2E886AF91F8}" name="Column7582"/>
    <tableColumn id="7601" xr3:uid="{BD617F6C-0B54-CE40-B243-F769649E3569}" name="Column7583"/>
    <tableColumn id="7602" xr3:uid="{4D0CF864-E350-6B4F-ACAD-7DC83D4F477E}" name="Column7584"/>
    <tableColumn id="7603" xr3:uid="{BA27FF35-9792-6C4E-8DCF-FC649C2BC878}" name="Column7585"/>
    <tableColumn id="7604" xr3:uid="{5EBC26B1-136D-8E43-8D99-D6BDBD78EB9C}" name="Column7586"/>
    <tableColumn id="7605" xr3:uid="{72D9DB16-FB43-8E4C-BFEE-90549B0C160F}" name="Column7587"/>
    <tableColumn id="7606" xr3:uid="{6F160192-3CC4-3A48-86F4-E36662132AB8}" name="Column7588"/>
    <tableColumn id="7607" xr3:uid="{446DB275-540E-0942-B473-0BEB7B79739A}" name="Column7589"/>
    <tableColumn id="7608" xr3:uid="{9C11D238-8C4F-4948-B456-2861AD630764}" name="Column7590"/>
    <tableColumn id="7609" xr3:uid="{6DA599C0-B378-B84C-B77F-164D05ABB5AF}" name="Column7591"/>
    <tableColumn id="7610" xr3:uid="{81870293-3B7C-AB44-87AD-128003314837}" name="Column7592"/>
    <tableColumn id="7611" xr3:uid="{D9F7FADB-2543-4345-A7A1-F700BD664BD6}" name="Column7593"/>
    <tableColumn id="7612" xr3:uid="{EA2CD37F-952B-3E42-BEC4-386284848AF4}" name="Column7594"/>
    <tableColumn id="7613" xr3:uid="{FACADF2B-D618-044F-B612-C5752968DE82}" name="Column7595"/>
    <tableColumn id="7614" xr3:uid="{2D21986D-CC9E-B44C-A20D-B73B4BD0A968}" name="Column7596"/>
    <tableColumn id="7615" xr3:uid="{87FB2786-1ED4-9C4E-83A4-34EB024F3184}" name="Column7597"/>
    <tableColumn id="7616" xr3:uid="{6CA4662E-FDCA-0243-994C-7B16081B687C}" name="Column7598"/>
    <tableColumn id="7617" xr3:uid="{B9855E12-0251-9745-A42A-4987FC46D49C}" name="Column7599"/>
    <tableColumn id="7618" xr3:uid="{59CB3A45-C9BC-2F4F-A6E0-6CE871BFAFEE}" name="Column7600"/>
    <tableColumn id="7619" xr3:uid="{22DC818D-6159-2840-A2A0-2657C110CF0E}" name="Column7601"/>
    <tableColumn id="7620" xr3:uid="{488DF77C-0C0F-2B46-9AAB-A3839212EB88}" name="Column7602"/>
    <tableColumn id="7621" xr3:uid="{EBF18393-47AE-AB40-9EC2-7D1D6765787D}" name="Column7603"/>
    <tableColumn id="7622" xr3:uid="{C8CA6965-317E-BD48-8309-5BA445BF7EBA}" name="Column7604"/>
    <tableColumn id="7623" xr3:uid="{6F80BCC0-D7FC-0944-BD40-F7AE91183BDD}" name="Column7605"/>
    <tableColumn id="7624" xr3:uid="{A68BA524-8BF5-234D-A18C-9760F6AD0248}" name="Column7606"/>
    <tableColumn id="7625" xr3:uid="{CC9DB83E-6BDB-AB4F-AE51-96D73A82F761}" name="Column7607"/>
    <tableColumn id="7626" xr3:uid="{BDC63D80-0308-7C40-A29C-1F219A2D4DEA}" name="Column7608"/>
    <tableColumn id="7627" xr3:uid="{E947AD99-BE0D-844D-9043-2B4610E5795F}" name="Column7609"/>
    <tableColumn id="7628" xr3:uid="{DF3CD009-629F-7443-84BB-597AC923BE13}" name="Column7610"/>
    <tableColumn id="7629" xr3:uid="{06C5E429-1B83-8243-8609-08F6FAC01C6C}" name="Column7611"/>
    <tableColumn id="7630" xr3:uid="{C08DE7C8-76D8-6343-B6A1-EFC955761816}" name="Column7612"/>
    <tableColumn id="7631" xr3:uid="{6E6206BA-A8C5-8641-85EC-2D75C4EBF8E8}" name="Column7613"/>
    <tableColumn id="7632" xr3:uid="{4476ADC0-2ED8-9C47-AAB0-550AAA4A8CB0}" name="Column7614"/>
    <tableColumn id="7633" xr3:uid="{3C987DAC-F45B-6647-8B65-E7BBDEF027CB}" name="Column7615"/>
    <tableColumn id="7634" xr3:uid="{49E360FD-510E-A848-A7FC-5EFF5A05A4B6}" name="Column7616"/>
    <tableColumn id="7635" xr3:uid="{5E5CC938-BEC4-554E-AFDA-A87F48B73AD3}" name="Column7617"/>
    <tableColumn id="7636" xr3:uid="{FEF1D251-B1FA-1849-879C-09C0BEF70E88}" name="Column7618"/>
    <tableColumn id="7637" xr3:uid="{00BE4428-D7BE-2440-AC69-08715A3CFC3B}" name="Column7619"/>
    <tableColumn id="7638" xr3:uid="{501D51F0-1800-1247-B150-C2E75D9A217D}" name="Column7620"/>
    <tableColumn id="7639" xr3:uid="{0863B9B9-34EE-B644-82D5-ECD8EBCD43DD}" name="Column7621"/>
    <tableColumn id="7640" xr3:uid="{E97DE3D2-134B-E14F-A973-CC86045F6AD5}" name="Column7622"/>
    <tableColumn id="7641" xr3:uid="{839D0200-2D3D-FB45-8289-B80906D38D0A}" name="Column7623"/>
    <tableColumn id="7642" xr3:uid="{49C85479-6A25-C44D-B60F-6F67E5AA597B}" name="Column7624"/>
    <tableColumn id="7643" xr3:uid="{C0F19440-BACE-2141-919F-841D096B752A}" name="Column7625"/>
    <tableColumn id="7644" xr3:uid="{DCB64413-F41B-184B-A964-17F950573FF3}" name="Column7626"/>
    <tableColumn id="7645" xr3:uid="{59832DD7-2589-1C49-86E3-8FC48EBB3F2E}" name="Column7627"/>
    <tableColumn id="7646" xr3:uid="{B6B9ECC6-D33D-BD48-9326-6E097FED61F8}" name="Column7628"/>
    <tableColumn id="7647" xr3:uid="{D3E9AF69-8D58-554E-A563-D0F688F29039}" name="Column7629"/>
    <tableColumn id="7648" xr3:uid="{7220368B-7A07-784E-90D3-F033DCD848BB}" name="Column7630"/>
    <tableColumn id="7649" xr3:uid="{BF44729F-6D50-6B4D-B879-BB5BC45D824F}" name="Column7631"/>
    <tableColumn id="7650" xr3:uid="{10CE7259-5F1C-CA4B-992F-4D5F63ED4B3D}" name="Column7632"/>
    <tableColumn id="7651" xr3:uid="{4952C21D-C79C-3C48-9121-88F06951AEB3}" name="Column7633"/>
    <tableColumn id="7652" xr3:uid="{F51BEC3B-E21F-0247-AA0D-816CD68A6F5B}" name="Column7634"/>
    <tableColumn id="7653" xr3:uid="{E9F8C408-E605-3F47-A396-56F1F034E422}" name="Column7635"/>
    <tableColumn id="7654" xr3:uid="{B38F7D5B-8D2B-A74F-BDC6-6B3090A4468C}" name="Column7636"/>
    <tableColumn id="7655" xr3:uid="{21D21E73-330B-CF44-9F69-C8C826EBE0E2}" name="Column7637"/>
    <tableColumn id="7656" xr3:uid="{D08F4A2B-F755-174D-ADCA-F7EDE24D12D9}" name="Column7638"/>
    <tableColumn id="7657" xr3:uid="{D3C9BDF4-9CBB-9C4C-B274-0BA383B4CD63}" name="Column7639"/>
    <tableColumn id="7658" xr3:uid="{9F4974F1-B2C2-EE48-9387-7FAC2C0EF35D}" name="Column7640"/>
    <tableColumn id="7659" xr3:uid="{2590EA6D-4089-4F46-91D8-E1AFC2B25CC7}" name="Column7641"/>
    <tableColumn id="7660" xr3:uid="{8A80541D-09AC-2844-BB32-B7731B174EE6}" name="Column7642"/>
    <tableColumn id="7661" xr3:uid="{22A311E4-A504-E944-8D1E-899A79231697}" name="Column7643"/>
    <tableColumn id="7662" xr3:uid="{E187C0A5-033F-1C4F-A4BC-1CBDCEF6E6C9}" name="Column7644"/>
    <tableColumn id="7663" xr3:uid="{249B2C6C-DBD5-3E46-B3AE-FE18636B21C5}" name="Column7645"/>
    <tableColumn id="7664" xr3:uid="{9B79C13B-D345-8547-8D05-AA859BE19076}" name="Column7646"/>
    <tableColumn id="7665" xr3:uid="{C50D8EA7-7C1C-0F47-A1D8-C213DB7C8E39}" name="Column7647"/>
    <tableColumn id="7666" xr3:uid="{66195D7F-E3D2-A443-AA5D-154D7C4F3730}" name="Column7648"/>
    <tableColumn id="7667" xr3:uid="{4D10A97D-B2D8-FB4F-9810-D92C5D84D259}" name="Column7649"/>
    <tableColumn id="7668" xr3:uid="{E4880F9D-8DDB-3449-B5E5-722D5EF067F4}" name="Column7650"/>
    <tableColumn id="7669" xr3:uid="{19A8A31F-D5B4-3E41-8F51-9083FD35D496}" name="Column7651"/>
    <tableColumn id="7670" xr3:uid="{836A1E0B-962E-2D4E-83C5-94BC0B69A11F}" name="Column7652"/>
    <tableColumn id="7671" xr3:uid="{97D7F6C0-6136-CF4B-BF24-4A2B87AF6C73}" name="Column7653"/>
    <tableColumn id="7672" xr3:uid="{0A85B0FE-5369-C54F-B9A0-76149ECB5CA4}" name="Column7654"/>
    <tableColumn id="7673" xr3:uid="{4AF1CC05-1EBF-7648-B525-01BF1609F537}" name="Column7655"/>
    <tableColumn id="7674" xr3:uid="{09DD6585-527B-DB46-97D9-9A2C864DEC66}" name="Column7656"/>
    <tableColumn id="7675" xr3:uid="{26E21230-1A11-C34A-9A05-5864969F26DC}" name="Column7657"/>
    <tableColumn id="7676" xr3:uid="{CD020CB4-A72D-A645-B230-2B1E84847ECD}" name="Column7658"/>
    <tableColumn id="7677" xr3:uid="{F5DB8BAC-C5A8-954D-8585-2DA9E56AD151}" name="Column7659"/>
    <tableColumn id="7678" xr3:uid="{7D255E6B-15EF-DD4A-8D74-7E240E096048}" name="Column7660"/>
    <tableColumn id="7679" xr3:uid="{96223BC2-201D-664C-9494-DA5F1D7F7240}" name="Column7661"/>
    <tableColumn id="7680" xr3:uid="{8F699E4E-B379-2745-9CC7-D746B2015D76}" name="Column7662"/>
    <tableColumn id="7681" xr3:uid="{85BBE845-20B5-4E41-A2FA-B4E260787A40}" name="Column7663"/>
    <tableColumn id="7682" xr3:uid="{6633530E-2493-DD43-95C7-874D48BA36AE}" name="Column7664"/>
    <tableColumn id="7683" xr3:uid="{8BB86C76-614D-AA49-816F-E6E578B6BD8D}" name="Column7665"/>
    <tableColumn id="7684" xr3:uid="{C1E3A104-A9B8-E94B-B0C3-8885AD8B6D1E}" name="Column7666"/>
    <tableColumn id="7685" xr3:uid="{9F050A7A-F088-CE4F-BAD1-2DDFFA0D8F9B}" name="Column7667"/>
    <tableColumn id="7686" xr3:uid="{2A528957-025F-AC42-BF14-4445157CF1D6}" name="Column7668"/>
    <tableColumn id="7687" xr3:uid="{2F6D8731-A535-0E42-951E-89358EE5EC16}" name="Column7669"/>
    <tableColumn id="7688" xr3:uid="{798001B1-8023-BB4E-965B-C09A4D553D6B}" name="Column7670"/>
    <tableColumn id="7689" xr3:uid="{D6107226-7283-2142-A259-90B9A22D2BE1}" name="Column7671"/>
    <tableColumn id="7690" xr3:uid="{CD14955F-486B-F144-988F-44DC3B56B806}" name="Column7672"/>
    <tableColumn id="7691" xr3:uid="{99BB8A1E-6CE3-AC47-BE38-AF822B8E4CA9}" name="Column7673"/>
    <tableColumn id="7692" xr3:uid="{BED74BF3-285C-9F40-BF2F-0AC559EB1E39}" name="Column7674"/>
    <tableColumn id="7693" xr3:uid="{8B3BE8F9-9D34-AD46-8E33-34355348AE1C}" name="Column7675"/>
    <tableColumn id="7694" xr3:uid="{745D7487-B654-6842-85F3-80C2512E0874}" name="Column7676"/>
    <tableColumn id="7695" xr3:uid="{BD7DB52B-2905-AA40-99E7-D4260063EE12}" name="Column7677"/>
    <tableColumn id="7696" xr3:uid="{55FA228D-EC25-E945-BAEE-2B13BE88941A}" name="Column7678"/>
    <tableColumn id="7697" xr3:uid="{4C6B87F7-5624-7949-92C3-238F1B905475}" name="Column7679"/>
    <tableColumn id="7698" xr3:uid="{D0977F49-069D-FC40-B0E1-D9CA5989112B}" name="Column7680"/>
    <tableColumn id="7699" xr3:uid="{DABAAA00-28E8-B942-AA82-9E74858F69B6}" name="Column7681"/>
    <tableColumn id="7700" xr3:uid="{A7FC3B0E-D078-4743-9ED4-09831FC4EDF7}" name="Column7682"/>
    <tableColumn id="7701" xr3:uid="{3E519818-C991-A443-976F-8412A668D51D}" name="Column7683"/>
    <tableColumn id="7702" xr3:uid="{D21E5F90-90BC-4347-8D59-CA21A609E5F9}" name="Column7684"/>
    <tableColumn id="7703" xr3:uid="{CDE2820F-D2CA-194B-8AEB-D6589FE5A080}" name="Column7685"/>
    <tableColumn id="7704" xr3:uid="{25ACB197-86BD-AB4F-94F8-5A210FA90D37}" name="Column7686"/>
    <tableColumn id="7705" xr3:uid="{2F2CF4B7-0BA8-D145-9002-E1A852D4DE42}" name="Column7687"/>
    <tableColumn id="7706" xr3:uid="{7AF77663-3AB5-7F4F-BE6F-84DEF699EA57}" name="Column7688"/>
    <tableColumn id="7707" xr3:uid="{21781DFC-0C67-4F46-9128-53B7E53B73A3}" name="Column7689"/>
    <tableColumn id="7708" xr3:uid="{F9F00D76-0549-D940-ABA8-3DDD6DE2EA38}" name="Column7690"/>
    <tableColumn id="7709" xr3:uid="{74D495AB-7AE7-9F4A-9DE6-C684EAEB7908}" name="Column7691"/>
    <tableColumn id="7710" xr3:uid="{0AA440DF-BE0F-4544-98A7-17739AB31F3A}" name="Column7692"/>
    <tableColumn id="7711" xr3:uid="{8998CD6E-0C69-4540-B7C4-1D50E26FA1C8}" name="Column7693"/>
    <tableColumn id="7712" xr3:uid="{70A430F4-3C4D-A94A-A95E-20B2255DBC65}" name="Column7694"/>
    <tableColumn id="7713" xr3:uid="{9F88AE64-51FE-9041-8DD0-3D3E009F74FB}" name="Column7695"/>
    <tableColumn id="7714" xr3:uid="{65CB30A5-822A-9D45-A027-547536C0BDAF}" name="Column7696"/>
    <tableColumn id="7715" xr3:uid="{571B7B16-3EAE-7843-B57F-5C9AFB15F3B9}" name="Column7697"/>
    <tableColumn id="7716" xr3:uid="{2FD3C8F3-E557-0448-B4CA-367A510DA915}" name="Column7698"/>
    <tableColumn id="7717" xr3:uid="{4454A1DE-FD0B-6741-8E7C-E6F28D222728}" name="Column7699"/>
    <tableColumn id="7718" xr3:uid="{DCB37A1D-0734-6045-A352-8DFF223A9E64}" name="Column7700"/>
    <tableColumn id="7719" xr3:uid="{90CD443B-AA71-A34C-8723-9D04E293844E}" name="Column7701"/>
    <tableColumn id="7720" xr3:uid="{AFA3E047-8251-394B-B169-56218607F154}" name="Column7702"/>
    <tableColumn id="7721" xr3:uid="{241B6CD3-257B-634D-B4D8-F3C6B7D3207E}" name="Column7703"/>
    <tableColumn id="7722" xr3:uid="{9599DEEB-E607-3843-8CF0-A3F8446A43FE}" name="Column7704"/>
    <tableColumn id="7723" xr3:uid="{9F41654A-CF1C-274F-96EA-ADB5FA19D703}" name="Column7705"/>
    <tableColumn id="7724" xr3:uid="{BE3A9ED8-710F-F147-973D-A534EEE65BA3}" name="Column7706"/>
    <tableColumn id="7725" xr3:uid="{F4C5C8D7-E23A-E445-AC88-95EDDE22E3E5}" name="Column7707"/>
    <tableColumn id="7726" xr3:uid="{30726F50-EAB5-8545-8108-C50C68834510}" name="Column7708"/>
    <tableColumn id="7727" xr3:uid="{3E8AD0B3-1E84-4340-BBAD-83E84B3CA606}" name="Column7709"/>
    <tableColumn id="7728" xr3:uid="{E24F32C4-A46B-CD4F-80C4-6BD942DD9D96}" name="Column7710"/>
    <tableColumn id="7729" xr3:uid="{08042B78-AEED-0D46-8A31-FC9DFA27720A}" name="Column7711"/>
    <tableColumn id="7730" xr3:uid="{75619719-213E-7344-A986-EEE7817B20DF}" name="Column7712"/>
    <tableColumn id="7731" xr3:uid="{0A9EAAB6-DF25-DA4A-9F0F-0E9B66F38FE1}" name="Column7713"/>
    <tableColumn id="7732" xr3:uid="{020419C6-A13E-3E4E-8DF7-F2742AA47E47}" name="Column7714"/>
    <tableColumn id="7733" xr3:uid="{02DE8158-71F1-784F-A8E4-C72C012E4B39}" name="Column7715"/>
    <tableColumn id="7734" xr3:uid="{98367206-7B94-B941-B7BA-6C3A7A830798}" name="Column7716"/>
    <tableColumn id="7735" xr3:uid="{3A6C5C27-41E6-C04C-BDEF-9F90E92F86A6}" name="Column7717"/>
    <tableColumn id="7736" xr3:uid="{75304FEB-177E-354F-B89E-605115206E8C}" name="Column7718"/>
    <tableColumn id="7737" xr3:uid="{ADFEA728-E22D-4D41-9D96-6BC2B7AE413B}" name="Column7719"/>
    <tableColumn id="7738" xr3:uid="{A0C94CB1-865F-0E42-9B3D-569BD90C4F0F}" name="Column7720"/>
    <tableColumn id="7739" xr3:uid="{0D1F9E57-FD8A-3946-A529-AB249EE22128}" name="Column7721"/>
    <tableColumn id="7740" xr3:uid="{2E252C7A-6C6F-7740-8406-D288F4EA842D}" name="Column7722"/>
    <tableColumn id="7741" xr3:uid="{7EB84024-9D75-374B-A355-A1BB65A861DB}" name="Column7723"/>
    <tableColumn id="7742" xr3:uid="{3932E154-072F-7F43-B4D9-6AF678B6DAC8}" name="Column7724"/>
    <tableColumn id="7743" xr3:uid="{5E3A3A6E-2D96-1D4F-9E0C-311CE5DB9E72}" name="Column7725"/>
    <tableColumn id="7744" xr3:uid="{BE81BA0F-6E81-2744-8C85-6E80C1925580}" name="Column7726"/>
    <tableColumn id="7745" xr3:uid="{2672F6DB-D8B1-5F4C-86F6-6C088BF50BBC}" name="Column7727"/>
    <tableColumn id="7746" xr3:uid="{91160EF9-358E-344D-A2DB-3C5293DC6C87}" name="Column7728"/>
    <tableColumn id="7747" xr3:uid="{04304AC2-1F6B-8A4C-A1DE-011C02B55704}" name="Column7729"/>
    <tableColumn id="7748" xr3:uid="{5BF6004D-CB23-1844-95AF-FD6D798D4C0F}" name="Column7730"/>
    <tableColumn id="7749" xr3:uid="{A3912210-BA9F-2648-B776-E600F708C137}" name="Column7731"/>
    <tableColumn id="7750" xr3:uid="{152E5801-1088-8143-B88B-1B1DDA95C97A}" name="Column7732"/>
    <tableColumn id="7751" xr3:uid="{4794AE01-D01F-BB42-A0F7-B6BFF72D0F72}" name="Column7733"/>
    <tableColumn id="7752" xr3:uid="{3FD0ACE5-37C6-CE45-8EEE-5B61AD1EBFF3}" name="Column7734"/>
    <tableColumn id="7753" xr3:uid="{7D3F7B9A-459A-204F-B8A5-F08153607315}" name="Column7735"/>
    <tableColumn id="7754" xr3:uid="{5CA2AE6E-EF0B-974B-989D-5321422ADE7A}" name="Column7736"/>
    <tableColumn id="7755" xr3:uid="{D3A98FDA-2E6F-EA48-9171-A25E976D1196}" name="Column7737"/>
    <tableColumn id="7756" xr3:uid="{559E383F-DA6F-D042-B8A2-8F6E8F7E9EF2}" name="Column7738"/>
    <tableColumn id="7757" xr3:uid="{85689B47-C4A0-0E4A-85CB-299D8138E99E}" name="Column7739"/>
    <tableColumn id="7758" xr3:uid="{A3E8A437-642B-4F43-9A43-E7B95334957B}" name="Column7740"/>
    <tableColumn id="7759" xr3:uid="{324B4633-7DD8-F94C-8CC0-B5919CC1A245}" name="Column7741"/>
    <tableColumn id="7760" xr3:uid="{91C9CFF4-94C9-D24F-A7B7-9ED67E177684}" name="Column7742"/>
    <tableColumn id="7761" xr3:uid="{1757CE0F-9923-164E-9856-3F39FF324DDF}" name="Column7743"/>
    <tableColumn id="7762" xr3:uid="{FAECA8D1-9589-494D-BBAE-8F1A3E76F3B0}" name="Column7744"/>
    <tableColumn id="7763" xr3:uid="{3B99C045-A4D8-B14C-8BA8-8616E39C5038}" name="Column7745"/>
    <tableColumn id="7764" xr3:uid="{BC401417-BC9A-AD41-8456-84F874F7FFDA}" name="Column7746"/>
    <tableColumn id="7765" xr3:uid="{29386B82-B0B4-D345-9CCB-63BD057B9490}" name="Column7747"/>
    <tableColumn id="7766" xr3:uid="{02741F65-591A-C044-833B-6909FE5B5C04}" name="Column7748"/>
    <tableColumn id="7767" xr3:uid="{B5B86865-EB8A-294C-A391-30CB81F5FBBA}" name="Column7749"/>
    <tableColumn id="7768" xr3:uid="{9CFD6071-A6E0-344D-B65F-0845A13762F4}" name="Column7750"/>
    <tableColumn id="7769" xr3:uid="{B9694CD5-D211-444C-BCC9-4AB4CE27A560}" name="Column7751"/>
    <tableColumn id="7770" xr3:uid="{825A58CC-A3DE-BF43-B381-BC6E94778FE7}" name="Column7752"/>
    <tableColumn id="7771" xr3:uid="{F05F878B-F857-654B-9F86-F2A97925D42A}" name="Column7753"/>
    <tableColumn id="7772" xr3:uid="{5358874B-7809-A345-8A1B-C0D1CD3FEC31}" name="Column7754"/>
    <tableColumn id="7773" xr3:uid="{3D95F726-459C-0143-89B1-491F8078B359}" name="Column7755"/>
    <tableColumn id="7774" xr3:uid="{949A24F6-222E-CC47-BE3B-99163566B99E}" name="Column7756"/>
    <tableColumn id="7775" xr3:uid="{553F7B22-65E7-C749-A10D-53E2907D1606}" name="Column7757"/>
    <tableColumn id="7776" xr3:uid="{96D44B9A-17A2-CB47-B37A-3B577F84E310}" name="Column7758"/>
    <tableColumn id="7777" xr3:uid="{8990FAF8-CB19-F949-910E-41A18287432F}" name="Column7759"/>
    <tableColumn id="7778" xr3:uid="{F09164C2-BEC2-D945-9920-C1083421DC32}" name="Column7760"/>
    <tableColumn id="7779" xr3:uid="{DCA76B32-9DD2-6C46-83C5-77C133606307}" name="Column7761"/>
    <tableColumn id="7780" xr3:uid="{A429F573-944D-0343-8DF0-9DF165EC3143}" name="Column7762"/>
    <tableColumn id="7781" xr3:uid="{B98938E4-C88F-9D40-B8CD-D0A7CDF3DC44}" name="Column7763"/>
    <tableColumn id="7782" xr3:uid="{8866BB26-018B-654E-AD4A-B281084D2245}" name="Column7764"/>
    <tableColumn id="7783" xr3:uid="{66F2F791-8EE0-2E4E-A2F9-71F89851769E}" name="Column7765"/>
    <tableColumn id="7784" xr3:uid="{B2CDED70-BCE4-704D-9CD0-55A8C4865421}" name="Column7766"/>
    <tableColumn id="7785" xr3:uid="{9FDF02CA-1719-7741-A5EA-9C74A6A57B91}" name="Column7767"/>
    <tableColumn id="7786" xr3:uid="{098B766B-4E86-3049-B86A-847947184A8A}" name="Column7768"/>
    <tableColumn id="7787" xr3:uid="{B6627FC0-3B45-C94D-B7EA-C9A1BD09FA50}" name="Column7769"/>
    <tableColumn id="7788" xr3:uid="{24D695AC-1F60-3A45-B085-169688430E75}" name="Column7770"/>
    <tableColumn id="7789" xr3:uid="{240D7099-722B-2346-A78B-90D922A1FF07}" name="Column7771"/>
    <tableColumn id="7790" xr3:uid="{BAB6EC9E-8293-FB4C-AF8C-B002524168EC}" name="Column7772"/>
    <tableColumn id="7791" xr3:uid="{3394C565-6628-0D43-8373-4F276F660E67}" name="Column7773"/>
    <tableColumn id="7792" xr3:uid="{C88AE7C4-D6A3-A746-8FBF-C67C38FB495C}" name="Column7774"/>
    <tableColumn id="7793" xr3:uid="{E30DE1E5-CB00-554F-B598-04E7F7D2F080}" name="Column7775"/>
    <tableColumn id="7794" xr3:uid="{9082586B-A22C-2D45-8759-7FCC6724841F}" name="Column7776"/>
    <tableColumn id="7795" xr3:uid="{E278EC4B-47C7-3A4D-A40B-C2C19F0C9924}" name="Column7777"/>
    <tableColumn id="7796" xr3:uid="{52A70E05-DEEC-E44D-B293-ED5858F86482}" name="Column7778"/>
    <tableColumn id="7797" xr3:uid="{7CD94414-818F-0B4C-8080-896B93DE4588}" name="Column7779"/>
    <tableColumn id="7798" xr3:uid="{1B84BD44-1A0F-0B4E-9F35-D38B8F42FB2A}" name="Column7780"/>
    <tableColumn id="7799" xr3:uid="{0E2C7A6C-C9D4-914E-950A-1B10853D7F87}" name="Column7781"/>
    <tableColumn id="7800" xr3:uid="{943B4072-2AE0-F440-90CF-B6BAD3912AE7}" name="Column7782"/>
    <tableColumn id="7801" xr3:uid="{4A74CC0D-5728-764A-9CCA-7F253D05B835}" name="Column7783"/>
    <tableColumn id="7802" xr3:uid="{4BE04585-4700-2046-9A80-047490C51423}" name="Column7784"/>
    <tableColumn id="7803" xr3:uid="{F82D2A9F-8F9B-A145-8080-ED47C7E402CC}" name="Column7785"/>
    <tableColumn id="7804" xr3:uid="{5946BB69-B851-0D4F-9315-743D5EAE9423}" name="Column7786"/>
    <tableColumn id="7805" xr3:uid="{390559C8-7DCC-0849-BC5C-2D38CEA37A93}" name="Column7787"/>
    <tableColumn id="7806" xr3:uid="{51D65178-B079-8746-BE83-5A7E6B8A1B34}" name="Column7788"/>
    <tableColumn id="7807" xr3:uid="{78DF1A74-706C-604B-B2A0-D4FA2E224B04}" name="Column7789"/>
    <tableColumn id="7808" xr3:uid="{42350F14-868A-EA42-85D4-095D276DDC32}" name="Column7790"/>
    <tableColumn id="7809" xr3:uid="{21EDA26D-F033-B849-9359-E9B2774B249A}" name="Column7791"/>
    <tableColumn id="7810" xr3:uid="{85CB443D-A520-624E-A049-D338ACE02035}" name="Column7792"/>
    <tableColumn id="7811" xr3:uid="{9A17FE10-EA99-7B4D-B0EA-CE0BC2F32208}" name="Column7793"/>
    <tableColumn id="7812" xr3:uid="{A770B117-2ABA-3140-80FE-9D3246F39F7A}" name="Column7794"/>
    <tableColumn id="7813" xr3:uid="{9508DD2E-A538-6C4F-9DA2-1DA52DF0D824}" name="Column7795"/>
    <tableColumn id="7814" xr3:uid="{9CD94D0C-6BF8-6B40-9966-820B22B6625D}" name="Column7796"/>
    <tableColumn id="7815" xr3:uid="{F35A92B4-65AA-8246-8244-B393FF6A1B45}" name="Column7797"/>
    <tableColumn id="7816" xr3:uid="{25FA94C5-6120-6843-92D1-CFE468BDD875}" name="Column7798"/>
    <tableColumn id="7817" xr3:uid="{3FA800B6-56FA-AC47-8693-3E0E03D692F7}" name="Column7799"/>
    <tableColumn id="7818" xr3:uid="{2AA07152-FA12-4D40-8695-63D6F5598ABD}" name="Column7800"/>
    <tableColumn id="7819" xr3:uid="{BE80199D-3961-254B-9B18-352BBC98ECBC}" name="Column7801"/>
    <tableColumn id="7820" xr3:uid="{544E4057-37AC-1642-9746-113583DF3FF3}" name="Column7802"/>
    <tableColumn id="7821" xr3:uid="{FD9C3ECB-845F-054C-A98C-ED5F6AFC16C7}" name="Column7803"/>
    <tableColumn id="7822" xr3:uid="{1DF71DAA-6528-F343-B657-9DC08652D46B}" name="Column7804"/>
    <tableColumn id="7823" xr3:uid="{335D429F-F858-E243-9635-B25E8CA7B31C}" name="Column7805"/>
    <tableColumn id="7824" xr3:uid="{C4AF1159-D4E8-7445-B4F1-F56565E52E25}" name="Column7806"/>
    <tableColumn id="7825" xr3:uid="{ED7B1B8E-E865-9A4A-852B-30E03C1FDE69}" name="Column7807"/>
    <tableColumn id="7826" xr3:uid="{81AF481F-8CEF-1F48-84D4-C87A0078B76A}" name="Column7808"/>
    <tableColumn id="7827" xr3:uid="{1458CE55-D719-A844-AA34-7F8AC4DF04AD}" name="Column7809"/>
    <tableColumn id="7828" xr3:uid="{B1957ECF-9BEF-5C41-B35E-641DA4E34083}" name="Column7810"/>
    <tableColumn id="7829" xr3:uid="{CE229E88-3EF0-0146-A217-7776B54193C4}" name="Column7811"/>
    <tableColumn id="7830" xr3:uid="{EF52B858-B549-8A4A-88CD-7C57377D7762}" name="Column7812"/>
    <tableColumn id="7831" xr3:uid="{DAE02473-2416-9A4E-96A4-B331862E8B0F}" name="Column7813"/>
    <tableColumn id="7832" xr3:uid="{9377F516-2942-E24D-AD35-1B455A8F4FE5}" name="Column7814"/>
    <tableColumn id="7833" xr3:uid="{9232F142-CFDC-C643-B5C4-0E7A48C7C4E3}" name="Column7815"/>
    <tableColumn id="7834" xr3:uid="{5D6ABEB7-EA18-644D-A418-F4C47C2427A5}" name="Column7816"/>
    <tableColumn id="7835" xr3:uid="{19AF43C1-536D-9D43-9BC3-547CAAF16C3A}" name="Column7817"/>
    <tableColumn id="7836" xr3:uid="{3B5F554E-A79E-A943-83D6-82ED3878966E}" name="Column7818"/>
    <tableColumn id="7837" xr3:uid="{60AC91B2-9467-3D42-8C5D-B23256BF36EF}" name="Column7819"/>
    <tableColumn id="7838" xr3:uid="{4CB56F89-7390-3741-BB73-799F20BDCF12}" name="Column7820"/>
    <tableColumn id="7839" xr3:uid="{D63C232B-F764-244C-A778-38CE8677E238}" name="Column7821"/>
    <tableColumn id="7840" xr3:uid="{BB3A5276-F871-AE4E-972C-BF707023A727}" name="Column7822"/>
    <tableColumn id="7841" xr3:uid="{E4867E15-15C8-6948-9FE3-FB3778EC5288}" name="Column7823"/>
    <tableColumn id="7842" xr3:uid="{175FE5A4-4205-5B4E-A644-DA160F26C2E9}" name="Column7824"/>
    <tableColumn id="7843" xr3:uid="{2D870F86-4C92-3441-BCDC-8987F0024121}" name="Column7825"/>
    <tableColumn id="7844" xr3:uid="{8AB44B91-9962-634A-9856-B21CC2B399AD}" name="Column7826"/>
    <tableColumn id="7845" xr3:uid="{10B40C5B-1E73-0248-8D18-90BE3415FD81}" name="Column7827"/>
    <tableColumn id="7846" xr3:uid="{56C116C2-8E51-854C-8D53-75FADB01BFE2}" name="Column7828"/>
    <tableColumn id="7847" xr3:uid="{BF22C444-BCFD-D94F-A93E-4A1415A9AF87}" name="Column7829"/>
    <tableColumn id="7848" xr3:uid="{7A9E60AB-2E4E-AC4B-AEF1-C84894F38B60}" name="Column7830"/>
    <tableColumn id="7849" xr3:uid="{0D1F27C9-891E-EB42-A062-56D0E2144482}" name="Column7831"/>
    <tableColumn id="7850" xr3:uid="{9EA36896-8F94-C84A-B0EE-0795B770B678}" name="Column7832"/>
    <tableColumn id="7851" xr3:uid="{C9016739-DCBC-5A4B-BEC4-B84FEB935044}" name="Column7833"/>
    <tableColumn id="7852" xr3:uid="{02F3EBCD-C930-C243-886F-21166B45C853}" name="Column7834"/>
    <tableColumn id="7853" xr3:uid="{E297CC50-41C1-C34F-8A33-54C88201FAA5}" name="Column7835"/>
    <tableColumn id="7854" xr3:uid="{6FD51372-22D4-1349-866C-64DBAD3F1FAF}" name="Column7836"/>
    <tableColumn id="7855" xr3:uid="{EE9907BB-4DB3-0D4F-B915-3FD243397312}" name="Column7837"/>
    <tableColumn id="7856" xr3:uid="{667C5F3C-6750-9E49-9218-3822DB091A27}" name="Column7838"/>
    <tableColumn id="7857" xr3:uid="{9218C419-EE3D-0348-8F94-C3B4CD7A328B}" name="Column7839"/>
    <tableColumn id="7858" xr3:uid="{D6A1A564-FB5E-1049-9749-4E8ADEADFA1F}" name="Column7840"/>
    <tableColumn id="7859" xr3:uid="{B1DD612F-A6ED-D143-A08C-130F53AF9968}" name="Column7841"/>
    <tableColumn id="7860" xr3:uid="{2F96933F-6803-DA47-A42C-8C7F29954A25}" name="Column7842"/>
    <tableColumn id="7861" xr3:uid="{A64C4D97-4CA5-F04A-9B73-01733161D28D}" name="Column7843"/>
    <tableColumn id="7862" xr3:uid="{7CF5AF1C-CED8-084D-9FB3-729AEB20051C}" name="Column7844"/>
    <tableColumn id="7863" xr3:uid="{25F3776D-1091-A44B-ADF6-D8E337F36DAB}" name="Column7845"/>
    <tableColumn id="7864" xr3:uid="{29DDA8ED-2312-864D-8486-F91F0629A0A6}" name="Column7846"/>
    <tableColumn id="7865" xr3:uid="{B7B10360-7C6B-8C43-A634-B9943E565628}" name="Column7847"/>
    <tableColumn id="7866" xr3:uid="{7D82A8B2-4851-ED43-B403-7FE518E77712}" name="Column7848"/>
    <tableColumn id="7867" xr3:uid="{CA7E5CE6-82C2-3343-87DB-2A6B38AFD26F}" name="Column7849"/>
    <tableColumn id="7868" xr3:uid="{FFD689EB-935F-9448-BFDA-F215FE3B2A91}" name="Column7850"/>
    <tableColumn id="7869" xr3:uid="{A80DFA14-D71A-A846-87C8-0FF6391449D2}" name="Column7851"/>
    <tableColumn id="7870" xr3:uid="{18173FAC-964E-894B-AAD8-F5A7DEC23F57}" name="Column7852"/>
    <tableColumn id="7871" xr3:uid="{05E13860-CFA2-6A47-9D5A-DD9316D65C07}" name="Column7853"/>
    <tableColumn id="7872" xr3:uid="{10CACE3F-5CA1-8C43-B954-C3A655CF9AA5}" name="Column7854"/>
    <tableColumn id="7873" xr3:uid="{99A9D8D7-2B4E-A148-BDBF-0D98A41F2A8B}" name="Column7855"/>
    <tableColumn id="7874" xr3:uid="{024DFF18-D5BB-7E4C-96C1-4E72D0E3AAF5}" name="Column7856"/>
    <tableColumn id="7875" xr3:uid="{6F53A0E0-A9DE-4B45-BAA2-F2429A815797}" name="Column7857"/>
    <tableColumn id="7876" xr3:uid="{F3C0E2C8-C2A1-AE4C-8710-A06F43CA8AE7}" name="Column7858"/>
    <tableColumn id="7877" xr3:uid="{23227AFD-0390-EA48-B83F-A556D03D6E8B}" name="Column7859"/>
    <tableColumn id="7878" xr3:uid="{5BA43A3D-11C9-B649-B379-4BB1B9549F9C}" name="Column7860"/>
    <tableColumn id="7879" xr3:uid="{918DC72D-21CA-C649-93A6-F882CA18F056}" name="Column7861"/>
    <tableColumn id="7880" xr3:uid="{8494A9FB-0445-8A47-A800-933D5F140A1A}" name="Column7862"/>
    <tableColumn id="7881" xr3:uid="{D78450DE-A0F2-FE48-AC3B-726E04C63037}" name="Column7863"/>
    <tableColumn id="7882" xr3:uid="{200B04EC-8E44-2D4D-B06B-8D5F839A2FE8}" name="Column7864"/>
    <tableColumn id="7883" xr3:uid="{27AF91A9-0E8C-9D42-B7FD-B2010A2D00A6}" name="Column7865"/>
    <tableColumn id="7884" xr3:uid="{6A0997C7-BDBE-264D-AA36-907F67FD7922}" name="Column7866"/>
    <tableColumn id="7885" xr3:uid="{A6AC5076-BB8A-7F40-8097-44C82A403B0A}" name="Column7867"/>
    <tableColumn id="7886" xr3:uid="{B6347AD3-9BBF-3A4E-B154-805C27405665}" name="Column7868"/>
    <tableColumn id="7887" xr3:uid="{2B084127-C9D2-D449-9144-88BC1CB63CE9}" name="Column7869"/>
    <tableColumn id="7888" xr3:uid="{7C40C2B9-2597-FC41-9D75-30F8F7E10CCE}" name="Column7870"/>
    <tableColumn id="7889" xr3:uid="{848BCB29-CF80-4D47-90C9-31110442DAE1}" name="Column7871"/>
    <tableColumn id="7890" xr3:uid="{257696D3-DA06-1A47-A40E-CBB7480B76BE}" name="Column7872"/>
    <tableColumn id="7891" xr3:uid="{CFA93BA4-A060-6E42-B8E6-33183A50F12B}" name="Column7873"/>
    <tableColumn id="7892" xr3:uid="{6035630A-0AE0-6242-B765-DFBF3E16624E}" name="Column7874"/>
    <tableColumn id="7893" xr3:uid="{8B2741F5-2EB4-D94B-9C86-03BF4422715A}" name="Column7875"/>
    <tableColumn id="7894" xr3:uid="{675786F2-2207-504A-A4B6-BCA8B3F56EE7}" name="Column7876"/>
    <tableColumn id="7895" xr3:uid="{509B8F59-7678-E040-8628-7BFE99E2C018}" name="Column7877"/>
    <tableColumn id="7896" xr3:uid="{ADF455C7-2ADE-2F49-93DE-7246161BB5F6}" name="Column7878"/>
    <tableColumn id="7897" xr3:uid="{24504B44-4A1C-0F43-A2C2-39DD8C259B06}" name="Column7879"/>
    <tableColumn id="7898" xr3:uid="{400929C9-A5E9-9D4D-8197-7210874F9C44}" name="Column7880"/>
    <tableColumn id="7899" xr3:uid="{63F09C39-00E5-6841-8DA7-6DDDA7250509}" name="Column7881"/>
    <tableColumn id="7900" xr3:uid="{627EF41D-5289-0A43-B195-1E7E3CDA04B7}" name="Column7882"/>
    <tableColumn id="7901" xr3:uid="{61C9981B-D9FB-BE42-AE22-58D2AAC9DC8B}" name="Column7883"/>
    <tableColumn id="7902" xr3:uid="{521B5975-DC8B-094D-8C4C-FC685D8C60F1}" name="Column7884"/>
    <tableColumn id="7903" xr3:uid="{8FD06E95-835E-1440-99F8-823F163C1846}" name="Column7885"/>
    <tableColumn id="7904" xr3:uid="{FE026441-98A6-EA43-9011-9C0828BFBD72}" name="Column7886"/>
    <tableColumn id="7905" xr3:uid="{F3243E21-7D2C-AC4F-A152-AB7016970291}" name="Column7887"/>
    <tableColumn id="7906" xr3:uid="{CEADE005-3AC5-804E-B1DD-8479F2AE1F12}" name="Column7888"/>
    <tableColumn id="7907" xr3:uid="{9EA0E094-FF0B-544C-8AE8-BB6EA7ADED7C}" name="Column7889"/>
    <tableColumn id="7908" xr3:uid="{A81FE705-9083-B547-862E-73BA4DA9C4C9}" name="Column7890"/>
    <tableColumn id="7909" xr3:uid="{A8BCD19F-A19C-F64A-B725-CE32B02C2365}" name="Column7891"/>
    <tableColumn id="7910" xr3:uid="{A8297D46-290B-A742-8B31-DF5D7A67572C}" name="Column7892"/>
    <tableColumn id="7911" xr3:uid="{7ACA3AD2-ADA2-164D-9E96-E9A01A2C523A}" name="Column7893"/>
    <tableColumn id="7912" xr3:uid="{CB8F1861-1B6D-654B-889E-7C69AC08CB74}" name="Column7894"/>
    <tableColumn id="7913" xr3:uid="{80F9DE72-C035-F349-8413-EBE6EB82D228}" name="Column7895"/>
    <tableColumn id="7914" xr3:uid="{DF4BEF2A-E078-D546-B701-A140963666AE}" name="Column7896"/>
    <tableColumn id="7915" xr3:uid="{CE060658-04AA-E146-9195-D62D0820BB97}" name="Column7897"/>
    <tableColumn id="7916" xr3:uid="{35B256F6-6EDC-C843-B46A-399F3027C89E}" name="Column7898"/>
    <tableColumn id="7917" xr3:uid="{71AEF21F-28A6-8549-ACDD-E728821FBA54}" name="Column7899"/>
    <tableColumn id="7918" xr3:uid="{E01EA184-A192-8E4B-BEC0-957CF46E5721}" name="Column7900"/>
    <tableColumn id="7919" xr3:uid="{4CF79518-5DD8-AB40-BD4F-A7F811B256E5}" name="Column7901"/>
    <tableColumn id="7920" xr3:uid="{BD142966-89D1-9C44-A908-84A6AA022EF1}" name="Column7902"/>
    <tableColumn id="7921" xr3:uid="{AAEA6628-7D9D-2F48-BBE5-E2A863935CE2}" name="Column7903"/>
    <tableColumn id="7922" xr3:uid="{680B6AC9-6C0A-544C-97E1-F521E89D6430}" name="Column7904"/>
    <tableColumn id="7923" xr3:uid="{2D9EED69-9737-714F-9447-77F8ADE02FED}" name="Column7905"/>
    <tableColumn id="7924" xr3:uid="{944F3952-E2E6-CE45-B758-5518D581F12F}" name="Column7906"/>
    <tableColumn id="7925" xr3:uid="{CD82477D-3740-7A43-A0CE-ACD567FE2AD8}" name="Column7907"/>
    <tableColumn id="7926" xr3:uid="{E74B748A-A854-DF4A-8F20-843422F26AC5}" name="Column7908"/>
    <tableColumn id="7927" xr3:uid="{AE49A3B1-E333-034B-8221-292878E05073}" name="Column7909"/>
    <tableColumn id="7928" xr3:uid="{3ABE798A-EB87-9B43-9363-436B84CCC6B1}" name="Column7910"/>
    <tableColumn id="7929" xr3:uid="{F62A4FEF-C369-9945-B86C-68CC6B422963}" name="Column7911"/>
    <tableColumn id="7930" xr3:uid="{8F16FB90-60C0-AE4C-BA8D-DC11FE84DF82}" name="Column7912"/>
    <tableColumn id="7931" xr3:uid="{8B7B6F4B-AE0A-704F-A956-8FB9EA312E58}" name="Column7913"/>
    <tableColumn id="7932" xr3:uid="{CD96962A-C315-6647-AE18-A77ED9154170}" name="Column7914"/>
    <tableColumn id="7933" xr3:uid="{755ACFBA-96BB-5A44-8CEF-D32D36D6E50E}" name="Column7915"/>
    <tableColumn id="7934" xr3:uid="{28511E98-4644-D64B-8D90-567F5DBC8BC9}" name="Column7916"/>
    <tableColumn id="7935" xr3:uid="{D5342FEF-B30A-6A43-8A30-1DF03036787D}" name="Column7917"/>
    <tableColumn id="7936" xr3:uid="{ED9F9E2A-F9E0-0A46-B7D3-4460AE3250F7}" name="Column7918"/>
    <tableColumn id="7937" xr3:uid="{E63D6947-2E1C-FB46-BD3A-5DCFC8522E91}" name="Column7919"/>
    <tableColumn id="7938" xr3:uid="{8FA367A3-2FC9-7445-99B4-BDF8B8554AFC}" name="Column7920"/>
    <tableColumn id="7939" xr3:uid="{A84E81CE-FBF3-0F40-AB2F-AB1D6994DE77}" name="Column7921"/>
    <tableColumn id="7940" xr3:uid="{F632AE6B-1DEB-1445-833C-2A3DE164FAAB}" name="Column7922"/>
    <tableColumn id="7941" xr3:uid="{9E813EF6-7C58-434A-BD6D-7CE0AE77A745}" name="Column7923"/>
    <tableColumn id="7942" xr3:uid="{82B71EC4-EA44-684C-AA65-146FD9BCBA16}" name="Column7924"/>
    <tableColumn id="7943" xr3:uid="{9952C1E9-4192-F446-9325-F52BC49247E3}" name="Column7925"/>
    <tableColumn id="7944" xr3:uid="{53C0D731-F082-7146-A711-1DBCB57B8CED}" name="Column7926"/>
    <tableColumn id="7945" xr3:uid="{A550930E-4B66-AC45-8C81-3EED5E3928FD}" name="Column7927"/>
    <tableColumn id="7946" xr3:uid="{F5C30493-EEFD-7847-8226-80A8B034B39B}" name="Column7928"/>
    <tableColumn id="7947" xr3:uid="{43D3C81C-B48E-0E41-AB7A-062D6EDF717C}" name="Column7929"/>
    <tableColumn id="7948" xr3:uid="{2EC36C2F-2E45-B94A-BC7E-6646361A5698}" name="Column7930"/>
    <tableColumn id="7949" xr3:uid="{87727970-DD1B-FA4B-910B-85942E5D2AEF}" name="Column7931"/>
    <tableColumn id="7950" xr3:uid="{9EC79A32-CA79-D041-A81D-11A5CBE90777}" name="Column7932"/>
    <tableColumn id="7951" xr3:uid="{29B592C5-AE6C-9F44-95C3-8D52DB205DD7}" name="Column7933"/>
    <tableColumn id="7952" xr3:uid="{2DD1C3D4-1A1D-7B42-B06D-EE17EC3B8F57}" name="Column7934"/>
    <tableColumn id="7953" xr3:uid="{D20040FC-8D59-F04D-9F21-2FD281D9DE66}" name="Column7935"/>
    <tableColumn id="7954" xr3:uid="{69214E86-6988-4644-B0FD-8D03EF4F4DB4}" name="Column7936"/>
    <tableColumn id="7955" xr3:uid="{C12A8ACA-28B7-5B4A-B7DC-9B13A6142735}" name="Column7937"/>
    <tableColumn id="7956" xr3:uid="{977CE082-6784-E24E-B661-5195CEC6C6EB}" name="Column7938"/>
    <tableColumn id="7957" xr3:uid="{EE9051A2-C677-9347-BB71-EB6E68834AC4}" name="Column7939"/>
    <tableColumn id="7958" xr3:uid="{923C8B24-7B30-1544-86D9-365DE8DAB3BC}" name="Column7940"/>
    <tableColumn id="7959" xr3:uid="{44C8C339-FA5D-1444-B256-CDA8A5BF6E69}" name="Column7941"/>
    <tableColumn id="7960" xr3:uid="{A37B1105-A3F6-C44D-882C-CF8ABC8A5657}" name="Column7942"/>
    <tableColumn id="7961" xr3:uid="{FD3FCB88-FDFA-2143-A3F8-2ACB46EBCE41}" name="Column7943"/>
    <tableColumn id="7962" xr3:uid="{3282E623-F8A6-E341-B22A-21EF8EBF5564}" name="Column7944"/>
    <tableColumn id="7963" xr3:uid="{670776F1-FBAB-C742-A6A3-04818512B943}" name="Column7945"/>
    <tableColumn id="7964" xr3:uid="{754700E8-70E1-A54F-8289-4569CB8DCEAE}" name="Column7946"/>
    <tableColumn id="7965" xr3:uid="{E0758BDE-283A-574B-BFE8-5C8E8E1A6984}" name="Column7947"/>
    <tableColumn id="7966" xr3:uid="{94E8E877-65B8-6C40-B375-BB3115FB3088}" name="Column7948"/>
    <tableColumn id="7967" xr3:uid="{725CF0AB-57B2-CF49-9659-BF5F4999363D}" name="Column7949"/>
    <tableColumn id="7968" xr3:uid="{31B59BEF-70A5-8A46-9572-95CC14BF226D}" name="Column7950"/>
    <tableColumn id="7969" xr3:uid="{ADCF23A8-6599-7A47-80BF-EFBF8EBEBBE6}" name="Column7951"/>
    <tableColumn id="7970" xr3:uid="{E57D3452-E20C-D748-87AD-56267C5173FF}" name="Column7952"/>
    <tableColumn id="7971" xr3:uid="{0BF7C78B-F79D-2545-871C-BD54F8D67A06}" name="Column7953"/>
    <tableColumn id="7972" xr3:uid="{43CFEC36-68B6-F749-B6A3-8DB69186FD52}" name="Column7954"/>
    <tableColumn id="7973" xr3:uid="{BFE30A51-63B3-DF49-8AEC-0B481CE2C186}" name="Column7955"/>
    <tableColumn id="7974" xr3:uid="{F0399850-7D86-364B-8BCE-7CD0DD84949D}" name="Column7956"/>
    <tableColumn id="7975" xr3:uid="{F39EFE04-E3AF-4544-BB36-57857BF060C5}" name="Column7957"/>
    <tableColumn id="7976" xr3:uid="{33C884F8-1A24-C34F-BEE2-CFF9A9EA34FB}" name="Column7958"/>
    <tableColumn id="7977" xr3:uid="{09D088EB-B98F-6644-916B-CFFAF7BF459C}" name="Column7959"/>
    <tableColumn id="7978" xr3:uid="{586B743F-0798-6848-9D0F-31179CA7386C}" name="Column7960"/>
    <tableColumn id="7979" xr3:uid="{45421819-BFA6-FA49-A753-FB718B858C7B}" name="Column7961"/>
    <tableColumn id="7980" xr3:uid="{9C2060FC-38A3-CD4F-80F2-60782A4465B1}" name="Column7962"/>
    <tableColumn id="7981" xr3:uid="{D8E8BEB2-AA89-CD46-BD27-985A19AA2C56}" name="Column7963"/>
    <tableColumn id="7982" xr3:uid="{C6C7235B-546F-384F-93CB-2928AC3F1252}" name="Column7964"/>
    <tableColumn id="7983" xr3:uid="{4A30ABCF-F063-414A-82E6-CD5590C1C39C}" name="Column7965"/>
    <tableColumn id="7984" xr3:uid="{9239D9EB-D7D6-5142-858A-F839C93839CF}" name="Column7966"/>
    <tableColumn id="7985" xr3:uid="{9FD86907-5F57-8241-88E0-E1361468E5E9}" name="Column7967"/>
    <tableColumn id="7986" xr3:uid="{8C36E5B4-43A6-C54F-9B54-F9537575CEA9}" name="Column7968"/>
    <tableColumn id="7987" xr3:uid="{BF112663-CEF5-114E-A604-579AC70D2CE3}" name="Column7969"/>
    <tableColumn id="7988" xr3:uid="{FC0B4F06-C78D-B643-96E1-E5400D72AE0C}" name="Column7970"/>
    <tableColumn id="7989" xr3:uid="{353181F8-8D52-4E4D-99BD-27155117B7D6}" name="Column7971"/>
    <tableColumn id="7990" xr3:uid="{54B3378F-7C24-784F-8CB7-40731D7B92B7}" name="Column7972"/>
    <tableColumn id="7991" xr3:uid="{4B0E2E19-315E-AD47-B60E-A2A20C5430DB}" name="Column7973"/>
    <tableColumn id="7992" xr3:uid="{F52C6A81-A712-284C-BBF1-1E44AF7C8B03}" name="Column7974"/>
    <tableColumn id="7993" xr3:uid="{07EC737A-AA22-8348-9EF7-858AB25078C0}" name="Column7975"/>
    <tableColumn id="7994" xr3:uid="{95C407C2-B925-FD46-AF28-3DD199D9F837}" name="Column7976"/>
    <tableColumn id="7995" xr3:uid="{E5E038BF-2305-964A-8837-BA3FD915A8C3}" name="Column7977"/>
    <tableColumn id="7996" xr3:uid="{8697F31C-D1B1-1845-B5D2-6EA271362680}" name="Column7978"/>
    <tableColumn id="7997" xr3:uid="{9318AA52-EA53-304A-8923-609BDC4C10EB}" name="Column7979"/>
    <tableColumn id="7998" xr3:uid="{BB417D3E-057E-CF4E-92F1-BEEF4BD135F4}" name="Column7980"/>
    <tableColumn id="7999" xr3:uid="{A267EA4A-9434-294E-9B9A-549DCF330A2C}" name="Column7981"/>
    <tableColumn id="8000" xr3:uid="{6BA07E9A-0D98-5F43-94A4-C1BF0A00BB25}" name="Column7982"/>
    <tableColumn id="8001" xr3:uid="{A9BF3651-11E7-AF49-B1EC-7799E62F0FA9}" name="Column7983"/>
    <tableColumn id="8002" xr3:uid="{A9A1EBE8-CCBD-A94D-B62A-91BEC74446AF}" name="Column7984"/>
    <tableColumn id="8003" xr3:uid="{6985415C-F19D-D749-B55B-34C41677D88D}" name="Column7985"/>
    <tableColumn id="8004" xr3:uid="{C8B0CF26-89BC-7D48-8221-6415B7ED358C}" name="Column7986"/>
    <tableColumn id="8005" xr3:uid="{230C6C9C-34EF-AD47-AE1A-B0147961C89D}" name="Column7987"/>
    <tableColumn id="8006" xr3:uid="{4FC95395-0487-7B46-B23B-3E3C0434CC63}" name="Column7988"/>
    <tableColumn id="8007" xr3:uid="{B55100A2-4489-B545-8838-9AE39021D3EF}" name="Column7989"/>
    <tableColumn id="8008" xr3:uid="{2084E30F-CFF5-EE4A-846C-CB51CC5D3CAC}" name="Column7990"/>
    <tableColumn id="8009" xr3:uid="{DCB54237-B7C2-5646-BEC7-CFEFE5D21AB5}" name="Column7991"/>
    <tableColumn id="8010" xr3:uid="{35E669E1-330F-0B4A-AD08-18E3B45B08EF}" name="Column7992"/>
    <tableColumn id="8011" xr3:uid="{69AB18BF-DEDC-1146-BE31-C64978D038C3}" name="Column7993"/>
    <tableColumn id="8012" xr3:uid="{D1017C04-38BE-E448-BE7D-520076AD60B4}" name="Column7994"/>
    <tableColumn id="8013" xr3:uid="{608BAEA8-1357-7F4D-9EA9-BE4DA1BF35B3}" name="Column7995"/>
    <tableColumn id="8014" xr3:uid="{72612E8E-EA1F-8147-BCDF-9A590E74790A}" name="Column7996"/>
    <tableColumn id="8015" xr3:uid="{D049975A-D9C8-BE4D-8A17-9117F5B7A3A1}" name="Column7997"/>
    <tableColumn id="8016" xr3:uid="{C8A95650-F312-D249-8034-B2D2D37EF410}" name="Column7998"/>
    <tableColumn id="8017" xr3:uid="{7F615281-4D6A-D34A-B39C-A0C0C8EA8D30}" name="Column7999"/>
    <tableColumn id="8018" xr3:uid="{44D97879-D179-D64E-9DC5-89D1A990211E}" name="Column8000"/>
    <tableColumn id="8019" xr3:uid="{F2C642CD-5C88-F844-A7CF-05A16A4B6BE1}" name="Column8001"/>
    <tableColumn id="8020" xr3:uid="{A94A3545-9C6B-3546-A5A7-D03CE181A7DD}" name="Column8002"/>
    <tableColumn id="8021" xr3:uid="{C5001546-5B8D-A64A-BFD7-5FAFAA774E62}" name="Column8003"/>
    <tableColumn id="8022" xr3:uid="{C736B05E-8947-3C45-BBEA-193DD7DC005D}" name="Column8004"/>
    <tableColumn id="8023" xr3:uid="{739E2D43-86CF-F944-B02F-508CD7E829C0}" name="Column8005"/>
    <tableColumn id="8024" xr3:uid="{4A02CD4C-3503-844D-A733-80CB291DF491}" name="Column8006"/>
    <tableColumn id="8025" xr3:uid="{CA2768E7-8421-2846-BBF9-2A42E738DB1C}" name="Column8007"/>
    <tableColumn id="8026" xr3:uid="{2D0BE667-38F4-4049-ADCE-58AC559DA598}" name="Column8008"/>
    <tableColumn id="8027" xr3:uid="{BDF0EF79-5345-9C47-9026-2BFDD42F54E8}" name="Column8009"/>
    <tableColumn id="8028" xr3:uid="{34197F52-6A81-584B-867C-A3E9CDCBA973}" name="Column8010"/>
    <tableColumn id="8029" xr3:uid="{A764DC58-044C-B447-BDCE-0E07128FC95B}" name="Column8011"/>
    <tableColumn id="8030" xr3:uid="{B5CF9B88-E410-5740-BA9A-64E3E561B439}" name="Column8012"/>
    <tableColumn id="8031" xr3:uid="{790147D2-03EC-6F48-B63E-E6B5EDE46026}" name="Column8013"/>
    <tableColumn id="8032" xr3:uid="{27C212FB-437E-F74D-9F97-974D9C43B018}" name="Column8014"/>
    <tableColumn id="8033" xr3:uid="{D7F602C0-6B73-EE43-A504-35679B96E20C}" name="Column8015"/>
    <tableColumn id="8034" xr3:uid="{55378A62-A537-AF48-8C77-EFFAF030C623}" name="Column8016"/>
    <tableColumn id="8035" xr3:uid="{F805539D-72A6-A84C-8B25-9A5105D5166E}" name="Column8017"/>
    <tableColumn id="8036" xr3:uid="{3A7829CB-43E5-9E48-B0A0-E13DF93D023D}" name="Column8018"/>
    <tableColumn id="8037" xr3:uid="{DA69853C-4E4E-254D-9411-8FE83E5427E1}" name="Column8019"/>
    <tableColumn id="8038" xr3:uid="{4FF64D7F-6FD6-A847-8F26-03A4528D623B}" name="Column8020"/>
    <tableColumn id="8039" xr3:uid="{10BDED6C-1402-EA44-8961-64327C464F4E}" name="Column8021"/>
    <tableColumn id="8040" xr3:uid="{E80F83F5-93F2-A847-8402-CF36E643C567}" name="Column8022"/>
    <tableColumn id="8041" xr3:uid="{DF3BF187-90BF-2547-8254-F10858C26A31}" name="Column8023"/>
    <tableColumn id="8042" xr3:uid="{21E29000-70EF-3145-BBDF-61F176011EFF}" name="Column8024"/>
    <tableColumn id="8043" xr3:uid="{0381E47E-3EF5-4742-82A8-0B4305F22A2C}" name="Column8025"/>
    <tableColumn id="8044" xr3:uid="{1C0325E7-028C-8048-B3F0-36656D258B89}" name="Column8026"/>
    <tableColumn id="8045" xr3:uid="{40CDDA0C-E0C4-8F45-A2AB-79826F75866D}" name="Column8027"/>
    <tableColumn id="8046" xr3:uid="{09567A6A-AEE4-ED4C-9B59-29C63D69EB71}" name="Column8028"/>
    <tableColumn id="8047" xr3:uid="{958057E6-A00D-3F44-946A-3ED23443B995}" name="Column8029"/>
    <tableColumn id="8048" xr3:uid="{06563C29-B75D-F547-9647-5DB7278E9CF7}" name="Column8030"/>
    <tableColumn id="8049" xr3:uid="{31B7D1CD-7C2E-D243-B8EE-ABE25F557E99}" name="Column8031"/>
    <tableColumn id="8050" xr3:uid="{18505F13-6B31-5448-AEFA-1C254F9B4D80}" name="Column8032"/>
    <tableColumn id="8051" xr3:uid="{3B2D70EF-B56C-6243-8E08-84E611973755}" name="Column8033"/>
    <tableColumn id="8052" xr3:uid="{6840B982-897C-4041-9AB0-222B22320A32}" name="Column8034"/>
    <tableColumn id="8053" xr3:uid="{29F3AD50-C63B-BA40-8617-0EEC84D736B2}" name="Column8035"/>
    <tableColumn id="8054" xr3:uid="{E95CACC1-CAEA-AF46-A0F0-8FBD72EE15E2}" name="Column8036"/>
    <tableColumn id="8055" xr3:uid="{276D628D-462D-384D-8D4D-E97AFC27718D}" name="Column8037"/>
    <tableColumn id="8056" xr3:uid="{3539AC34-BF40-6A40-8D0B-0A4487F5615F}" name="Column8038"/>
    <tableColumn id="8057" xr3:uid="{C0348B8A-842A-594B-A538-34A1C723EB3B}" name="Column8039"/>
    <tableColumn id="8058" xr3:uid="{EA0A9CE3-7F52-1942-B35D-35FFDDB59E0C}" name="Column8040"/>
    <tableColumn id="8059" xr3:uid="{67CAB6F2-2A2D-1644-A137-3854351D2931}" name="Column8041"/>
    <tableColumn id="8060" xr3:uid="{42F2E75E-EBAD-DF41-A965-C375EE3EF2A5}" name="Column8042"/>
    <tableColumn id="8061" xr3:uid="{EF931C32-53AD-E544-BA81-C176C9CE740F}" name="Column8043"/>
    <tableColumn id="8062" xr3:uid="{7B40819A-977F-B147-8944-309B51534861}" name="Column8044"/>
    <tableColumn id="8063" xr3:uid="{172EC670-DB7E-2441-BE31-58FEB756F03F}" name="Column8045"/>
    <tableColumn id="8064" xr3:uid="{2D331B83-C77D-C344-8E58-9707DB792E62}" name="Column8046"/>
    <tableColumn id="8065" xr3:uid="{CC446550-0978-914E-AC9A-D8E7C1E0AF57}" name="Column8047"/>
    <tableColumn id="8066" xr3:uid="{DDB3C7C7-3BBE-374D-BB5C-18D58AFB1FAF}" name="Column8048"/>
    <tableColumn id="8067" xr3:uid="{C30FA435-B232-8D41-ABB9-F495AE48C3A8}" name="Column8049"/>
    <tableColumn id="8068" xr3:uid="{D23DDA26-BF47-5545-A6C2-A1BA078EC6A1}" name="Column8050"/>
    <tableColumn id="8069" xr3:uid="{4F5CDA3D-0122-B647-B625-28DA2923AA16}" name="Column8051"/>
    <tableColumn id="8070" xr3:uid="{6AF7D8AA-4F2A-B945-842D-3CF179383C71}" name="Column8052"/>
    <tableColumn id="8071" xr3:uid="{D6B0928E-BCB4-EC4E-826B-251F5A2CA78D}" name="Column8053"/>
    <tableColumn id="8072" xr3:uid="{0F15BED0-4DA1-EE4F-910D-8CC240CA545D}" name="Column8054"/>
    <tableColumn id="8073" xr3:uid="{FFF47503-5F9A-AE4E-A1AB-EFF62FEAC0E7}" name="Column8055"/>
    <tableColumn id="8074" xr3:uid="{4BD0E0BD-D400-9D4E-8807-B8E7FB755F43}" name="Column8056"/>
    <tableColumn id="8075" xr3:uid="{F5759591-7387-5645-9686-84724164FA88}" name="Column8057"/>
    <tableColumn id="8076" xr3:uid="{4C715F9B-E5AE-C14F-A8BE-FF614A02141B}" name="Column8058"/>
    <tableColumn id="8077" xr3:uid="{C934EC86-86B9-4847-AF79-9387542A9A82}" name="Column8059"/>
    <tableColumn id="8078" xr3:uid="{31D9242C-7980-C841-BB63-666F85DC07EA}" name="Column8060"/>
    <tableColumn id="8079" xr3:uid="{A5411CF3-DD2D-624A-8CD8-DE8187A56149}" name="Column8061"/>
    <tableColumn id="8080" xr3:uid="{263A3510-67E6-A24C-971E-F14FBE127B30}" name="Column8062"/>
    <tableColumn id="8081" xr3:uid="{91DA8C91-47CC-AD4E-92B3-EEA2A2E735D1}" name="Column8063"/>
    <tableColumn id="8082" xr3:uid="{97CB57DD-4F81-6443-ABEF-E2232A48B3E4}" name="Column8064"/>
    <tableColumn id="8083" xr3:uid="{48E124E5-DE04-E24C-B167-49703F72D881}" name="Column8065"/>
    <tableColumn id="8084" xr3:uid="{4CF1B703-B435-0D4C-9546-420FC2CF85B8}" name="Column8066"/>
    <tableColumn id="8085" xr3:uid="{E2C1ABE5-FEB1-7645-A4DC-DD64CC8C49F8}" name="Column8067"/>
    <tableColumn id="8086" xr3:uid="{0AEB8C26-434A-6D47-94BB-1DBA8A944A4B}" name="Column8068"/>
    <tableColumn id="8087" xr3:uid="{5198C599-417C-5D45-BC77-F0C6ED5A216B}" name="Column8069"/>
    <tableColumn id="8088" xr3:uid="{2EEE89C4-AB4E-F146-84EE-24D82D627662}" name="Column8070"/>
    <tableColumn id="8089" xr3:uid="{C4A18055-856B-734E-87EF-06F1DF2B3B84}" name="Column8071"/>
    <tableColumn id="8090" xr3:uid="{E859C71A-BAB3-7E4B-A238-66053CEE5E56}" name="Column8072"/>
    <tableColumn id="8091" xr3:uid="{DC292999-3D75-4B4A-8966-CFFAD769452A}" name="Column8073"/>
    <tableColumn id="8092" xr3:uid="{BA19B3D6-1FCB-CE43-A563-FA3E899B3CE2}" name="Column8074"/>
    <tableColumn id="8093" xr3:uid="{801C2A2A-43D2-8141-BC6C-5E1033C154A9}" name="Column8075"/>
    <tableColumn id="8094" xr3:uid="{47B54B9D-839E-E14B-9E41-4E73F52CBE9B}" name="Column8076"/>
    <tableColumn id="8095" xr3:uid="{5ED74BB5-891F-D04D-887E-38D8989801BA}" name="Column8077"/>
    <tableColumn id="8096" xr3:uid="{3E9F6CCB-1400-4A47-B7CC-C85D36BCA9A4}" name="Column8078"/>
    <tableColumn id="8097" xr3:uid="{21AECB36-6C46-5540-BC82-34B920CA53AE}" name="Column8079"/>
    <tableColumn id="8098" xr3:uid="{19FA1864-AF13-D548-998F-632A73A6C8DB}" name="Column8080"/>
    <tableColumn id="8099" xr3:uid="{712BF43A-CE99-F04E-856E-CA62AAA80672}" name="Column8081"/>
    <tableColumn id="8100" xr3:uid="{EC066185-717C-8643-AB34-EA0FB3DA8591}" name="Column8082"/>
    <tableColumn id="8101" xr3:uid="{040EB6BF-631D-D547-8B4C-D4D9F4BA3ACC}" name="Column8083"/>
    <tableColumn id="8102" xr3:uid="{E071EC73-CF4A-394F-87E7-60E52D589757}" name="Column8084"/>
    <tableColumn id="8103" xr3:uid="{75AE019A-A5C8-374B-8E8E-C6681A99FDD8}" name="Column8085"/>
    <tableColumn id="8104" xr3:uid="{8E3B0B39-E390-5F4A-A4F3-754E78F758AA}" name="Column8086"/>
    <tableColumn id="8105" xr3:uid="{2E2A4ACD-1E87-FB4F-B91B-A1D135BA71FA}" name="Column8087"/>
    <tableColumn id="8106" xr3:uid="{58C5CFCF-6DA8-2244-AFF5-05366213F7B4}" name="Column8088"/>
    <tableColumn id="8107" xr3:uid="{22968C10-FDD8-EC42-8E9A-124540C95322}" name="Column8089"/>
    <tableColumn id="8108" xr3:uid="{76CC10A3-540F-3545-9C59-6D3065799532}" name="Column8090"/>
    <tableColumn id="8109" xr3:uid="{79E987E5-3F38-9C4C-A61E-699EFCAD07D2}" name="Column8091"/>
    <tableColumn id="8110" xr3:uid="{69C32A9D-DD2E-CE4D-9CDB-BD45653C93EF}" name="Column8092"/>
    <tableColumn id="8111" xr3:uid="{132C5299-8928-8645-B51D-94AB4A46317B}" name="Column8093"/>
    <tableColumn id="8112" xr3:uid="{9D3DEC66-23F1-DF43-8ADC-FE34755A3AB8}" name="Column8094"/>
    <tableColumn id="8113" xr3:uid="{00193A78-143F-8240-B301-B518C4FCB834}" name="Column8095"/>
    <tableColumn id="8114" xr3:uid="{C4A2EE64-56C0-E64C-915F-8284491BDCF2}" name="Column8096"/>
    <tableColumn id="8115" xr3:uid="{549E3E27-8E73-BC48-A5A2-31BCE0BC78B1}" name="Column8097"/>
    <tableColumn id="8116" xr3:uid="{EAFECE6A-14EC-764F-83C7-F1374B77EE67}" name="Column8098"/>
    <tableColumn id="8117" xr3:uid="{02F29182-C06A-904D-8181-C2261B4110FD}" name="Column8099"/>
    <tableColumn id="8118" xr3:uid="{EA4DA986-D840-CC49-8441-8FCD1792A0B2}" name="Column8100"/>
    <tableColumn id="8119" xr3:uid="{FB06BE16-6968-DD44-9640-25E6A493BA6B}" name="Column8101"/>
    <tableColumn id="8120" xr3:uid="{BD3BC802-E8DC-B34B-8159-5C5E78D9CE07}" name="Column8102"/>
    <tableColumn id="8121" xr3:uid="{C7BB7C3D-820D-AF48-AB87-A0FA035BA921}" name="Column8103"/>
    <tableColumn id="8122" xr3:uid="{2EC436FB-9D98-CA4C-9479-627368A56FB5}" name="Column8104"/>
    <tableColumn id="8123" xr3:uid="{3A634FE4-A5E8-7245-96E2-DFB95AD3D830}" name="Column8105"/>
    <tableColumn id="8124" xr3:uid="{8099D4B3-1A4D-A74E-9AF6-E92F6D9E4C4C}" name="Column8106"/>
    <tableColumn id="8125" xr3:uid="{494769A6-F491-F849-B402-E8EA30F98FF9}" name="Column8107"/>
    <tableColumn id="8126" xr3:uid="{303D6D0F-167D-244A-A36C-C7EEF75ECED1}" name="Column8108"/>
    <tableColumn id="8127" xr3:uid="{820EE9BC-8313-AD4F-9B35-FE86109FF4DF}" name="Column8109"/>
    <tableColumn id="8128" xr3:uid="{E827869D-20ED-0D46-9E3B-21CD8A590FE5}" name="Column8110"/>
    <tableColumn id="8129" xr3:uid="{09599BAF-1601-F149-8A36-62A18749956B}" name="Column8111"/>
    <tableColumn id="8130" xr3:uid="{AD105D85-89D7-6B4A-B162-FFA4F34C1CD2}" name="Column8112"/>
    <tableColumn id="8131" xr3:uid="{2D0FCB3E-E6DC-D849-8678-9810662EBEAB}" name="Column8113"/>
    <tableColumn id="8132" xr3:uid="{41919667-DCDD-0246-9E62-667D3445DA3F}" name="Column8114"/>
    <tableColumn id="8133" xr3:uid="{823833C1-63CB-9F4F-9DC3-7538CBC480E3}" name="Column8115"/>
    <tableColumn id="8134" xr3:uid="{7F6ECE48-0636-DE40-83B6-95E1314DDEAC}" name="Column8116"/>
    <tableColumn id="8135" xr3:uid="{BA579995-7D20-BC48-B08E-BB48E379C23F}" name="Column8117"/>
    <tableColumn id="8136" xr3:uid="{1656EB3C-F0DD-E345-A892-FC3E3864E2AA}" name="Column8118"/>
    <tableColumn id="8137" xr3:uid="{DAB6D181-BCBF-8D4E-B211-46E06410E8A9}" name="Column8119"/>
    <tableColumn id="8138" xr3:uid="{4219DDB3-94DA-AE4E-AD27-CCBCC905B849}" name="Column8120"/>
    <tableColumn id="8139" xr3:uid="{83E647D5-BA60-3E40-9D79-11A4454CD1C5}" name="Column8121"/>
    <tableColumn id="8140" xr3:uid="{16D3BB34-ADE1-E749-9749-75002F20AAAC}" name="Column8122"/>
    <tableColumn id="8141" xr3:uid="{FF8D4CD8-B43E-3D46-819A-501EDE8FBFD0}" name="Column8123"/>
    <tableColumn id="8142" xr3:uid="{4D9C4595-4626-4E40-9DFE-4A6841541042}" name="Column8124"/>
    <tableColumn id="8143" xr3:uid="{E10DD097-3372-1242-9A2A-810F9644D954}" name="Column8125"/>
    <tableColumn id="8144" xr3:uid="{B98DE193-2007-7442-8BBE-8170A11059C8}" name="Column8126"/>
    <tableColumn id="8145" xr3:uid="{A717A537-33FB-D544-BCD1-E57A5CFA56F2}" name="Column8127"/>
    <tableColumn id="8146" xr3:uid="{B4F2EEB2-EE05-954E-B079-68586B1F0779}" name="Column8128"/>
    <tableColumn id="8147" xr3:uid="{CD356155-D22D-604D-9B0B-33EE2D167C46}" name="Column8129"/>
    <tableColumn id="8148" xr3:uid="{D7A3F628-1C66-D54E-9D3B-7263D856B63C}" name="Column8130"/>
    <tableColumn id="8149" xr3:uid="{07500412-9F21-E747-8794-EF0991BD12BE}" name="Column8131"/>
    <tableColumn id="8150" xr3:uid="{7CA65D21-F5EA-B443-898E-AB7E2C23C89C}" name="Column8132"/>
    <tableColumn id="8151" xr3:uid="{17651244-4AC9-7C4D-A975-185647E76537}" name="Column8133"/>
    <tableColumn id="8152" xr3:uid="{CDF72D5F-B5C7-3A48-9C49-92BCB5D30B1A}" name="Column8134"/>
    <tableColumn id="8153" xr3:uid="{27CDF6A9-F305-904C-A376-39756E45669D}" name="Column8135"/>
    <tableColumn id="8154" xr3:uid="{D2BE4884-55BD-F647-ADA8-73E12F54C38A}" name="Column8136"/>
    <tableColumn id="8155" xr3:uid="{C1F753E4-DD25-4745-95E1-D51664D02780}" name="Column8137"/>
    <tableColumn id="8156" xr3:uid="{7F2685DF-CC22-A14E-8843-7A45D71ECA4F}" name="Column8138"/>
    <tableColumn id="8157" xr3:uid="{B1CAAAF1-0519-8F42-9E96-7966E65932EA}" name="Column8139"/>
    <tableColumn id="8158" xr3:uid="{588355AD-D4D2-E64F-87F9-84869D1CEB74}" name="Column8140"/>
    <tableColumn id="8159" xr3:uid="{EEDB82FF-5BBE-5947-9E07-3D0F6184F70F}" name="Column8141"/>
    <tableColumn id="8160" xr3:uid="{4856DBB6-FB10-FA4C-BAD0-BFF1A4BA7C06}" name="Column8142"/>
    <tableColumn id="8161" xr3:uid="{EEA5B547-9BCA-FC40-8856-F9C7DAC4F79C}" name="Column8143"/>
    <tableColumn id="8162" xr3:uid="{3F88FC37-447F-584C-85A9-C7490DE7B575}" name="Column8144"/>
    <tableColumn id="8163" xr3:uid="{8DD6C7C4-1AE1-EF46-9892-8BD092B7B103}" name="Column8145"/>
    <tableColumn id="8164" xr3:uid="{F24CABBC-08EB-DF4F-AD79-6EC056D6B96E}" name="Column8146"/>
    <tableColumn id="8165" xr3:uid="{2C01435A-F8FE-6E43-9AE6-AB2B9501F025}" name="Column8147"/>
    <tableColumn id="8166" xr3:uid="{FA2D9668-1E88-5743-99F5-59B25A1ACC17}" name="Column8148"/>
    <tableColumn id="8167" xr3:uid="{F8EB2CA3-0196-F146-AD49-4797CF11AF2D}" name="Column8149"/>
    <tableColumn id="8168" xr3:uid="{254B8716-5433-7545-9F81-29227C6FFFE5}" name="Column8150"/>
    <tableColumn id="8169" xr3:uid="{301AC333-889E-AE4D-9898-D41EDD06A0A7}" name="Column8151"/>
    <tableColumn id="8170" xr3:uid="{3EFB63A5-95A8-C142-894C-F3549FE7DD99}" name="Column8152"/>
    <tableColumn id="8171" xr3:uid="{0E81F6BB-5DEC-9948-A188-345C5AAA316A}" name="Column8153"/>
    <tableColumn id="8172" xr3:uid="{D51726BF-CB31-B942-B6F1-B9A2FF2ED92B}" name="Column8154"/>
    <tableColumn id="8173" xr3:uid="{4FA7DF31-7C5C-8C45-A37C-790A0BFACFB3}" name="Column8155"/>
    <tableColumn id="8174" xr3:uid="{A67C1563-B57A-974A-A5FC-9651F2D50062}" name="Column8156"/>
    <tableColumn id="8175" xr3:uid="{D54627E1-3498-5643-86D3-170FE5FF2273}" name="Column8157"/>
    <tableColumn id="8176" xr3:uid="{D1C2422E-A72E-5742-8DE4-3CFE89F8A0ED}" name="Column8158"/>
    <tableColumn id="8177" xr3:uid="{D7DD6450-150E-714A-9AC4-64F7DBC13302}" name="Column8159"/>
    <tableColumn id="8178" xr3:uid="{54D9891F-3867-AD4B-8DCB-C440DC31ED99}" name="Column8160"/>
    <tableColumn id="8179" xr3:uid="{46F89D9B-B306-0743-B19A-D57F0D400620}" name="Column8161"/>
    <tableColumn id="8180" xr3:uid="{FE095C24-13C2-BF4A-9046-6B1E6A9AA765}" name="Column8162"/>
    <tableColumn id="8181" xr3:uid="{9D54D190-29F9-EB4C-8345-1AA2943FA83A}" name="Column8163"/>
    <tableColumn id="8182" xr3:uid="{3CE24D81-9A6A-7244-B520-D15BE1D57695}" name="Column8164"/>
    <tableColumn id="8183" xr3:uid="{E0CE616D-1E0B-134F-B686-30ECA89284C0}" name="Column8165"/>
    <tableColumn id="8184" xr3:uid="{9048AA4D-DFC8-174E-BF73-2EDAC8A8B44C}" name="Column8166"/>
    <tableColumn id="8185" xr3:uid="{9BCB9C7E-AF08-D340-B1C3-0FC1B28C45B3}" name="Column8167"/>
    <tableColumn id="8186" xr3:uid="{080802A0-AD23-D646-B039-41C87E6E762A}" name="Column8168"/>
    <tableColumn id="8187" xr3:uid="{4D8A3C9F-DC2F-3848-89C3-9659BCF75597}" name="Column8169"/>
    <tableColumn id="8188" xr3:uid="{8DE072D8-90C7-2E47-B5CF-8C3AC64AE23E}" name="Column8170"/>
    <tableColumn id="8189" xr3:uid="{2061E5ED-2E06-F742-AC2B-100443961ED8}" name="Column8171"/>
    <tableColumn id="8190" xr3:uid="{A137EF04-89F7-6441-B64A-A36FE5137987}" name="Column8172"/>
    <tableColumn id="8191" xr3:uid="{6626C263-C341-334F-9A16-511D425EFC64}" name="Column8173"/>
    <tableColumn id="8192" xr3:uid="{4700F1FA-718C-734D-8931-B2C1DA0AB7AB}" name="Column8174"/>
    <tableColumn id="8193" xr3:uid="{6B438154-51E1-E643-8A24-C77FAF0705E2}" name="Column8175"/>
    <tableColumn id="8194" xr3:uid="{0D96F9DD-7303-0C45-8197-D48747C921F5}" name="Column8176"/>
    <tableColumn id="8195" xr3:uid="{54FFE87D-071B-6048-A28F-CE6F785391DC}" name="Column8177"/>
    <tableColumn id="8196" xr3:uid="{9FAE3B74-FEF7-5D43-A5D8-298952E6027F}" name="Column8178"/>
    <tableColumn id="8197" xr3:uid="{614F9631-0BE9-6C4A-AE0E-618AF85E633D}" name="Column8179"/>
    <tableColumn id="8198" xr3:uid="{EF632830-0DFF-B14F-B9C2-789F0C1CE040}" name="Column8180"/>
    <tableColumn id="8199" xr3:uid="{4A1E505B-DBD5-B44F-9A84-9D597C3FF836}" name="Column8181"/>
    <tableColumn id="8200" xr3:uid="{B740CC1C-3405-0C4F-BAA2-B4A4E8DDFF4A}" name="Column8182"/>
    <tableColumn id="8201" xr3:uid="{8B109C7E-2A37-2A42-BE02-1F55FCEEEDE5}" name="Column8183"/>
    <tableColumn id="8202" xr3:uid="{B8877E4D-448E-3A43-89A5-7029CE7C170C}" name="Column8184"/>
    <tableColumn id="8203" xr3:uid="{236B21EE-1483-134B-BA3D-83056E9DC3BF}" name="Column8185"/>
    <tableColumn id="8204" xr3:uid="{369E8E5E-90E1-1149-BF50-ACA12E2FE0EB}" name="Column8186"/>
    <tableColumn id="8205" xr3:uid="{4F58387E-EDCD-1C41-AF2D-7C02F04C7751}" name="Column8187"/>
    <tableColumn id="8206" xr3:uid="{9D5406D3-873C-DF41-B800-748221121C6E}" name="Column8188"/>
    <tableColumn id="8207" xr3:uid="{85D06366-65C0-9748-9EF0-EBA053B1781E}" name="Column8189"/>
    <tableColumn id="8208" xr3:uid="{739895EF-9D43-3248-992D-2AF58F65F843}" name="Column8190"/>
    <tableColumn id="8209" xr3:uid="{82B2C799-909D-C748-807E-FF7B95E2311A}" name="Column8191"/>
    <tableColumn id="8210" xr3:uid="{6B3B76AC-518A-B54B-A57B-5D71B14BF7DC}" name="Column8192"/>
    <tableColumn id="8211" xr3:uid="{BA5F0D89-61F1-2146-908A-E814F5A04D58}" name="Column8193"/>
    <tableColumn id="8212" xr3:uid="{A361B164-890D-294A-AECE-1868A63C1755}" name="Column8194"/>
    <tableColumn id="8213" xr3:uid="{C525A015-CC02-6D48-A1F1-EACCD9C9FBF2}" name="Column8195"/>
    <tableColumn id="8214" xr3:uid="{0779B6B6-FB05-5342-92D1-FA6E718A879A}" name="Column8196"/>
    <tableColumn id="8215" xr3:uid="{790EE5C9-0CB5-B74C-9B1B-1D48DD2E747A}" name="Column8197"/>
    <tableColumn id="8216" xr3:uid="{3F44DCC8-D49A-EC4E-A97F-7635733EDCD1}" name="Column8198"/>
    <tableColumn id="8217" xr3:uid="{57E74B04-23E9-F043-84D4-A59FFABCED58}" name="Column8199"/>
    <tableColumn id="8218" xr3:uid="{97725949-029E-8D48-BD08-408B8DA820F8}" name="Column8200"/>
    <tableColumn id="8219" xr3:uid="{B476A016-64D2-F24A-B959-C78AC7499FD0}" name="Column8201"/>
    <tableColumn id="8220" xr3:uid="{84D08081-812B-D044-AFE9-1DF279FFE94F}" name="Column8202"/>
    <tableColumn id="8221" xr3:uid="{A8D9B019-FB82-0243-B5AF-5B3A571FECB9}" name="Column8203"/>
    <tableColumn id="8222" xr3:uid="{7A676015-32C6-7441-9EA9-62CD113D4511}" name="Column8204"/>
    <tableColumn id="8223" xr3:uid="{9D6C2440-49C7-E64E-81B3-CAB1E62ED56F}" name="Column8205"/>
    <tableColumn id="8224" xr3:uid="{5BCFE617-005B-B046-8C60-34A59C56DC6B}" name="Column8206"/>
    <tableColumn id="8225" xr3:uid="{B6561031-8BB9-C44A-BE1B-F756D08CE190}" name="Column8207"/>
    <tableColumn id="8226" xr3:uid="{C35B23D7-703D-604C-B7AB-44D514B21007}" name="Column8208"/>
    <tableColumn id="8227" xr3:uid="{6EE34FE2-CD93-6F44-B0D3-CE7AAE7A6552}" name="Column8209"/>
    <tableColumn id="8228" xr3:uid="{B27E9E6A-8624-6E4B-A50F-5F3851192B39}" name="Column8210"/>
    <tableColumn id="8229" xr3:uid="{42A5E606-B2D0-464A-BDB5-98A93EC56042}" name="Column8211"/>
    <tableColumn id="8230" xr3:uid="{6123E0B6-9EFD-CF4E-9A9B-8B75593A5C5A}" name="Column8212"/>
    <tableColumn id="8231" xr3:uid="{A9CAE0F7-038C-3F4B-8405-51C913D90178}" name="Column8213"/>
    <tableColumn id="8232" xr3:uid="{DE669BFA-B042-8440-A3AC-D1F705806096}" name="Column8214"/>
    <tableColumn id="8233" xr3:uid="{1B464CDC-DC65-034A-ACC6-3611536B6555}" name="Column8215"/>
    <tableColumn id="8234" xr3:uid="{A72ED7D7-9882-E84F-B5AD-F9923ECA9B90}" name="Column8216"/>
    <tableColumn id="8235" xr3:uid="{32F9B78E-96FB-C84F-901D-1510335D80A8}" name="Column8217"/>
    <tableColumn id="8236" xr3:uid="{9DDC9248-974F-0643-BF04-5A5C0EA7D48E}" name="Column8218"/>
    <tableColumn id="8237" xr3:uid="{792CFB33-16CF-D747-B690-B02535BFED9A}" name="Column8219"/>
    <tableColumn id="8238" xr3:uid="{4267EACD-9BC8-084F-9CD4-CC4C642BDAC0}" name="Column8220"/>
    <tableColumn id="8239" xr3:uid="{E4CB450D-7710-1848-A827-D8870C44D34D}" name="Column8221"/>
    <tableColumn id="8240" xr3:uid="{2872DCA0-AAB9-5649-A2EB-69F89333FCE3}" name="Column8222"/>
    <tableColumn id="8241" xr3:uid="{DB214627-8B13-F540-B5EC-596039B3339B}" name="Column8223"/>
    <tableColumn id="8242" xr3:uid="{28EF20AA-DB7E-6E4A-821D-63C2E34958DF}" name="Column8224"/>
    <tableColumn id="8243" xr3:uid="{C13D2B50-550B-3747-97C2-2181762C5F52}" name="Column8225"/>
    <tableColumn id="8244" xr3:uid="{BF4A5ADF-7D37-F04C-A89F-7C4F3EA78EEF}" name="Column8226"/>
    <tableColumn id="8245" xr3:uid="{E71E6BBF-2502-5A41-8D89-1A53A40631C5}" name="Column8227"/>
    <tableColumn id="8246" xr3:uid="{61ECEF5E-0E81-D740-98DE-ACBEAD048AF4}" name="Column8228"/>
    <tableColumn id="8247" xr3:uid="{A7E06296-AB77-FB48-BFD2-9F28D5CBE55B}" name="Column8229"/>
    <tableColumn id="8248" xr3:uid="{25FA5935-9C4E-7345-9863-59D3BC666148}" name="Column8230"/>
    <tableColumn id="8249" xr3:uid="{5C9EFD60-07EA-7B46-81CA-3D0A7DD6784F}" name="Column8231"/>
    <tableColumn id="8250" xr3:uid="{59A6D6E3-198F-8240-B800-47DDBB5C2FD4}" name="Column8232"/>
    <tableColumn id="8251" xr3:uid="{18584AF6-6841-064D-A7B5-5F29A41AEA40}" name="Column8233"/>
    <tableColumn id="8252" xr3:uid="{19006D5D-11E3-DD41-830C-0E4A1D522CE0}" name="Column8234"/>
    <tableColumn id="8253" xr3:uid="{99BF9C1B-E629-B04F-9CEC-CEA1EF23C99C}" name="Column8235"/>
    <tableColumn id="8254" xr3:uid="{FBC3BCD5-A45B-694B-AC45-AE60AD9DC85C}" name="Column8236"/>
    <tableColumn id="8255" xr3:uid="{28F5831A-EE68-B34F-BAC1-85AD95D57335}" name="Column8237"/>
    <tableColumn id="8256" xr3:uid="{EDF4B86B-F22C-A74E-8144-BE0EEFE4EBB2}" name="Column8238"/>
    <tableColumn id="8257" xr3:uid="{BD3A31EE-8787-3F49-B0FA-06FB18E4C4A3}" name="Column8239"/>
    <tableColumn id="8258" xr3:uid="{49FD6C22-4848-1F4E-84CF-9C211461E439}" name="Column8240"/>
    <tableColumn id="8259" xr3:uid="{D89B35E9-5516-E240-BCB6-8989088031E2}" name="Column8241"/>
    <tableColumn id="8260" xr3:uid="{D7670CC0-FCB5-474A-BF87-AB318FB5E5A7}" name="Column8242"/>
    <tableColumn id="8261" xr3:uid="{0A5CFD81-981F-8942-B85A-F7B3A63A6F9C}" name="Column8243"/>
    <tableColumn id="8262" xr3:uid="{332D1C7B-235C-BC4E-9F1B-58C59167ED8D}" name="Column8244"/>
    <tableColumn id="8263" xr3:uid="{67508A27-A58F-E64A-B739-7A0E39D56843}" name="Column8245"/>
    <tableColumn id="8264" xr3:uid="{FB24085B-F840-7C4B-8D6A-2CF658DCE8B4}" name="Column8246"/>
    <tableColumn id="8265" xr3:uid="{19EED226-2511-1940-AFDA-CE9E5E4E5F1D}" name="Column8247"/>
    <tableColumn id="8266" xr3:uid="{4E3E4BDB-E8F0-FC48-9EB1-C0613AF3BB66}" name="Column8248"/>
    <tableColumn id="8267" xr3:uid="{15E600CE-09C3-3B40-A95B-A0B895217EDF}" name="Column8249"/>
    <tableColumn id="8268" xr3:uid="{7C3AD1E3-0D60-3446-B187-6442F7D98903}" name="Column8250"/>
    <tableColumn id="8269" xr3:uid="{78E7E74B-A308-D04A-9715-5A760E1B8178}" name="Column8251"/>
    <tableColumn id="8270" xr3:uid="{8D2E1181-DF33-7649-8E5D-27553038A6D3}" name="Column8252"/>
    <tableColumn id="8271" xr3:uid="{BBEE0440-78FA-EB4B-99E3-ABDA5FB727EE}" name="Column8253"/>
    <tableColumn id="8272" xr3:uid="{DB08AD48-C7AA-8F48-9823-D4CA80777957}" name="Column8254"/>
    <tableColumn id="8273" xr3:uid="{29F7C960-18DE-D045-A3FB-885EE0A31DC2}" name="Column8255"/>
    <tableColumn id="8274" xr3:uid="{BE7AF552-1D1C-FB40-97E7-F4DA0E7711E2}" name="Column8256"/>
    <tableColumn id="8275" xr3:uid="{90093E5A-E874-1D47-8729-E91C293D9955}" name="Column8257"/>
    <tableColumn id="8276" xr3:uid="{6D62A9F7-A9EC-3445-A39C-A91702CE940D}" name="Column8258"/>
    <tableColumn id="8277" xr3:uid="{9B8C55DE-BF02-5149-A709-6C618C0D6D22}" name="Column8259"/>
    <tableColumn id="8278" xr3:uid="{7910747D-754F-3C4A-9782-6A3D6A10B51C}" name="Column8260"/>
    <tableColumn id="8279" xr3:uid="{3BC9EA62-BDCF-9B4A-8C3D-3C0B93232A6E}" name="Column8261"/>
    <tableColumn id="8280" xr3:uid="{BAD8B388-64F5-F14D-AA92-D020806809FE}" name="Column8262"/>
    <tableColumn id="8281" xr3:uid="{653F6E59-B148-3043-AFAA-351CBBFC9333}" name="Column8263"/>
    <tableColumn id="8282" xr3:uid="{BE3FB62A-86AB-5E4A-8A56-028EDFC22376}" name="Column8264"/>
    <tableColumn id="8283" xr3:uid="{56705701-1920-6641-B22D-4F772D7516E0}" name="Column8265"/>
    <tableColumn id="8284" xr3:uid="{EF717E02-18F6-A949-9045-0D4A05F37E29}" name="Column8266"/>
    <tableColumn id="8285" xr3:uid="{C06CEA35-7D81-DA40-8D25-09B704306D53}" name="Column8267"/>
    <tableColumn id="8286" xr3:uid="{A604D356-3445-724D-9004-547AA016B61A}" name="Column8268"/>
    <tableColumn id="8287" xr3:uid="{BEEAA326-16FB-CC43-8A06-F28397C61CD0}" name="Column8269"/>
    <tableColumn id="8288" xr3:uid="{E602943D-F3D4-A740-AACD-D33E8B94653A}" name="Column8270"/>
    <tableColumn id="8289" xr3:uid="{2EAE6354-B29A-D64B-A3A0-7644917EEC82}" name="Column8271"/>
    <tableColumn id="8290" xr3:uid="{A5682770-1423-C34D-893A-F18E9E7269B0}" name="Column8272"/>
    <tableColumn id="8291" xr3:uid="{68F309A4-9796-B845-AC6E-E7C1BB5E1F45}" name="Column8273"/>
    <tableColumn id="8292" xr3:uid="{9BF9450E-7963-AF42-82E5-E8A68D460424}" name="Column8274"/>
    <tableColumn id="8293" xr3:uid="{F25C9791-7328-684B-AE28-337A54AAA3BA}" name="Column8275"/>
    <tableColumn id="8294" xr3:uid="{CEEDEAD3-88E3-A640-BE9E-430F51123C8D}" name="Column8276"/>
    <tableColumn id="8295" xr3:uid="{68972D9D-88FA-944F-BDAE-913957EFC2B8}" name="Column8277"/>
    <tableColumn id="8296" xr3:uid="{A4236BA0-45E4-9C4F-85D4-CBA2D1809A2A}" name="Column8278"/>
    <tableColumn id="8297" xr3:uid="{223665A7-9103-F244-B50F-16F8AA3EE1B3}" name="Column8279"/>
    <tableColumn id="8298" xr3:uid="{F426654C-A1BC-424C-9DF5-7E767A5EBEFE}" name="Column8280"/>
    <tableColumn id="8299" xr3:uid="{5E2B55CF-74FC-6B4C-BFC0-6A07924C89DD}" name="Column8281"/>
    <tableColumn id="8300" xr3:uid="{1AF9543A-D20F-1D4E-8436-D2A8E8B51C95}" name="Column8282"/>
    <tableColumn id="8301" xr3:uid="{E77CCF44-334B-2249-BC95-0F12730323E5}" name="Column8283"/>
    <tableColumn id="8302" xr3:uid="{4C434060-17A7-7E47-B75E-A076DA2536DC}" name="Column8284"/>
    <tableColumn id="8303" xr3:uid="{1728BF8E-F888-C94A-9DCB-F67B917F4922}" name="Column8285"/>
    <tableColumn id="8304" xr3:uid="{EA6E5B10-1F00-554B-98EC-245E6970AF72}" name="Column8286"/>
    <tableColumn id="8305" xr3:uid="{62E93B09-3144-414A-8304-20AA6929618F}" name="Column8287"/>
    <tableColumn id="8306" xr3:uid="{86DC20BB-C84B-2845-9961-101230385F62}" name="Column8288"/>
    <tableColumn id="8307" xr3:uid="{258E3253-DF61-2440-9C0F-6DE2947978AA}" name="Column8289"/>
    <tableColumn id="8308" xr3:uid="{CE8554A1-B249-3042-B312-FC8ED1C84770}" name="Column8290"/>
    <tableColumn id="8309" xr3:uid="{DA3B67F5-7DA3-574E-A5C6-54A3BE660FBB}" name="Column8291"/>
    <tableColumn id="8310" xr3:uid="{31C981EA-5C7A-3044-8B8B-3EC1366DB09C}" name="Column8292"/>
    <tableColumn id="8311" xr3:uid="{6589B955-2BFA-2044-8950-F62C590842DA}" name="Column8293"/>
    <tableColumn id="8312" xr3:uid="{38377083-16B5-944E-8D53-9BDD5B5C6E4F}" name="Column8294"/>
    <tableColumn id="8313" xr3:uid="{D77199EF-244E-0D43-A549-CDAE5C3DFF3B}" name="Column8295"/>
    <tableColumn id="8314" xr3:uid="{F6B35B71-67FC-7A4C-A068-866330167346}" name="Column8296"/>
    <tableColumn id="8315" xr3:uid="{C4554BB7-1FBC-6E48-A5C1-45E9C69174C4}" name="Column8297"/>
    <tableColumn id="8316" xr3:uid="{58EC805E-F0F7-D14B-9951-2B95BFCFF194}" name="Column8298"/>
    <tableColumn id="8317" xr3:uid="{5D9DFEF7-00D9-F640-B046-CB30481073D6}" name="Column8299"/>
    <tableColumn id="8318" xr3:uid="{7B829D9B-C607-4E4D-B9E7-B3E0A629593F}" name="Column8300"/>
    <tableColumn id="8319" xr3:uid="{9FD8A223-3EFF-174D-88EC-048945242A65}" name="Column8301"/>
    <tableColumn id="8320" xr3:uid="{862A8429-D74F-9848-9DE4-3FFD2FB0201C}" name="Column8302"/>
    <tableColumn id="8321" xr3:uid="{FF902644-ECB7-564B-B8B3-58D0525EBE93}" name="Column8303"/>
    <tableColumn id="8322" xr3:uid="{03F124BD-AEA3-874B-A242-FB8808F42842}" name="Column8304"/>
    <tableColumn id="8323" xr3:uid="{B83646FD-0461-F340-92AD-6566C7E9ED34}" name="Column8305"/>
    <tableColumn id="8324" xr3:uid="{0CFEB052-0D1C-C744-AB79-0B1F6D69A6B5}" name="Column8306"/>
    <tableColumn id="8325" xr3:uid="{8DC5F049-1913-4243-99EF-1A08C02109A7}" name="Column8307"/>
    <tableColumn id="8326" xr3:uid="{90769C11-837F-954A-988A-95CDF4E128DF}" name="Column8308"/>
    <tableColumn id="8327" xr3:uid="{162F3708-EA60-F04D-89EC-26F08F8E4DFB}" name="Column8309"/>
    <tableColumn id="8328" xr3:uid="{3017A4F2-609A-514E-958F-02FCDFA5C450}" name="Column8310"/>
    <tableColumn id="8329" xr3:uid="{28723EDB-1D39-2941-B70F-3CA908EE91B1}" name="Column8311"/>
    <tableColumn id="8330" xr3:uid="{574A79A2-5D2E-AC4D-913A-28F3077DDBC7}" name="Column8312"/>
    <tableColumn id="8331" xr3:uid="{67CE06E1-6F28-3E40-8696-3C945E348EDC}" name="Column8313"/>
    <tableColumn id="8332" xr3:uid="{BDD33895-5F5B-5142-8A58-38A52832BF85}" name="Column8314"/>
    <tableColumn id="8333" xr3:uid="{28C0AECD-349E-D045-BB9B-56D2DAEDB7B7}" name="Column8315"/>
    <tableColumn id="8334" xr3:uid="{F9F3A228-102D-8E4E-9C2B-A7580ED6BBB6}" name="Column8316"/>
    <tableColumn id="8335" xr3:uid="{1640F491-7549-434F-A3CF-F221D56587CE}" name="Column8317"/>
    <tableColumn id="8336" xr3:uid="{A7FE8B84-68E5-2644-BE51-0FA19582D079}" name="Column8318"/>
    <tableColumn id="8337" xr3:uid="{9CC7617F-4F63-3446-83CA-777168199DDC}" name="Column8319"/>
    <tableColumn id="8338" xr3:uid="{36D11401-EFED-9C43-A2E0-948F2B934AC5}" name="Column8320"/>
    <tableColumn id="8339" xr3:uid="{76075880-ED59-B942-9F82-8FD0AE68F69E}" name="Column8321"/>
    <tableColumn id="8340" xr3:uid="{8148247F-7D07-6E4A-9FF3-E952DF69ACE6}" name="Column8322"/>
    <tableColumn id="8341" xr3:uid="{EE03F1F5-1E45-EE45-85C6-A3D8BC3A9C3B}" name="Column8323"/>
    <tableColumn id="8342" xr3:uid="{543740B2-EA36-424E-B27F-6A95157CB9C2}" name="Column8324"/>
    <tableColumn id="8343" xr3:uid="{1E25FF03-4A14-CB47-92FF-8CB0416AEC94}" name="Column8325"/>
    <tableColumn id="8344" xr3:uid="{879DA10A-FA2E-2241-A5EF-C6CA37EF7B5A}" name="Column8326"/>
    <tableColumn id="8345" xr3:uid="{89179A69-9116-7C4F-A31D-50F4A5924C3B}" name="Column8327"/>
    <tableColumn id="8346" xr3:uid="{3FC3DD85-CF8D-7D42-A151-2BB8A84951A4}" name="Column8328"/>
    <tableColumn id="8347" xr3:uid="{32F7EDBE-3820-0B45-AACF-507709AFADA2}" name="Column8329"/>
    <tableColumn id="8348" xr3:uid="{F810CFCD-DC84-AE40-A375-937C588226C6}" name="Column8330"/>
    <tableColumn id="8349" xr3:uid="{84698720-15BB-AE4E-8536-0BBC40464005}" name="Column8331"/>
    <tableColumn id="8350" xr3:uid="{17B7126B-B554-E344-824D-B0A47E140567}" name="Column8332"/>
    <tableColumn id="8351" xr3:uid="{7FC0DBE5-6695-2C4C-8B54-C313ABD01C7E}" name="Column8333"/>
    <tableColumn id="8352" xr3:uid="{54780B73-E24E-064A-BBE2-7227D1A312C8}" name="Column8334"/>
    <tableColumn id="8353" xr3:uid="{7B52DDC9-8B7B-2845-BE4A-FBB07868283A}" name="Column8335"/>
    <tableColumn id="8354" xr3:uid="{69F1D041-6C1D-1E4E-87EE-B4D0059561AA}" name="Column8336"/>
    <tableColumn id="8355" xr3:uid="{E9C97098-B354-3348-91F3-05CED88BBDB7}" name="Column8337"/>
    <tableColumn id="8356" xr3:uid="{AAB08F78-879F-F740-A153-7CC9D3365A9B}" name="Column8338"/>
    <tableColumn id="8357" xr3:uid="{E69B5AF1-9790-5840-A401-10E89D15C2A0}" name="Column8339"/>
    <tableColumn id="8358" xr3:uid="{05D712D5-01B2-A241-ABA9-2022FB9CAA7D}" name="Column8340"/>
    <tableColumn id="8359" xr3:uid="{3EE591BD-EC64-5942-B10B-99DE4735EF5C}" name="Column8341"/>
    <tableColumn id="8360" xr3:uid="{21153CD6-B56B-624E-9AC5-FDD2E775F284}" name="Column8342"/>
    <tableColumn id="8361" xr3:uid="{A561750B-82E3-2944-A6AF-06C90C6216EC}" name="Column8343"/>
    <tableColumn id="8362" xr3:uid="{A0710932-37FD-6846-8058-86712E57AAB0}" name="Column8344"/>
    <tableColumn id="8363" xr3:uid="{6B8C795D-5C6C-1B4C-B401-79334821E6DD}" name="Column8345"/>
    <tableColumn id="8364" xr3:uid="{C9A6E811-5671-B24A-934D-ED4C0343C243}" name="Column8346"/>
    <tableColumn id="8365" xr3:uid="{851A73BD-43B7-3E47-AB45-A039363F99F9}" name="Column8347"/>
    <tableColumn id="8366" xr3:uid="{E27B4E3F-964C-5B46-BCA8-964A3C2AFB2C}" name="Column8348"/>
    <tableColumn id="8367" xr3:uid="{DD2BB4DA-99CE-2B4D-96CF-0D137DA52EF6}" name="Column8349"/>
    <tableColumn id="8368" xr3:uid="{DFD6376E-30DA-0B4A-8D0A-8F97C2C69F8F}" name="Column8350"/>
    <tableColumn id="8369" xr3:uid="{16CE6E52-147F-E648-9C35-0FF25D9A9333}" name="Column8351"/>
    <tableColumn id="8370" xr3:uid="{C4DF3B60-123B-3544-B7D7-DE4141527005}" name="Column8352"/>
    <tableColumn id="8371" xr3:uid="{49E35233-5F3B-034E-B651-5337011575EC}" name="Column8353"/>
    <tableColumn id="8372" xr3:uid="{EF292090-FE36-8A4C-997C-6FA2ED23FD80}" name="Column8354"/>
    <tableColumn id="8373" xr3:uid="{A84155F2-C26E-B446-8ADC-5546B69B2C8F}" name="Column8355"/>
    <tableColumn id="8374" xr3:uid="{C5BBC533-857E-0E4B-B0BF-27DE4D426464}" name="Column8356"/>
    <tableColumn id="8375" xr3:uid="{14C16AE1-96DB-F449-88F4-94FBCAF94D37}" name="Column8357"/>
    <tableColumn id="8376" xr3:uid="{3A4D0C11-8627-8049-918F-26B6D55131B1}" name="Column8358"/>
    <tableColumn id="8377" xr3:uid="{19D28BF0-94ED-2A4E-8170-BA51C7B849A9}" name="Column8359"/>
    <tableColumn id="8378" xr3:uid="{376D11FA-8BD6-E342-9E50-8C0C14F3B696}" name="Column8360"/>
    <tableColumn id="8379" xr3:uid="{0F75CF3B-1A67-C44B-A6D2-69F05B1EBD6D}" name="Column8361"/>
    <tableColumn id="8380" xr3:uid="{9BDD2A4C-6179-8C4D-B637-A9371B4ED6EB}" name="Column8362"/>
    <tableColumn id="8381" xr3:uid="{CA389E7C-DE17-EA41-96B5-A5749F4C9C88}" name="Column8363"/>
    <tableColumn id="8382" xr3:uid="{AB169D4D-CC53-524F-95A2-5CE1F3582B07}" name="Column8364"/>
    <tableColumn id="8383" xr3:uid="{8E67701F-E8B0-BD48-A8AC-690E83D6CCB4}" name="Column8365"/>
    <tableColumn id="8384" xr3:uid="{3572E765-2C1D-694B-9E8C-5CB75FB825C3}" name="Column8366"/>
    <tableColumn id="8385" xr3:uid="{BA764BE2-8AF2-2F48-962A-0EF9C282B11C}" name="Column8367"/>
    <tableColumn id="8386" xr3:uid="{A1C7722E-0BEF-3E41-A329-897427E2AFD5}" name="Column8368"/>
    <tableColumn id="8387" xr3:uid="{DB10285B-EA2E-1A40-899F-6C7A17D9CD6F}" name="Column8369"/>
    <tableColumn id="8388" xr3:uid="{EDC29F39-36B0-794F-8823-F28782AB7452}" name="Column8370"/>
    <tableColumn id="8389" xr3:uid="{1C4437A6-ACD7-BA49-A56B-A1D561C48E2F}" name="Column8371"/>
    <tableColumn id="8390" xr3:uid="{F57B03E1-5921-0E4D-9D6A-07CA568A6CDD}" name="Column8372"/>
    <tableColumn id="8391" xr3:uid="{CE69F592-63BC-0B46-A833-84C810CE5B85}" name="Column8373"/>
    <tableColumn id="8392" xr3:uid="{AA831775-45EF-5A4B-8E8D-8AE814CBC0F5}" name="Column8374"/>
    <tableColumn id="8393" xr3:uid="{BD7602B1-CC52-C041-B568-1705C8822FD8}" name="Column8375"/>
    <tableColumn id="8394" xr3:uid="{F0C53D6E-8B7C-0147-B0E7-7EFA53409E0A}" name="Column8376"/>
    <tableColumn id="8395" xr3:uid="{126856FD-447C-C54C-9363-F74019E17000}" name="Column8377"/>
    <tableColumn id="8396" xr3:uid="{55AF3F04-7D39-E644-B4E1-F5AE47249042}" name="Column8378"/>
    <tableColumn id="8397" xr3:uid="{D5A9B980-D909-B64D-9BE1-C48D41F8AA0E}" name="Column8379"/>
    <tableColumn id="8398" xr3:uid="{9BD142BB-E436-B04E-BA45-475D5A77F9BE}" name="Column8380"/>
    <tableColumn id="8399" xr3:uid="{7E8502F4-EE27-4543-9517-942DB6F6ED6C}" name="Column8381"/>
    <tableColumn id="8400" xr3:uid="{87979B24-DDC8-DA4A-8B88-2CD06867AF29}" name="Column8382"/>
    <tableColumn id="8401" xr3:uid="{D113CAD7-6D09-634C-96EF-7F4D452E3343}" name="Column8383"/>
    <tableColumn id="8402" xr3:uid="{9FC6DAC1-2C35-0D41-BC32-732174583764}" name="Column8384"/>
    <tableColumn id="8403" xr3:uid="{20C4259E-DC9B-B142-8FCF-BECDCAF9C640}" name="Column8385"/>
    <tableColumn id="8404" xr3:uid="{FD217B5F-04AB-E548-81F5-39DC98340C5F}" name="Column8386"/>
    <tableColumn id="8405" xr3:uid="{4501CA1D-3455-944A-9C53-395427FAE442}" name="Column8387"/>
    <tableColumn id="8406" xr3:uid="{3B722964-47F5-9E44-AD67-6AE44FC8C89D}" name="Column8388"/>
    <tableColumn id="8407" xr3:uid="{45FD54AF-6217-8745-9E14-E6C7D037A115}" name="Column8389"/>
    <tableColumn id="8408" xr3:uid="{25AD2A05-1461-DD4E-B4B5-EF759B05BF55}" name="Column8390"/>
    <tableColumn id="8409" xr3:uid="{8C76F3AB-B8D8-5A47-8786-DFF259A97338}" name="Column8391"/>
    <tableColumn id="8410" xr3:uid="{975D8FAC-D611-E04E-8463-2BC099F2304E}" name="Column8392"/>
    <tableColumn id="8411" xr3:uid="{E636C8AA-4D17-0B4E-86BC-B5E828C93403}" name="Column8393"/>
    <tableColumn id="8412" xr3:uid="{A6840B6B-E318-3145-9E4D-029F94565BA5}" name="Column8394"/>
    <tableColumn id="8413" xr3:uid="{6EC0C31E-1446-6F4D-A021-351C09F31C61}" name="Column8395"/>
    <tableColumn id="8414" xr3:uid="{92AF8A6B-A81F-D542-AF9D-C7AFABCC9280}" name="Column8396"/>
    <tableColumn id="8415" xr3:uid="{4CDBCAE9-F674-8D40-8514-7F8F14DFB24E}" name="Column8397"/>
    <tableColumn id="8416" xr3:uid="{D5EF6E56-7AB0-6F46-8493-8E79FD553364}" name="Column8398"/>
    <tableColumn id="8417" xr3:uid="{27FA5860-9CEB-F243-9A28-21680B7781D5}" name="Column8399"/>
    <tableColumn id="8418" xr3:uid="{87569807-B3C1-4147-9136-B38A42786BD8}" name="Column8400"/>
    <tableColumn id="8419" xr3:uid="{C6B6AF26-727C-CE40-8B11-C3C60D1CA1AF}" name="Column8401"/>
    <tableColumn id="8420" xr3:uid="{93354E88-AFF4-6F40-821B-08CD1F279036}" name="Column8402"/>
    <tableColumn id="8421" xr3:uid="{D632B1A0-78B2-0C42-8562-CD677AC9587C}" name="Column8403"/>
    <tableColumn id="8422" xr3:uid="{9AB3471F-9475-2C4D-9408-748C3E79C30C}" name="Column8404"/>
    <tableColumn id="8423" xr3:uid="{6AE19B08-1169-F14F-AC77-07377948F082}" name="Column8405"/>
    <tableColumn id="8424" xr3:uid="{3A040231-2BA6-6945-8B33-38626B3C45E7}" name="Column8406"/>
    <tableColumn id="8425" xr3:uid="{C2801A82-7342-A441-93EC-5CF5846893EF}" name="Column8407"/>
    <tableColumn id="8426" xr3:uid="{BEFDE534-90EC-D942-ABA6-13FED95715E1}" name="Column8408"/>
    <tableColumn id="8427" xr3:uid="{9801E5B0-23C3-7F42-A8E7-DC70A1F9A29C}" name="Column8409"/>
    <tableColumn id="8428" xr3:uid="{6257957F-89B8-7246-9581-438AE2BC3E6D}" name="Column8410"/>
    <tableColumn id="8429" xr3:uid="{1F727E01-1719-9E4C-8CAF-501A9E29ADB5}" name="Column8411"/>
    <tableColumn id="8430" xr3:uid="{A0F7AEB3-7C25-D44F-821B-D643001EBEB4}" name="Column8412"/>
    <tableColumn id="8431" xr3:uid="{DB8B117B-C6FF-704A-947F-AB52827B939B}" name="Column8413"/>
    <tableColumn id="8432" xr3:uid="{A48891CD-902D-D14A-A93B-EE2B3DF7A651}" name="Column8414"/>
    <tableColumn id="8433" xr3:uid="{D7D97E4C-5B0C-5745-9666-7FF1AC3F5254}" name="Column8415"/>
    <tableColumn id="8434" xr3:uid="{21C86591-C2BD-8E4B-870E-88760DB61052}" name="Column8416"/>
    <tableColumn id="8435" xr3:uid="{7B497966-10C4-0248-944C-06EC1966566C}" name="Column8417"/>
    <tableColumn id="8436" xr3:uid="{66CE4AA1-C04F-7842-8CD3-00F38EDB40C4}" name="Column8418"/>
    <tableColumn id="8437" xr3:uid="{43DB6D2B-E002-1746-9A51-35D55C7A41F6}" name="Column8419"/>
    <tableColumn id="8438" xr3:uid="{103AE953-58F6-E24F-9063-2FC8A3451CBD}" name="Column8420"/>
    <tableColumn id="8439" xr3:uid="{8A59E6F7-B1AF-AD4D-9B61-9D90D1BCD243}" name="Column8421"/>
    <tableColumn id="8440" xr3:uid="{764DF506-8A36-314B-92B4-D1A65910BD36}" name="Column8422"/>
    <tableColumn id="8441" xr3:uid="{D39A70D4-4F02-4B44-B40F-ED206E648885}" name="Column8423"/>
    <tableColumn id="8442" xr3:uid="{2B3A4DA4-635E-A14D-A1F9-B27583AD8E1A}" name="Column8424"/>
    <tableColumn id="8443" xr3:uid="{7D4404C7-D741-6E44-8A56-8027D259A209}" name="Column8425"/>
    <tableColumn id="8444" xr3:uid="{FCDAF578-B09D-5348-BED5-C45AF5CEA260}" name="Column8426"/>
    <tableColumn id="8445" xr3:uid="{5E95A996-479F-7A4F-A8A2-DB240BE94A29}" name="Column8427"/>
    <tableColumn id="8446" xr3:uid="{0025E1DF-E95C-C74C-9163-2CBE2D28670E}" name="Column8428"/>
    <tableColumn id="8447" xr3:uid="{A7EEA001-E675-294F-895D-910C8CA0595A}" name="Column8429"/>
    <tableColumn id="8448" xr3:uid="{2871C7A7-6028-2945-BCCF-20E4D8CC8E06}" name="Column8430"/>
    <tableColumn id="8449" xr3:uid="{91157581-1E93-3149-8096-5B11CFC3D8C1}" name="Column8431"/>
    <tableColumn id="8450" xr3:uid="{835D0C8C-8226-9E47-BFBA-3BD0BFECAE92}" name="Column8432"/>
    <tableColumn id="8451" xr3:uid="{0ACA5E2C-CE21-2D45-BBE3-558129BC6E04}" name="Column8433"/>
    <tableColumn id="8452" xr3:uid="{49A3C760-1BFC-244C-8A2C-D8BAE5FD6354}" name="Column8434"/>
    <tableColumn id="8453" xr3:uid="{1D519CA4-3C3E-EB4A-B466-83C01ED608B8}" name="Column8435"/>
    <tableColumn id="8454" xr3:uid="{992A79EC-C2ED-5043-AA5C-3E6471636708}" name="Column8436"/>
    <tableColumn id="8455" xr3:uid="{3261FF4C-1B35-044E-9DAC-36543E263B95}" name="Column8437"/>
    <tableColumn id="8456" xr3:uid="{5B210890-C2B2-574C-ABC5-EB4284B7421A}" name="Column8438"/>
    <tableColumn id="8457" xr3:uid="{6273D60D-74EE-714D-81F2-405CA0255412}" name="Column8439"/>
    <tableColumn id="8458" xr3:uid="{9495D8FC-E24B-4547-8A32-1CAA48DB112D}" name="Column8440"/>
    <tableColumn id="8459" xr3:uid="{7CD046A2-F03B-164C-B18B-BCAAA3925A03}" name="Column8441"/>
    <tableColumn id="8460" xr3:uid="{7CC6DB74-6195-4F4D-AB4D-E8B03E49CF60}" name="Column8442"/>
    <tableColumn id="8461" xr3:uid="{20639412-4F7E-4943-9708-1EAFAE783472}" name="Column8443"/>
    <tableColumn id="8462" xr3:uid="{7C75584F-CA0F-0740-AF78-EDF726578B2A}" name="Column8444"/>
    <tableColumn id="8463" xr3:uid="{7D2A04D8-F304-7F4A-9C46-42758705B446}" name="Column8445"/>
    <tableColumn id="8464" xr3:uid="{40A0B7C5-6227-0044-9D4F-47448184A3C8}" name="Column8446"/>
    <tableColumn id="8465" xr3:uid="{83CA7F23-DD36-BE4C-856B-968957FA609C}" name="Column8447"/>
    <tableColumn id="8466" xr3:uid="{2C5FCD6E-D597-704E-98F7-6845DBB17693}" name="Column8448"/>
    <tableColumn id="8467" xr3:uid="{EEFA229E-D527-A14A-BD7D-06A39DC3D59F}" name="Column8449"/>
    <tableColumn id="8468" xr3:uid="{94369ABD-18B2-1042-A619-03BCE9A28230}" name="Column8450"/>
    <tableColumn id="8469" xr3:uid="{5ECB0BEA-F041-204C-9D11-A0774B230486}" name="Column8451"/>
    <tableColumn id="8470" xr3:uid="{4A10FA1F-8DED-FB4A-B866-A6E2530E2C0E}" name="Column8452"/>
    <tableColumn id="8471" xr3:uid="{A86006C1-1121-CB4E-9E76-D817DCB8F95F}" name="Column8453"/>
    <tableColumn id="8472" xr3:uid="{826E67CD-19BD-9741-BADD-9E98AA7FF898}" name="Column8454"/>
    <tableColumn id="8473" xr3:uid="{5E575449-F8F4-C34A-8C75-95E33515D784}" name="Column8455"/>
    <tableColumn id="8474" xr3:uid="{3444BB99-F745-A34C-9A5C-D9BE227F4CC6}" name="Column8456"/>
    <tableColumn id="8475" xr3:uid="{3ABC63C4-E952-A34A-A2C6-4F9B525E1AF4}" name="Column8457"/>
    <tableColumn id="8476" xr3:uid="{CE57FFB6-5ED7-D14A-8694-7B56B5813563}" name="Column8458"/>
    <tableColumn id="8477" xr3:uid="{9FC341ED-5FD4-E84D-98F5-25D2757C7E97}" name="Column8459"/>
    <tableColumn id="8478" xr3:uid="{35235905-5B71-A148-BA5D-536796EF0F8F}" name="Column8460"/>
    <tableColumn id="8479" xr3:uid="{EA40EDBA-723E-E94E-9F23-C255EAFA98CE}" name="Column8461"/>
    <tableColumn id="8480" xr3:uid="{6232038C-600A-9241-BC9F-43259F3685AC}" name="Column8462"/>
    <tableColumn id="8481" xr3:uid="{58FBD6AC-ED4F-BF4C-97D8-2338D189DE82}" name="Column8463"/>
    <tableColumn id="8482" xr3:uid="{D2A865A3-6C28-054F-91A2-CD1E4087DC5F}" name="Column8464"/>
    <tableColumn id="8483" xr3:uid="{D3B43E7E-E496-1B4F-A1CB-3B16C5E9A84D}" name="Column8465"/>
    <tableColumn id="8484" xr3:uid="{DE6D0C34-E6D4-DD46-83D3-8A7E85AD4AB4}" name="Column8466"/>
    <tableColumn id="8485" xr3:uid="{5CA223A9-608A-3B43-89CF-2E421A24DC72}" name="Column8467"/>
    <tableColumn id="8486" xr3:uid="{539F943E-BD3F-A643-B2ED-26B19A71F020}" name="Column8468"/>
    <tableColumn id="8487" xr3:uid="{209D8731-E0B2-EC40-BA12-42593327A374}" name="Column8469"/>
    <tableColumn id="8488" xr3:uid="{4A50922B-20E1-F94D-AF33-F6720F48F217}" name="Column8470"/>
    <tableColumn id="8489" xr3:uid="{FFA05051-5DFF-6643-824A-9DB29197EA06}" name="Column8471"/>
    <tableColumn id="8490" xr3:uid="{EB0A52FE-5A9E-C041-8421-8F5224B2E3F2}" name="Column8472"/>
    <tableColumn id="8491" xr3:uid="{847FF3FD-1114-444C-8828-84D1CE7C29D0}" name="Column8473"/>
    <tableColumn id="8492" xr3:uid="{09F82B00-230B-9A4C-BD99-E8002147D3DF}" name="Column8474"/>
    <tableColumn id="8493" xr3:uid="{C20419C3-8CA9-A94B-8D52-EFF84875AB0E}" name="Column8475"/>
    <tableColumn id="8494" xr3:uid="{596D58F7-8179-6545-BDD3-5C166C89D46B}" name="Column8476"/>
    <tableColumn id="8495" xr3:uid="{C3B49271-8516-A24B-AD57-697BE662F746}" name="Column8477"/>
    <tableColumn id="8496" xr3:uid="{CF0592B3-0486-3549-B4FB-FDBFD265A9AA}" name="Column8478"/>
    <tableColumn id="8497" xr3:uid="{4E1B1960-17BC-9A41-A5D6-E0FE9E74A28A}" name="Column8479"/>
    <tableColumn id="8498" xr3:uid="{8BE60E51-547D-3847-80B0-95AFD50A9789}" name="Column8480"/>
    <tableColumn id="8499" xr3:uid="{09CBAE95-E08F-BF48-AB97-E8182485AD96}" name="Column8481"/>
    <tableColumn id="8500" xr3:uid="{8E0302C2-1813-3243-8031-B5A58AA21452}" name="Column8482"/>
    <tableColumn id="8501" xr3:uid="{0E31AB29-7449-FE4B-91D4-19D49A023495}" name="Column8483"/>
    <tableColumn id="8502" xr3:uid="{4213B26A-1571-D64B-B77A-196E53C6EBAC}" name="Column8484"/>
    <tableColumn id="8503" xr3:uid="{46A8407B-2ACC-E84F-B46A-A54EC637313A}" name="Column8485"/>
    <tableColumn id="8504" xr3:uid="{92581179-6919-634C-8E3E-FFA5FEA64553}" name="Column8486"/>
    <tableColumn id="8505" xr3:uid="{DE0CB33D-3684-E047-A277-C89736812519}" name="Column8487"/>
    <tableColumn id="8506" xr3:uid="{CF3F27CE-E020-5546-BD07-058C3EFFDE39}" name="Column8488"/>
    <tableColumn id="8507" xr3:uid="{9C93E5A4-2F6E-AF4D-8D37-237B46943823}" name="Column8489"/>
    <tableColumn id="8508" xr3:uid="{735DB921-B473-3540-A02F-91252D0B3999}" name="Column8490"/>
    <tableColumn id="8509" xr3:uid="{8DDF8D57-7F35-2246-8C91-8A3E0CBB5274}" name="Column8491"/>
    <tableColumn id="8510" xr3:uid="{3372D9B5-D2E6-7346-85DB-071C8AF806E0}" name="Column8492"/>
    <tableColumn id="8511" xr3:uid="{57D03E3C-09CF-8549-B0A5-C0058D273EB8}" name="Column8493"/>
    <tableColumn id="8512" xr3:uid="{EC7A8EA6-B556-3B4E-8CE5-76E41A7F47CE}" name="Column8494"/>
    <tableColumn id="8513" xr3:uid="{76739195-08EF-5C4A-835E-A03ADA671E4E}" name="Column8495"/>
    <tableColumn id="8514" xr3:uid="{9A0EC082-B634-B449-ACD0-A426CB25C066}" name="Column8496"/>
    <tableColumn id="8515" xr3:uid="{E210304D-10C7-B74E-9BC4-A8B189D12E35}" name="Column8497"/>
    <tableColumn id="8516" xr3:uid="{D2C91706-8DCA-1340-AA56-44D3FA305BF8}" name="Column8498"/>
    <tableColumn id="8517" xr3:uid="{A87E150A-A5BE-7D45-8179-8A69349A20B6}" name="Column8499"/>
    <tableColumn id="8518" xr3:uid="{0EF61D17-0B0C-994E-A5D5-FCB75CCF54F1}" name="Column8500"/>
    <tableColumn id="8519" xr3:uid="{0A87D079-724F-824F-8FAD-DC7FF67F20A1}" name="Column8501"/>
    <tableColumn id="8520" xr3:uid="{66642A3D-5CE0-E14D-98BE-93008A5F8C6F}" name="Column8502"/>
    <tableColumn id="8521" xr3:uid="{5F353ECF-CA07-7146-A1F2-3DE7D22B6CE4}" name="Column8503"/>
    <tableColumn id="8522" xr3:uid="{A682BAFA-0A21-364A-A9F5-0E613E5D84E3}" name="Column8504"/>
    <tableColumn id="8523" xr3:uid="{55721DBD-F0D4-6C44-8221-CFB55B0662C3}" name="Column8505"/>
    <tableColumn id="8524" xr3:uid="{64D2854E-01D0-D646-976D-5A4B6ED32A18}" name="Column8506"/>
    <tableColumn id="8525" xr3:uid="{2CBC8A47-778B-6B46-91C6-AC8100FC8B82}" name="Column8507"/>
    <tableColumn id="8526" xr3:uid="{89C3A5B9-23BC-8244-8D0B-A88C9D65FBB7}" name="Column8508"/>
    <tableColumn id="8527" xr3:uid="{A99B1577-3128-A843-BC19-2BF04CDF6976}" name="Column8509"/>
    <tableColumn id="8528" xr3:uid="{29D1A683-FB6F-3A44-8143-D3F4824EAF7A}" name="Column8510"/>
    <tableColumn id="8529" xr3:uid="{9FFFC703-6DBD-EF4A-AEF7-6AAA747B3338}" name="Column8511"/>
    <tableColumn id="8530" xr3:uid="{71DF87FE-791A-5A42-8101-E02D1EE915FF}" name="Column8512"/>
    <tableColumn id="8531" xr3:uid="{826D21E5-81BE-1C40-83D9-3433BE8F8F2B}" name="Column8513"/>
    <tableColumn id="8532" xr3:uid="{74088997-9EF1-DB41-9A6F-944AE354AE01}" name="Column8514"/>
    <tableColumn id="8533" xr3:uid="{6ED9713D-C68B-F840-932D-952ED3287799}" name="Column8515"/>
    <tableColumn id="8534" xr3:uid="{1B0083B6-897C-854F-8D70-69003A8450F2}" name="Column8516"/>
    <tableColumn id="8535" xr3:uid="{9E00D1D9-8013-0444-AE64-FEFDCFC3A61A}" name="Column8517"/>
    <tableColumn id="8536" xr3:uid="{445B3786-B763-634F-9461-4DB1F5DE8B38}" name="Column8518"/>
    <tableColumn id="8537" xr3:uid="{AA936FA3-67E4-4241-AD8C-36B81BA6F83C}" name="Column8519"/>
    <tableColumn id="8538" xr3:uid="{78E610CA-34E4-6843-9613-DE0939B33E80}" name="Column8520"/>
    <tableColumn id="8539" xr3:uid="{BDD8920F-1BF4-6749-968A-8EEA5BFA08BA}" name="Column8521"/>
    <tableColumn id="8540" xr3:uid="{53DC6690-E512-6B43-9E62-18DC8A553922}" name="Column8522"/>
    <tableColumn id="8541" xr3:uid="{089B2B18-F62E-6842-BEF7-C83C29B63079}" name="Column8523"/>
    <tableColumn id="8542" xr3:uid="{C6CBB369-699D-9C47-84F1-EBEDA09A075C}" name="Column8524"/>
    <tableColumn id="8543" xr3:uid="{DB9ABD1A-D366-3E49-88FA-93228DAC56A3}" name="Column8525"/>
    <tableColumn id="8544" xr3:uid="{BE5200E3-3324-494A-A2D3-0FC70FDB60D7}" name="Column8526"/>
    <tableColumn id="8545" xr3:uid="{9F41037C-239B-EE4C-B125-600DF97381A7}" name="Column8527"/>
    <tableColumn id="8546" xr3:uid="{AED3B366-FF21-104D-B8DA-6718A8BC2E53}" name="Column8528"/>
    <tableColumn id="8547" xr3:uid="{4BD10D30-A3E8-8941-9B9A-5E198F14556E}" name="Column8529"/>
    <tableColumn id="8548" xr3:uid="{6BABF19C-19E1-434A-96BE-400722828298}" name="Column8530"/>
    <tableColumn id="8549" xr3:uid="{732F0DB9-D0B6-B34B-9AAC-6B020B9DDAF1}" name="Column8531"/>
    <tableColumn id="8550" xr3:uid="{A289C6ED-DAAC-3B4D-BE87-3911EF2D2502}" name="Column8532"/>
    <tableColumn id="8551" xr3:uid="{0B08C778-E2F2-A545-9BD9-A638E8C97898}" name="Column8533"/>
    <tableColumn id="8552" xr3:uid="{572B51D8-6D9A-AA47-A07D-4D68DFED9610}" name="Column8534"/>
    <tableColumn id="8553" xr3:uid="{F456D935-C9F7-944D-BCF9-0A194AA3EA07}" name="Column8535"/>
    <tableColumn id="8554" xr3:uid="{F5C5BB41-D750-974F-9B9B-1A47FF131E97}" name="Column8536"/>
    <tableColumn id="8555" xr3:uid="{05EA7B65-5A30-5640-88F7-2B9769375A47}" name="Column8537"/>
    <tableColumn id="8556" xr3:uid="{B99577EF-1C97-2744-A84A-C058476688CD}" name="Column8538"/>
    <tableColumn id="8557" xr3:uid="{F97FCA1C-CC14-5042-8F6B-055C3BB210B4}" name="Column8539"/>
    <tableColumn id="8558" xr3:uid="{F138DD43-381A-4944-86DE-53198F4C9302}" name="Column8540"/>
    <tableColumn id="8559" xr3:uid="{90E8BC9C-C981-9E4F-824F-07DDAF81A2C0}" name="Column8541"/>
    <tableColumn id="8560" xr3:uid="{7F61DD6B-D0E0-EA4F-B415-F351C081BF6D}" name="Column8542"/>
    <tableColumn id="8561" xr3:uid="{4F0A46D8-AAB5-2A42-BF48-93EAA9142D7B}" name="Column8543"/>
    <tableColumn id="8562" xr3:uid="{358AF543-10B1-264B-B0C1-6DB491D3A159}" name="Column8544"/>
    <tableColumn id="8563" xr3:uid="{372F60B5-AC8C-5B48-B266-3549BE5D8006}" name="Column8545"/>
    <tableColumn id="8564" xr3:uid="{8B06EDEB-4ED1-854E-91CE-041A38A740E1}" name="Column8546"/>
    <tableColumn id="8565" xr3:uid="{67F7AAB4-9256-3640-B105-88FCC03E2956}" name="Column8547"/>
    <tableColumn id="8566" xr3:uid="{FE55AEBB-72CF-0849-8720-DFE943A9915C}" name="Column8548"/>
    <tableColumn id="8567" xr3:uid="{67B76EDD-DB1A-8945-82AB-1CB296119989}" name="Column8549"/>
    <tableColumn id="8568" xr3:uid="{C0B9A51E-41E4-DF4D-8474-5F61128B8EBA}" name="Column8550"/>
    <tableColumn id="8569" xr3:uid="{09A09C4C-1D25-F449-9077-BD30ED07C0EA}" name="Column8551"/>
    <tableColumn id="8570" xr3:uid="{0B160F8C-9FEE-B141-8862-F5AF80D04FFF}" name="Column8552"/>
    <tableColumn id="8571" xr3:uid="{BBEF3B82-6B2E-A048-B042-BC6FDA2346B3}" name="Column8553"/>
    <tableColumn id="8572" xr3:uid="{4A543F36-2E1F-FC42-B922-03F363F6D438}" name="Column8554"/>
    <tableColumn id="8573" xr3:uid="{C48314BE-BA16-9244-B6F4-45D5FA7F17F7}" name="Column8555"/>
    <tableColumn id="8574" xr3:uid="{AEBCDEF5-2AAB-8A45-81D0-18FC5CB4056C}" name="Column8556"/>
    <tableColumn id="8575" xr3:uid="{AD9AC620-E2CA-3943-AC54-F318FB49D67B}" name="Column8557"/>
    <tableColumn id="8576" xr3:uid="{86DD0004-388D-144A-ABED-2B0B1B91094B}" name="Column8558"/>
    <tableColumn id="8577" xr3:uid="{6206E354-B1A8-A34E-B59B-3604D2368A9C}" name="Column8559"/>
    <tableColumn id="8578" xr3:uid="{DDD88C34-8AD6-7E4D-9861-5CCF5A3B481C}" name="Column8560"/>
    <tableColumn id="8579" xr3:uid="{77D6EB4B-CA49-EF41-A4F6-39F05FBBDE9F}" name="Column8561"/>
    <tableColumn id="8580" xr3:uid="{9BF223ED-E08A-B84D-892E-E8451369B3BF}" name="Column8562"/>
    <tableColumn id="8581" xr3:uid="{89C75405-4156-F843-8396-F201D83E927F}" name="Column8563"/>
    <tableColumn id="8582" xr3:uid="{3209DB4B-2A5A-644C-B9AA-B81AAF250675}" name="Column8564"/>
    <tableColumn id="8583" xr3:uid="{5FA47B36-3C60-1949-B0AB-DA165FD3B923}" name="Column8565"/>
    <tableColumn id="8584" xr3:uid="{D488C61C-D2BB-B64E-A6F0-FB2B710F45C9}" name="Column8566"/>
    <tableColumn id="8585" xr3:uid="{9B196959-4A8E-D84F-A809-8430A1FF40F6}" name="Column8567"/>
    <tableColumn id="8586" xr3:uid="{A0F3A7A6-B13F-1A43-8DE6-0DA1A4F57388}" name="Column8568"/>
    <tableColumn id="8587" xr3:uid="{E50EE537-6750-7944-BACA-35A04EAF5F26}" name="Column8569"/>
    <tableColumn id="8588" xr3:uid="{D9A6A577-53A2-4F4F-BB0E-7165E92C73EC}" name="Column8570"/>
    <tableColumn id="8589" xr3:uid="{25F59F12-9407-7346-A469-0EA54F49E72C}" name="Column8571"/>
    <tableColumn id="8590" xr3:uid="{19C9EA8E-3F7E-424E-B1D9-F495F5854FD2}" name="Column8572"/>
    <tableColumn id="8591" xr3:uid="{9B2640D7-4986-0D43-942C-4F132EF47CBD}" name="Column8573"/>
    <tableColumn id="8592" xr3:uid="{19304058-FCDD-1444-80A5-80437D7F5B67}" name="Column8574"/>
    <tableColumn id="8593" xr3:uid="{7AECFFD8-F129-F74F-81EE-301E86E61AC5}" name="Column8575"/>
    <tableColumn id="8594" xr3:uid="{4014941E-7A5C-874E-A59B-795CB9A78FDF}" name="Column8576"/>
    <tableColumn id="8595" xr3:uid="{730773DA-33B0-6A45-9878-E6BC938A68F8}" name="Column8577"/>
    <tableColumn id="8596" xr3:uid="{C5D660B7-3BF7-DB42-BE50-0D540C47DDFA}" name="Column8578"/>
    <tableColumn id="8597" xr3:uid="{BE9EEE97-1A4E-EF41-98CE-40DD0A273977}" name="Column8579"/>
    <tableColumn id="8598" xr3:uid="{08667E47-CB5E-BF4F-8D39-DBD51D56DD05}" name="Column8580"/>
    <tableColumn id="8599" xr3:uid="{9808F672-1EE0-BE40-A13F-319F756E1512}" name="Column8581"/>
    <tableColumn id="8600" xr3:uid="{C6E75B16-4284-3143-8986-94455E949B60}" name="Column8582"/>
    <tableColumn id="8601" xr3:uid="{35128E0D-50C1-6E44-B80F-4FF304FE476B}" name="Column8583"/>
    <tableColumn id="8602" xr3:uid="{AD1FD7F8-87E3-8C40-AC1A-378198CE81D1}" name="Column8584"/>
    <tableColumn id="8603" xr3:uid="{C3D1BCC7-C48A-744B-AC66-AC1D4859836F}" name="Column8585"/>
    <tableColumn id="8604" xr3:uid="{A175D36F-9F28-0B4F-9E29-D519D4F17313}" name="Column8586"/>
    <tableColumn id="8605" xr3:uid="{0E60BC9F-9644-5E45-AFCF-DB451B76F671}" name="Column8587"/>
    <tableColumn id="8606" xr3:uid="{B0047387-EC82-674E-96E1-BCD6696CB0D1}" name="Column8588"/>
    <tableColumn id="8607" xr3:uid="{396573D4-0086-7A48-8728-655E6C2C8A21}" name="Column8589"/>
    <tableColumn id="8608" xr3:uid="{6A4A42AA-A710-1947-AADE-683E951FC9DA}" name="Column8590"/>
    <tableColumn id="8609" xr3:uid="{7CCA926F-97C7-D44B-8EE9-121232036F54}" name="Column8591"/>
    <tableColumn id="8610" xr3:uid="{5FDA88E2-1B6D-F446-ADED-8915E7897606}" name="Column8592"/>
    <tableColumn id="8611" xr3:uid="{F0D9B329-520C-334D-8F41-D7E0C4628D7F}" name="Column8593"/>
    <tableColumn id="8612" xr3:uid="{78563193-460C-6B42-834B-9645A04B5329}" name="Column8594"/>
    <tableColumn id="8613" xr3:uid="{AD9994C3-0998-7348-878A-E9F2BD62DFE3}" name="Column8595"/>
    <tableColumn id="8614" xr3:uid="{B5FC4A8C-31D2-7742-86F4-56BCFC323471}" name="Column8596"/>
    <tableColumn id="8615" xr3:uid="{9B8292B9-3F30-8E4A-BDFC-DE66E518F997}" name="Column8597"/>
    <tableColumn id="8616" xr3:uid="{7E849D08-1A4C-784B-A8A8-74242B820664}" name="Column8598"/>
    <tableColumn id="8617" xr3:uid="{56ACE390-176E-4043-9292-EE0C969E9DC9}" name="Column8599"/>
    <tableColumn id="8618" xr3:uid="{0AAF2628-9321-F24C-89C1-4713C1B999EC}" name="Column8600"/>
    <tableColumn id="8619" xr3:uid="{1F6769DC-543F-1849-B64A-E0E388D38540}" name="Column8601"/>
    <tableColumn id="8620" xr3:uid="{65E5E52B-181A-2345-80D2-CFA5C182FEF5}" name="Column8602"/>
    <tableColumn id="8621" xr3:uid="{B5382878-1D58-1442-8544-9415E5C491B9}" name="Column8603"/>
    <tableColumn id="8622" xr3:uid="{49A0EFBA-4C4F-134A-8DD6-B7079EFBA530}" name="Column8604"/>
    <tableColumn id="8623" xr3:uid="{83AB0739-2E27-EB49-AF91-7B730A77D201}" name="Column8605"/>
    <tableColumn id="8624" xr3:uid="{8A046DEE-24B3-5646-82CC-76C166629255}" name="Column8606"/>
    <tableColumn id="8625" xr3:uid="{724818BD-F01D-6347-9DE5-4A12F2FB5342}" name="Column8607"/>
    <tableColumn id="8626" xr3:uid="{5AF09429-491D-5542-80B5-A0B8E9160D6F}" name="Column8608"/>
    <tableColumn id="8627" xr3:uid="{8D821F70-2F82-6143-8E55-5380B07F117B}" name="Column8609"/>
    <tableColumn id="8628" xr3:uid="{16112209-90C5-6646-9AA3-114924E32C36}" name="Column8610"/>
    <tableColumn id="8629" xr3:uid="{9C01268A-08F8-7540-9F0B-AEEDE25C3561}" name="Column8611"/>
    <tableColumn id="8630" xr3:uid="{140BA7DA-074C-654A-9890-DB807CD46DF0}" name="Column8612"/>
    <tableColumn id="8631" xr3:uid="{1DECC720-DF7F-6345-9A7E-4E308CFD4197}" name="Column8613"/>
    <tableColumn id="8632" xr3:uid="{1976B506-1BE3-7448-B24C-6CE7BBC609F0}" name="Column8614"/>
    <tableColumn id="8633" xr3:uid="{E57E884A-6711-AC49-BE63-ABDFE50AF888}" name="Column8615"/>
    <tableColumn id="8634" xr3:uid="{1151CAB2-3FCB-5342-A753-602AEDED4EEB}" name="Column8616"/>
    <tableColumn id="8635" xr3:uid="{6D4A3F02-E00A-A843-98DE-C859E762F7C2}" name="Column8617"/>
    <tableColumn id="8636" xr3:uid="{6AC7C9F4-4A9E-0346-AC6C-D9DB6A2A4D78}" name="Column8618"/>
    <tableColumn id="8637" xr3:uid="{881F4D46-4637-1944-8625-E8ECDC774B12}" name="Column8619"/>
    <tableColumn id="8638" xr3:uid="{5E9264CC-B8D2-C740-8D9B-1FE402CC144F}" name="Column8620"/>
    <tableColumn id="8639" xr3:uid="{0454C655-8D86-3B4A-9CE3-C2CB66B5C0CE}" name="Column8621"/>
    <tableColumn id="8640" xr3:uid="{9C53C2E8-AC9D-9E4B-A0BE-417B5C9F6724}" name="Column8622"/>
    <tableColumn id="8641" xr3:uid="{E80F0EFF-5349-5D44-842E-DA349CF793D0}" name="Column8623"/>
    <tableColumn id="8642" xr3:uid="{9D1D2DFF-2031-7849-980E-F33DC7235FCE}" name="Column8624"/>
    <tableColumn id="8643" xr3:uid="{5CEB930E-79FA-D44A-8EF2-12D3F9FCF19B}" name="Column8625"/>
    <tableColumn id="8644" xr3:uid="{32F5A191-D193-7F44-8D4C-8C15B740F8A2}" name="Column8626"/>
    <tableColumn id="8645" xr3:uid="{5EF87E29-1ED2-9843-A748-5AD636A99579}" name="Column8627"/>
    <tableColumn id="8646" xr3:uid="{3C896814-D758-2F45-ADEF-9AB5307ECDEE}" name="Column8628"/>
    <tableColumn id="8647" xr3:uid="{B878237A-2EC0-7D4B-9278-49EA549D5E5A}" name="Column8629"/>
    <tableColumn id="8648" xr3:uid="{99913768-29D9-8341-ABCE-42CCB2917537}" name="Column8630"/>
    <tableColumn id="8649" xr3:uid="{B57448F6-EE6D-E646-99E9-C6322E25A476}" name="Column8631"/>
    <tableColumn id="8650" xr3:uid="{B0BCFA99-4E28-1544-8CF4-2B111082EEE1}" name="Column8632"/>
    <tableColumn id="8651" xr3:uid="{6BD37F27-27F6-6549-9924-5B3C433430B1}" name="Column8633"/>
    <tableColumn id="8652" xr3:uid="{E405AB6A-60E7-C64A-ADDE-E610BE1ADC32}" name="Column8634"/>
    <tableColumn id="8653" xr3:uid="{60158865-CF25-1645-A35E-ADE08810B5FE}" name="Column8635"/>
    <tableColumn id="8654" xr3:uid="{9159A130-74C8-9D46-9E3C-23A767B5A8B0}" name="Column8636"/>
    <tableColumn id="8655" xr3:uid="{D598DA5F-02CD-2041-94BF-DA7A3C8FB5AD}" name="Column8637"/>
    <tableColumn id="8656" xr3:uid="{AA80A3EE-BB37-594B-AF73-4CDD0749E208}" name="Column8638"/>
    <tableColumn id="8657" xr3:uid="{76AF558E-6BC5-E448-B902-F6241BC59312}" name="Column8639"/>
    <tableColumn id="8658" xr3:uid="{2E8D3ADD-AF4E-7A48-A015-E7AA2159C666}" name="Column8640"/>
    <tableColumn id="8659" xr3:uid="{232835C6-35AF-E44D-B240-1EAE9317742B}" name="Column8641"/>
    <tableColumn id="8660" xr3:uid="{C52FEE16-AB7B-954D-BD57-ECC33C0D3099}" name="Column8642"/>
    <tableColumn id="8661" xr3:uid="{D007AB7C-9B2B-5A40-9F73-FE9A906230C0}" name="Column8643"/>
    <tableColumn id="8662" xr3:uid="{A8AB3B82-6493-0C4C-B089-4278EFFB0F82}" name="Column8644"/>
    <tableColumn id="8663" xr3:uid="{B687277F-DAE5-8049-857C-6467E79B3C09}" name="Column8645"/>
    <tableColumn id="8664" xr3:uid="{1E483D5C-D089-A64A-BD50-5E80ADC634A9}" name="Column8646"/>
    <tableColumn id="8665" xr3:uid="{3DC9721B-23E6-1E47-85C7-749FF28F6EA6}" name="Column8647"/>
    <tableColumn id="8666" xr3:uid="{8F7E858C-E67D-C246-B06A-42758AED7B89}" name="Column8648"/>
    <tableColumn id="8667" xr3:uid="{F08584BA-4D64-C84A-9603-06C0D8894E37}" name="Column8649"/>
    <tableColumn id="8668" xr3:uid="{A45A9E31-C12B-F64B-85BE-8A84D9B4E868}" name="Column8650"/>
    <tableColumn id="8669" xr3:uid="{7511039E-1B44-5840-8395-B785E2F3B5EA}" name="Column8651"/>
    <tableColumn id="8670" xr3:uid="{0156D3CD-8988-4443-AB30-0B0B8EF613F6}" name="Column8652"/>
    <tableColumn id="8671" xr3:uid="{E4BDAADB-87EF-D74B-9E54-663DDE958158}" name="Column8653"/>
    <tableColumn id="8672" xr3:uid="{6ED089B0-FE02-9340-9952-06BFC6D1C1C7}" name="Column8654"/>
    <tableColumn id="8673" xr3:uid="{B8C3D816-9DE1-9845-A4D9-CC741772F6FB}" name="Column8655"/>
    <tableColumn id="8674" xr3:uid="{4C8DA67B-F2A1-0542-B6BB-E3B5A2A85296}" name="Column8656"/>
    <tableColumn id="8675" xr3:uid="{EC6AAD5D-308C-2844-BE8E-4856AF06333F}" name="Column8657"/>
    <tableColumn id="8676" xr3:uid="{EDB01CDD-B56B-1F43-AA72-F05A9A7529EF}" name="Column8658"/>
    <tableColumn id="8677" xr3:uid="{38053456-E687-624B-B0E0-F94260675609}" name="Column8659"/>
    <tableColumn id="8678" xr3:uid="{7CD25D2F-7A08-E14D-84D5-55C32BAD841E}" name="Column8660"/>
    <tableColumn id="8679" xr3:uid="{25109F69-673A-704A-8AFA-3ACD25732671}" name="Column8661"/>
    <tableColumn id="8680" xr3:uid="{CE3D2C9A-BFDA-6A49-9DBE-66557F0FA8CA}" name="Column8662"/>
    <tableColumn id="8681" xr3:uid="{89627733-EC69-6E41-A5E3-667AB054DB54}" name="Column8663"/>
    <tableColumn id="8682" xr3:uid="{B7CC3708-2B57-B447-8397-818EAEAA1DB3}" name="Column8664"/>
    <tableColumn id="8683" xr3:uid="{1ECFE036-C5FC-4549-B622-D8941E78DA5D}" name="Column8665"/>
    <tableColumn id="8684" xr3:uid="{DD9E18A2-C622-5A46-BE15-DE70634776ED}" name="Column8666"/>
    <tableColumn id="8685" xr3:uid="{9EF2083D-D97A-E34F-AA74-EA264F3FA88F}" name="Column8667"/>
    <tableColumn id="8686" xr3:uid="{1A66B7C5-809D-294E-BE47-0C241604547A}" name="Column8668"/>
    <tableColumn id="8687" xr3:uid="{A14C5CCB-DB24-4E48-A505-E90964C37014}" name="Column8669"/>
    <tableColumn id="8688" xr3:uid="{4EA4D2FB-6C1E-0C4D-9187-764A8F390BF6}" name="Column8670"/>
    <tableColumn id="8689" xr3:uid="{05A7E49A-FEF3-1642-909C-7AB04240EA93}" name="Column8671"/>
    <tableColumn id="8690" xr3:uid="{62D6A261-858B-8243-B00B-58DD9F8AC255}" name="Column8672"/>
    <tableColumn id="8691" xr3:uid="{17C43715-F677-7B4E-BB42-6C1E296C2BD1}" name="Column8673"/>
    <tableColumn id="8692" xr3:uid="{635256BE-E327-454C-ABE1-242D397BDFFF}" name="Column8674"/>
    <tableColumn id="8693" xr3:uid="{0E8C9065-15CD-3941-A2DD-13E584AF2F53}" name="Column8675"/>
    <tableColumn id="8694" xr3:uid="{A50B0CA5-15BC-B04E-9AD9-A4146838AACC}" name="Column8676"/>
    <tableColumn id="8695" xr3:uid="{9ADBE64A-8C21-664C-8115-77C4BCE11F8B}" name="Column8677"/>
    <tableColumn id="8696" xr3:uid="{5FBB2094-A856-FB4E-9AAA-47CD36F4797F}" name="Column8678"/>
    <tableColumn id="8697" xr3:uid="{B0870039-9EDB-3B4C-9795-0BF733A4B3C8}" name="Column8679"/>
    <tableColumn id="8698" xr3:uid="{613B0B05-7735-4546-AFBF-F6BFCA3F0E22}" name="Column8680"/>
    <tableColumn id="8699" xr3:uid="{F209E887-382B-C543-BF39-3A08439AB758}" name="Column8681"/>
    <tableColumn id="8700" xr3:uid="{340BCBF0-684F-6B4A-A222-75A0B35E2D90}" name="Column8682"/>
    <tableColumn id="8701" xr3:uid="{7CD099AE-41D5-FC48-9947-46A629A32F76}" name="Column8683"/>
    <tableColumn id="8702" xr3:uid="{55E58238-A089-684C-AB55-6D208F010ECD}" name="Column8684"/>
    <tableColumn id="8703" xr3:uid="{5CE65E02-A128-194E-8B8C-243C37E6004F}" name="Column8685"/>
    <tableColumn id="8704" xr3:uid="{6C3EF8DD-9D63-9F46-AE58-13EBD343D946}" name="Column8686"/>
    <tableColumn id="8705" xr3:uid="{945BA1F2-E2FA-364E-947B-8CA75534F01E}" name="Column8687"/>
    <tableColumn id="8706" xr3:uid="{8735E253-E17C-184D-9E4B-3D104627685F}" name="Column8688"/>
    <tableColumn id="8707" xr3:uid="{A9703E7A-560B-F84C-B529-7EA9761CF45A}" name="Column8689"/>
    <tableColumn id="8708" xr3:uid="{F155F5F6-FEAB-5D47-9659-1E43658D896B}" name="Column8690"/>
    <tableColumn id="8709" xr3:uid="{E5EB0354-4686-B14E-AEB6-9FCF46575D26}" name="Column8691"/>
    <tableColumn id="8710" xr3:uid="{E6641D88-82F3-C24C-A006-FB1869E80A23}" name="Column8692"/>
    <tableColumn id="8711" xr3:uid="{02C3314B-C134-6E41-87E1-15934F1956D1}" name="Column8693"/>
    <tableColumn id="8712" xr3:uid="{57ACD6D9-058F-9448-9A45-F6066179A404}" name="Column8694"/>
    <tableColumn id="8713" xr3:uid="{BAF30BC4-3F7D-7A4C-B98C-CA027D4EF957}" name="Column8695"/>
    <tableColumn id="8714" xr3:uid="{ED68A82C-A9C1-9B40-9A78-81876EA7FB32}" name="Column8696"/>
    <tableColumn id="8715" xr3:uid="{2EC4E137-3F32-D445-851C-FCC5D48C4B5C}" name="Column8697"/>
    <tableColumn id="8716" xr3:uid="{7570BBEB-1DE5-844C-B51A-AC647A98BA62}" name="Column8698"/>
    <tableColumn id="8717" xr3:uid="{9FA2EF5D-9C90-2C45-A405-9B5C8DEE5E4F}" name="Column8699"/>
    <tableColumn id="8718" xr3:uid="{2D57A01C-7967-2643-91B3-F7D9FBD935A6}" name="Column8700"/>
    <tableColumn id="8719" xr3:uid="{560DE917-2DD3-9F41-89D3-47FC09EDFC9F}" name="Column8701"/>
    <tableColumn id="8720" xr3:uid="{43C99847-FE9A-DA47-B547-26177925F906}" name="Column8702"/>
    <tableColumn id="8721" xr3:uid="{4B54841D-9645-F348-AFE3-1CD36FD329AF}" name="Column8703"/>
    <tableColumn id="8722" xr3:uid="{E5868B9E-B218-A145-BF57-42298721B236}" name="Column8704"/>
    <tableColumn id="8723" xr3:uid="{C2FFD529-C816-124D-9747-69518C24A30B}" name="Column8705"/>
    <tableColumn id="8724" xr3:uid="{7DB44A69-6D63-E84C-A7CC-1F8CE1B7464C}" name="Column8706"/>
    <tableColumn id="8725" xr3:uid="{FC1FC878-9372-8D48-8B18-04EBB67196DE}" name="Column8707"/>
    <tableColumn id="8726" xr3:uid="{F0F28D4F-470B-A14A-8790-AE1730A80F94}" name="Column8708"/>
    <tableColumn id="8727" xr3:uid="{6567D82F-6C87-CD49-8A64-62CEDD0E4A90}" name="Column8709"/>
    <tableColumn id="8728" xr3:uid="{B7A04B2B-7325-9544-BBEC-B8CE66E8557F}" name="Column8710"/>
    <tableColumn id="8729" xr3:uid="{F33A6DD1-671F-6C4E-A20B-C50B46EFAF96}" name="Column8711"/>
    <tableColumn id="8730" xr3:uid="{427D90C1-42ED-6A4F-9880-251414D5D4EC}" name="Column8712"/>
    <tableColumn id="8731" xr3:uid="{6738017C-3403-9C48-A3B0-F493BF241AD3}" name="Column8713"/>
    <tableColumn id="8732" xr3:uid="{28CBB52E-7BCA-3047-B3F4-D5AA704A43C5}" name="Column8714"/>
    <tableColumn id="8733" xr3:uid="{F4C3D342-1172-FB45-8950-487B90D38B05}" name="Column8715"/>
    <tableColumn id="8734" xr3:uid="{651F5833-88FE-C141-BA44-B10BBF18225C}" name="Column8716"/>
    <tableColumn id="8735" xr3:uid="{BD701653-E845-A74A-8A95-09C877EB0523}" name="Column8717"/>
    <tableColumn id="8736" xr3:uid="{AD8FDC18-3535-ED40-8756-1D18D03E315C}" name="Column8718"/>
    <tableColumn id="8737" xr3:uid="{700A7EE3-2507-1A45-AB2B-464BC37233F2}" name="Column8719"/>
    <tableColumn id="8738" xr3:uid="{19CA3185-26FC-AB4E-A08E-B1ED51192BA3}" name="Column8720"/>
    <tableColumn id="8739" xr3:uid="{F2D12B87-23E8-8540-BE1B-CCEFC136008D}" name="Column8721"/>
    <tableColumn id="8740" xr3:uid="{E3A08E50-DA70-8342-A320-748C70869E81}" name="Column8722"/>
    <tableColumn id="8741" xr3:uid="{6A864BF2-E86E-FE4F-BF7C-0E998E03206C}" name="Column8723"/>
    <tableColumn id="8742" xr3:uid="{352E3C9C-1D39-7B46-9C5E-46B26EC7D8A2}" name="Column8724"/>
    <tableColumn id="8743" xr3:uid="{A29A5A54-95DF-364A-A526-75FAFDDEC89A}" name="Column8725"/>
    <tableColumn id="8744" xr3:uid="{1DE21216-563F-C94B-B1E6-E73F33344C13}" name="Column8726"/>
    <tableColumn id="8745" xr3:uid="{4557A029-9AC2-3F42-A3D2-E0CBABF1241D}" name="Column8727"/>
    <tableColumn id="8746" xr3:uid="{B5DD5396-34D1-8148-9B98-9F8075CA64A0}" name="Column8728"/>
    <tableColumn id="8747" xr3:uid="{1E415B3F-DB1B-A445-8870-628E57490AEE}" name="Column8729"/>
    <tableColumn id="8748" xr3:uid="{4D796A5D-A539-354A-A35B-2DCCC2738F23}" name="Column8730"/>
    <tableColumn id="8749" xr3:uid="{32922B2C-7BC3-0449-8BAF-1ED8AAC2D7C2}" name="Column8731"/>
    <tableColumn id="8750" xr3:uid="{8D0BBA10-DB0C-3247-B792-6DC021C041B1}" name="Column8732"/>
    <tableColumn id="8751" xr3:uid="{3AA50979-E80B-E044-A9AD-86ADE3888F15}" name="Column8733"/>
    <tableColumn id="8752" xr3:uid="{C260EDC6-952B-BC4C-99D3-EF514FDEFF4D}" name="Column8734"/>
    <tableColumn id="8753" xr3:uid="{5025BCA0-59D6-E847-9024-D7A1FD994366}" name="Column8735"/>
    <tableColumn id="8754" xr3:uid="{511C6823-344A-6842-82F7-AE7033C46656}" name="Column8736"/>
    <tableColumn id="8755" xr3:uid="{D0E0A6E6-B941-B14D-8630-39E416F7466C}" name="Column8737"/>
    <tableColumn id="8756" xr3:uid="{D49E7144-2FBC-9047-82AB-3BF063AC0FCA}" name="Column8738"/>
    <tableColumn id="8757" xr3:uid="{0E01DA19-2A62-FE4B-B6F5-753E06F4D23D}" name="Column8739"/>
    <tableColumn id="8758" xr3:uid="{8B654E8F-AD07-C441-83F6-F4E57D346B68}" name="Column8740"/>
    <tableColumn id="8759" xr3:uid="{2BB519DE-15F1-F546-820A-1D6BB2092FDE}" name="Column8741"/>
    <tableColumn id="8760" xr3:uid="{DB595821-EE3C-3A43-B769-D7C057FE9723}" name="Column8742"/>
    <tableColumn id="8761" xr3:uid="{5C4A9E8E-F42D-8341-ADF1-DBFAFAAF2467}" name="Column8743"/>
    <tableColumn id="8762" xr3:uid="{DDBA6DAA-608D-284C-82C6-15EECD3EF46B}" name="Column8744"/>
    <tableColumn id="8763" xr3:uid="{B80168D4-D2C0-3D41-8259-CA205C136AF7}" name="Column8745"/>
    <tableColumn id="8764" xr3:uid="{8DE326F2-5572-2D40-8E07-4B0DF020277A}" name="Column8746"/>
    <tableColumn id="8765" xr3:uid="{4CFFBAF7-4542-DD40-A2AB-9F668C504B96}" name="Column8747"/>
    <tableColumn id="8766" xr3:uid="{4B8969ED-8B90-4C4C-AEC3-1D503807AD0F}" name="Column8748"/>
    <tableColumn id="8767" xr3:uid="{4A5C4A53-2AB9-AA4A-AD71-97E517C47C66}" name="Column8749"/>
    <tableColumn id="8768" xr3:uid="{09A3798A-20F6-A843-A7FF-A40E4A869D3C}" name="Column8750"/>
    <tableColumn id="8769" xr3:uid="{4C8F1C9B-622D-0946-AC4A-AB7721F31EF4}" name="Column8751"/>
    <tableColumn id="8770" xr3:uid="{CEC36260-A597-4242-A5C5-328B59069B70}" name="Column8752"/>
    <tableColumn id="8771" xr3:uid="{BC430B68-34BE-F34F-82D1-DBAF2EA68A7C}" name="Column8753"/>
    <tableColumn id="8772" xr3:uid="{694593B4-5A95-AD4A-A19A-AD98DF20F1A8}" name="Column8754"/>
    <tableColumn id="8773" xr3:uid="{B4F2B657-E4E2-A342-B03F-B60F51185F1D}" name="Column8755"/>
    <tableColumn id="8774" xr3:uid="{CB857996-4B6D-5646-B242-CF036316E2F3}" name="Column8756"/>
    <tableColumn id="8775" xr3:uid="{B715414F-2F83-174B-AC67-72AA9139D494}" name="Column8757"/>
    <tableColumn id="8776" xr3:uid="{83CFA92A-0A4A-8E4F-BC15-FB40A8AD752F}" name="Column8758"/>
    <tableColumn id="8777" xr3:uid="{923F7A32-8A8C-D24E-BD0F-D7AB22058151}" name="Column8759"/>
    <tableColumn id="8778" xr3:uid="{38AE93CC-8D8E-B443-A863-B2A7223E6EFC}" name="Column8760"/>
    <tableColumn id="8779" xr3:uid="{A4864D54-8CD2-0741-A0D9-542CE75BD29A}" name="Column8761"/>
    <tableColumn id="8780" xr3:uid="{E6A88FC7-77A6-1349-A5DE-EAF7F190652B}" name="Column8762"/>
    <tableColumn id="8781" xr3:uid="{0F61B4A3-899A-D342-9435-D86DFB2C1160}" name="Column8763"/>
    <tableColumn id="8782" xr3:uid="{56F496A1-7217-8045-8A88-547867DDF711}" name="Column8764"/>
    <tableColumn id="8783" xr3:uid="{1B5EDA40-C0F9-EB40-B118-38DB4C45A141}" name="Column8765"/>
    <tableColumn id="8784" xr3:uid="{39911EE9-73EE-6D4F-8B54-F31C1150F9D2}" name="Column8766"/>
    <tableColumn id="8785" xr3:uid="{965DD08E-DB8D-0D41-A12C-206B5123DA9A}" name="Column8767"/>
    <tableColumn id="8786" xr3:uid="{861407FA-79E1-034B-BADD-925DFF70E8FD}" name="Column8768"/>
    <tableColumn id="8787" xr3:uid="{C6CF29A9-A9BA-B14D-BE1B-ECDE02497D93}" name="Column8769"/>
    <tableColumn id="8788" xr3:uid="{6D0533B2-8AF7-F649-83A1-F7964C4A2F5D}" name="Column8770"/>
    <tableColumn id="8789" xr3:uid="{21FC6DB7-7017-3349-8A53-4705FEE8881E}" name="Column8771"/>
    <tableColumn id="8790" xr3:uid="{8B9FE7C2-D40A-1846-8395-00BAEA7A7487}" name="Column8772"/>
    <tableColumn id="8791" xr3:uid="{66D902BF-A70B-6742-AA4D-AC13D925C058}" name="Column8773"/>
    <tableColumn id="8792" xr3:uid="{8F30F277-6EDB-2948-A318-D3B328A3A258}" name="Column8774"/>
    <tableColumn id="8793" xr3:uid="{ABA16B31-3109-374F-BF41-8413121E8D06}" name="Column8775"/>
    <tableColumn id="8794" xr3:uid="{20D98073-8FBB-6544-9696-AF108DD96064}" name="Column8776"/>
    <tableColumn id="8795" xr3:uid="{0E700ABC-D756-394B-89A7-47FB22D9ACAC}" name="Column8777"/>
    <tableColumn id="8796" xr3:uid="{1B5D5FA2-2A8A-BB42-9C8F-4AE1BC904E09}" name="Column8778"/>
    <tableColumn id="8797" xr3:uid="{A7BEF449-9BDB-444C-B2DC-D8F7DC09B7DA}" name="Column8779"/>
    <tableColumn id="8798" xr3:uid="{470A7395-9180-EF44-A1D5-0DB13F436963}" name="Column8780"/>
    <tableColumn id="8799" xr3:uid="{3226DD94-1613-0643-BC7C-514615EBADFF}" name="Column8781"/>
    <tableColumn id="8800" xr3:uid="{4FA0D082-5395-3246-B1C1-AB240279ED33}" name="Column8782"/>
    <tableColumn id="8801" xr3:uid="{63AA0E0C-FB3C-B844-854C-6FCC1652F787}" name="Column8783"/>
    <tableColumn id="8802" xr3:uid="{CA3FEF85-CD29-834A-AED5-75DEB357BDEA}" name="Column8784"/>
    <tableColumn id="8803" xr3:uid="{D16685D4-04CC-9E4E-A676-B27F2FAF3300}" name="Column8785"/>
    <tableColumn id="8804" xr3:uid="{31E47253-2900-8F4A-9899-7F556E198EE8}" name="Column8786"/>
    <tableColumn id="8805" xr3:uid="{7A07E76E-8908-B544-BDD0-1F8381958B76}" name="Column8787"/>
    <tableColumn id="8806" xr3:uid="{231806AC-DBF4-A644-82A7-5987505811CF}" name="Column8788"/>
    <tableColumn id="8807" xr3:uid="{0A72528D-2DD6-5640-852F-FBD09652951B}" name="Column8789"/>
    <tableColumn id="8808" xr3:uid="{8BA0D711-9678-4549-8DC9-4FA0E315048E}" name="Column8790"/>
    <tableColumn id="8809" xr3:uid="{773038A3-2EF1-B74B-9EBE-88628500BB7D}" name="Column8791"/>
    <tableColumn id="8810" xr3:uid="{7A9D616D-1FF1-134A-88BE-3D8650BE6DDF}" name="Column8792"/>
    <tableColumn id="8811" xr3:uid="{17A55B83-FC06-344A-BC1F-638C1AF9E93C}" name="Column8793"/>
    <tableColumn id="8812" xr3:uid="{7055064C-70A9-784C-B84B-BE2936EAE674}" name="Column8794"/>
    <tableColumn id="8813" xr3:uid="{D7D0BB93-D24F-4242-9DB3-0152AA2340C0}" name="Column8795"/>
    <tableColumn id="8814" xr3:uid="{6EAB909C-C108-D644-8AC9-C5CBFA486EA8}" name="Column8796"/>
    <tableColumn id="8815" xr3:uid="{97C716B8-03DB-1446-A42A-D12A24E0C634}" name="Column8797"/>
    <tableColumn id="8816" xr3:uid="{B665F8A0-7AFF-7647-8131-15A9790F7A7D}" name="Column8798"/>
    <tableColumn id="8817" xr3:uid="{273E2A2A-72BA-1042-B9A0-706FDD02172A}" name="Column8799"/>
    <tableColumn id="8818" xr3:uid="{872BA33C-4B19-E148-9938-A75690A7C8CF}" name="Column8800"/>
    <tableColumn id="8819" xr3:uid="{5269ED51-DDD9-1A41-A8F5-58BC8842DD73}" name="Column8801"/>
    <tableColumn id="8820" xr3:uid="{BD4A7666-4618-D74E-A88E-0F4BA2078E96}" name="Column8802"/>
    <tableColumn id="8821" xr3:uid="{7B2E5FDC-80F5-6C49-90AD-4D4FA4978A4B}" name="Column8803"/>
    <tableColumn id="8822" xr3:uid="{54BCFEF5-A093-6748-83AC-2946BBB8F78B}" name="Column8804"/>
    <tableColumn id="8823" xr3:uid="{873DF76A-2B7F-9141-B9A8-534E48C0EBCB}" name="Column8805"/>
    <tableColumn id="8824" xr3:uid="{2AB83167-5F0D-5646-92B0-FD688D902774}" name="Column8806"/>
    <tableColumn id="8825" xr3:uid="{484391F2-1AEB-5948-BE26-5FDB21E47044}" name="Column8807"/>
    <tableColumn id="8826" xr3:uid="{FE8696AC-2236-164B-9AD2-C48459E24D73}" name="Column8808"/>
    <tableColumn id="8827" xr3:uid="{3D918E5B-4B76-D24D-8FB5-031B1397249C}" name="Column8809"/>
    <tableColumn id="8828" xr3:uid="{0CDC5894-28A0-9240-A0BA-594467E9F1BA}" name="Column8810"/>
    <tableColumn id="8829" xr3:uid="{5A0CA2C8-9BAB-C04E-A8E4-D0137670A37A}" name="Column8811"/>
    <tableColumn id="8830" xr3:uid="{A4120341-031F-7F4F-9E7B-5260128ECF12}" name="Column8812"/>
    <tableColumn id="8831" xr3:uid="{FFA1E979-F4FD-7946-B53B-C29DA79A2648}" name="Column8813"/>
    <tableColumn id="8832" xr3:uid="{78E7C9BD-A343-0948-85A0-29F1D0B84182}" name="Column8814"/>
    <tableColumn id="8833" xr3:uid="{08900104-AAD9-7240-8A1F-39964456DC54}" name="Column8815"/>
    <tableColumn id="8834" xr3:uid="{7CD6587E-665D-524E-940A-6EF41B19615E}" name="Column8816"/>
    <tableColumn id="8835" xr3:uid="{AC8CE2C4-D4B0-4942-9865-EA11662888D1}" name="Column8817"/>
    <tableColumn id="8836" xr3:uid="{05F65532-3422-954B-9611-8CE9EF2EBA40}" name="Column8818"/>
    <tableColumn id="8837" xr3:uid="{1F006A39-F06E-504B-ADEF-97DCDCD05855}" name="Column8819"/>
    <tableColumn id="8838" xr3:uid="{7EA28998-6AE1-5941-973D-922BB3D326E7}" name="Column8820"/>
    <tableColumn id="8839" xr3:uid="{CE0116E6-8F19-9045-8E87-EE43CFE01185}" name="Column8821"/>
    <tableColumn id="8840" xr3:uid="{DA597413-3C9F-0446-931C-ECB2AFAC8489}" name="Column8822"/>
    <tableColumn id="8841" xr3:uid="{259A05E8-FC7F-A34C-9534-099B42141DBC}" name="Column8823"/>
    <tableColumn id="8842" xr3:uid="{47A7869B-469F-0A4C-ABE0-31DBA020418F}" name="Column8824"/>
    <tableColumn id="8843" xr3:uid="{F4EB4960-416D-D445-9486-9EE1B676FEB4}" name="Column8825"/>
    <tableColumn id="8844" xr3:uid="{EF8165FB-06DB-3D4C-8C54-81E0B8792F2B}" name="Column8826"/>
    <tableColumn id="8845" xr3:uid="{F870894A-4CE0-DB41-8A47-3139B5ADBC0D}" name="Column8827"/>
    <tableColumn id="8846" xr3:uid="{F4CA5B22-DA07-F043-ADB1-CCB9FF4D0487}" name="Column8828"/>
    <tableColumn id="8847" xr3:uid="{19878241-0F2D-DF48-8397-6985C4B0D9BD}" name="Column8829"/>
    <tableColumn id="8848" xr3:uid="{6DD3FF8D-E273-094E-A151-86817D0B34E5}" name="Column8830"/>
    <tableColumn id="8849" xr3:uid="{C1886C8E-AA04-4C4F-8C0C-A80E463BA6E7}" name="Column8831"/>
    <tableColumn id="8850" xr3:uid="{729701E9-952C-ED4B-9465-5F57987916BD}" name="Column8832"/>
    <tableColumn id="8851" xr3:uid="{2C15F544-3A43-364F-8FB7-23E475B25B88}" name="Column8833"/>
    <tableColumn id="8852" xr3:uid="{D41CA83C-08EC-954A-97F8-8EE571DF6D1C}" name="Column8834"/>
    <tableColumn id="8853" xr3:uid="{611277C2-46AB-1048-81A5-B525CD720920}" name="Column8835"/>
    <tableColumn id="8854" xr3:uid="{4070995E-8575-E749-9442-AB1AFE4F92CF}" name="Column8836"/>
    <tableColumn id="8855" xr3:uid="{9C8CBAAC-A888-F14F-BC0B-4BFAF851990B}" name="Column8837"/>
    <tableColumn id="8856" xr3:uid="{EAF43717-C153-7A41-934A-51EA55703424}" name="Column8838"/>
    <tableColumn id="8857" xr3:uid="{16B86777-ADD2-4F46-AA59-8BFFDF0DE24D}" name="Column8839"/>
    <tableColumn id="8858" xr3:uid="{AF9BB6F2-662D-F542-BEAB-CF78EE6AAF8F}" name="Column8840"/>
    <tableColumn id="8859" xr3:uid="{9B1AEEBA-8602-D649-9E5B-04DFDC8A7AD9}" name="Column8841"/>
    <tableColumn id="8860" xr3:uid="{32E775FE-7E8C-0F48-A54C-56DAFF6E13BA}" name="Column8842"/>
    <tableColumn id="8861" xr3:uid="{5D3F27CC-2DF2-F041-AF5F-6D52608CAC42}" name="Column8843"/>
    <tableColumn id="8862" xr3:uid="{A962308E-A9F2-1A4E-9E25-B1315C21AA22}" name="Column8844"/>
    <tableColumn id="8863" xr3:uid="{720B2D76-1762-E940-800B-00F189745AC9}" name="Column8845"/>
    <tableColumn id="8864" xr3:uid="{6FE6D46B-E0C8-CE4C-8267-4BEF58C42765}" name="Column8846"/>
    <tableColumn id="8865" xr3:uid="{5B476360-CB2A-0C4C-B219-0404B379ADB9}" name="Column8847"/>
    <tableColumn id="8866" xr3:uid="{80885594-E90F-AE4E-A885-AB21B996271F}" name="Column8848"/>
    <tableColumn id="8867" xr3:uid="{B566A3B0-ACA0-BA41-91B5-764CD22573F7}" name="Column8849"/>
    <tableColumn id="8868" xr3:uid="{9D8949F6-CCC4-1042-8AC4-722DE921D23B}" name="Column8850"/>
    <tableColumn id="8869" xr3:uid="{A53B67EA-E623-1945-B4A4-1DADE655B628}" name="Column8851"/>
    <tableColumn id="8870" xr3:uid="{6E058952-7B89-8447-A8FC-35B08BB9B91B}" name="Column8852"/>
    <tableColumn id="8871" xr3:uid="{25B98F58-0C1B-8D49-9485-0BCFC1D6089A}" name="Column8853"/>
    <tableColumn id="8872" xr3:uid="{BE5C3CF0-DA1C-4C43-BAE1-D0D9C273F0DC}" name="Column8854"/>
    <tableColumn id="8873" xr3:uid="{8A1053F0-32CA-AF44-9790-F80544FB03FE}" name="Column8855"/>
    <tableColumn id="8874" xr3:uid="{B6906CFB-A18F-234E-AB3F-16D10790BB82}" name="Column8856"/>
    <tableColumn id="8875" xr3:uid="{3DF48EF9-1055-FB46-8FF3-88C7EC21CD73}" name="Column8857"/>
    <tableColumn id="8876" xr3:uid="{3C0AED44-4AF1-0B40-A852-95F6A518984E}" name="Column8858"/>
    <tableColumn id="8877" xr3:uid="{774BA4B5-BCF6-FA48-B869-58230A4E4690}" name="Column8859"/>
    <tableColumn id="8878" xr3:uid="{26361AAF-380A-0949-AE8F-0ECE7BA61D4B}" name="Column8860"/>
    <tableColumn id="8879" xr3:uid="{4D409B58-4AB7-C841-8DFC-07841D2B15D5}" name="Column8861"/>
    <tableColumn id="8880" xr3:uid="{1FDDBF73-9C63-3246-943F-C94B5A294066}" name="Column8862"/>
    <tableColumn id="8881" xr3:uid="{D8BDBC42-2B7A-D04A-BFDC-456A27B7AD87}" name="Column8863"/>
    <tableColumn id="8882" xr3:uid="{AE8F2A6C-E1A1-554E-8420-848B2BA2D1CC}" name="Column8864"/>
    <tableColumn id="8883" xr3:uid="{2BD38D58-B07C-DB44-B915-31F7BA135155}" name="Column8865"/>
    <tableColumn id="8884" xr3:uid="{29C4E7F1-3F47-9347-93C7-27A699CF4AFF}" name="Column8866"/>
    <tableColumn id="8885" xr3:uid="{98E42631-D0C4-5C4B-B17D-AD6C6DA095D5}" name="Column8867"/>
    <tableColumn id="8886" xr3:uid="{D82C69C8-D6CB-B74F-A394-3139272BFA82}" name="Column8868"/>
    <tableColumn id="8887" xr3:uid="{1D7BC182-FBDF-A543-8898-F9F9770DD643}" name="Column8869"/>
    <tableColumn id="8888" xr3:uid="{C54B4852-BA5C-1641-A382-323A06251311}" name="Column8870"/>
    <tableColumn id="8889" xr3:uid="{A795C431-FADE-694F-A8F5-952ACCF0FA65}" name="Column8871"/>
    <tableColumn id="8890" xr3:uid="{F90B7FB3-AC1E-4E4A-8D92-1109AE4DA2CF}" name="Column8872"/>
    <tableColumn id="8891" xr3:uid="{CD103E1C-C4BB-5645-86D6-28A4B235DB08}" name="Column8873"/>
    <tableColumn id="8892" xr3:uid="{B94E2CF4-05AB-A845-9F95-32926E2E4FD5}" name="Column8874"/>
    <tableColumn id="8893" xr3:uid="{74369D31-95D1-A742-9133-0B4B87F0CEF2}" name="Column8875"/>
    <tableColumn id="8894" xr3:uid="{C8E01314-67C7-D441-B12A-F25532E4E810}" name="Column8876"/>
    <tableColumn id="8895" xr3:uid="{AEB9D30F-FC55-C24D-B844-E0DBBECDD519}" name="Column8877"/>
    <tableColumn id="8896" xr3:uid="{A542C57D-9613-B844-AD18-BC670184046C}" name="Column8878"/>
    <tableColumn id="8897" xr3:uid="{3D8B5DE5-8A3A-D741-AFD9-CFAB90D70C46}" name="Column8879"/>
    <tableColumn id="8898" xr3:uid="{7135113A-A42E-2540-971B-714FDEAA236A}" name="Column8880"/>
    <tableColumn id="8899" xr3:uid="{3C09370F-1BCC-5A43-AA92-6C3A896C53AC}" name="Column8881"/>
    <tableColumn id="8900" xr3:uid="{A35EF0E9-777E-A84F-ACB1-685CF95BED94}" name="Column8882"/>
    <tableColumn id="8901" xr3:uid="{2AD2A2FC-391A-B54E-953C-E70FB1C6B55E}" name="Column8883"/>
    <tableColumn id="8902" xr3:uid="{DFF56E34-357C-E340-B69F-83FCC5E7A9E4}" name="Column8884"/>
    <tableColumn id="8903" xr3:uid="{E53D8AB0-0AFB-3A4E-AA66-140F69DA9DBD}" name="Column8885"/>
    <tableColumn id="8904" xr3:uid="{D67294F6-208D-D54D-A4D2-FDDF506E34F7}" name="Column8886"/>
    <tableColumn id="8905" xr3:uid="{61B724CF-ED4F-E542-9EBC-AE842C2D990F}" name="Column8887"/>
    <tableColumn id="8906" xr3:uid="{7237E687-580F-E941-9DA6-BD6E64E6B029}" name="Column8888"/>
    <tableColumn id="8907" xr3:uid="{53877CF9-2217-7242-BB8A-376D9FC47BD9}" name="Column8889"/>
    <tableColumn id="8908" xr3:uid="{95809753-B6BB-0D4B-9F2A-9565F82E319E}" name="Column8890"/>
    <tableColumn id="8909" xr3:uid="{59BBFD69-82AC-3A4E-AEE8-F8DD52E62B49}" name="Column8891"/>
    <tableColumn id="8910" xr3:uid="{7A324C51-337C-7142-87F2-D85B024419E7}" name="Column8892"/>
    <tableColumn id="8911" xr3:uid="{9F6B75A9-D140-424E-8DEE-682377262553}" name="Column8893"/>
    <tableColumn id="8912" xr3:uid="{A038E7D4-6333-B04E-8244-97C6B6712FFD}" name="Column8894"/>
    <tableColumn id="8913" xr3:uid="{6F8D1747-73C7-8543-B3EE-BD39E5257193}" name="Column8895"/>
    <tableColumn id="8914" xr3:uid="{0D23D868-2175-D348-ADA1-CEEDCAE22969}" name="Column8896"/>
    <tableColumn id="8915" xr3:uid="{23615A4E-8357-874C-971B-421D47D4A111}" name="Column8897"/>
    <tableColumn id="8916" xr3:uid="{977099B1-ADD0-A94E-9CC8-89386DF8723E}" name="Column8898"/>
    <tableColumn id="8917" xr3:uid="{98D2C27F-29DC-194B-9A13-B53A743DF70D}" name="Column8899"/>
    <tableColumn id="8918" xr3:uid="{19D91118-F743-704C-B4A2-5F7EE659CDC0}" name="Column8900"/>
    <tableColumn id="8919" xr3:uid="{1EC6571C-A2E3-4D40-9F3D-FBDEE6DDF8A9}" name="Column8901"/>
    <tableColumn id="8920" xr3:uid="{5B7646D6-04C1-EF4B-9E1A-704C4EDC948A}" name="Column8902"/>
    <tableColumn id="8921" xr3:uid="{A56F856F-42B6-544F-A6C7-38E30F38DC4F}" name="Column8903"/>
    <tableColumn id="8922" xr3:uid="{B321373F-2600-6743-B513-F366BAE64FD3}" name="Column8904"/>
    <tableColumn id="8923" xr3:uid="{376E3AAF-74C5-524D-8CAC-6E6F603BB7C4}" name="Column8905"/>
    <tableColumn id="8924" xr3:uid="{3E5C5533-D5CE-B649-B22E-E94DA0820B4D}" name="Column8906"/>
    <tableColumn id="8925" xr3:uid="{02E4E362-4CC7-C949-A3F0-3354968BEAE9}" name="Column8907"/>
    <tableColumn id="8926" xr3:uid="{E8174E10-2EF8-664D-AD68-CF78823330EF}" name="Column8908"/>
    <tableColumn id="8927" xr3:uid="{1170926A-77EF-EC40-A46E-D37E87083D8A}" name="Column8909"/>
    <tableColumn id="8928" xr3:uid="{D64E12CD-FE7A-A641-8AE9-66C81D030D04}" name="Column8910"/>
    <tableColumn id="8929" xr3:uid="{BACB4924-AE45-6747-90C7-566C616433FC}" name="Column8911"/>
    <tableColumn id="8930" xr3:uid="{63F1F09A-169B-684D-A348-F5E231359466}" name="Column8912"/>
    <tableColumn id="8931" xr3:uid="{9798375E-408F-244E-8A14-C75AE64EE453}" name="Column8913"/>
    <tableColumn id="8932" xr3:uid="{5527DA27-0846-FA4F-906E-38F48329B456}" name="Column8914"/>
    <tableColumn id="8933" xr3:uid="{8CE4AF00-5840-204F-B8BC-40601188B808}" name="Column8915"/>
    <tableColumn id="8934" xr3:uid="{9DEE83A8-663F-9640-832A-8EFE07E6281C}" name="Column8916"/>
    <tableColumn id="8935" xr3:uid="{3048E80C-3689-B049-A9FE-29F6E1C808CD}" name="Column8917"/>
    <tableColumn id="8936" xr3:uid="{39D61F93-1099-7447-B3BD-32A24B5336C7}" name="Column8918"/>
    <tableColumn id="8937" xr3:uid="{35E8E41C-FB19-4E40-9CCF-0674B797359B}" name="Column8919"/>
    <tableColumn id="8938" xr3:uid="{515D9739-628D-9443-B6C7-360B80E6D4AB}" name="Column8920"/>
    <tableColumn id="8939" xr3:uid="{CAB66CAD-DFBF-E84B-A634-13D995648E68}" name="Column8921"/>
    <tableColumn id="8940" xr3:uid="{EBF5F933-1E23-9344-A237-D8CA6C4F3817}" name="Column8922"/>
    <tableColumn id="8941" xr3:uid="{EF7BC5CD-1E31-314C-BC07-91C6B155036B}" name="Column8923"/>
    <tableColumn id="8942" xr3:uid="{353A2D2D-2D70-C242-A00F-B4F2EC6EF916}" name="Column8924"/>
    <tableColumn id="8943" xr3:uid="{F60A1700-F57F-A448-BFC4-6578DFB05081}" name="Column8925"/>
    <tableColumn id="8944" xr3:uid="{39C5FB32-4198-B54C-91F1-D6E7FF9E512B}" name="Column8926"/>
    <tableColumn id="8945" xr3:uid="{5AAEAAE7-EFA5-CB4B-9D8E-C208DBA3E1AA}" name="Column8927"/>
    <tableColumn id="8946" xr3:uid="{A5281C70-27D2-994F-A07E-03268F121A05}" name="Column8928"/>
    <tableColumn id="8947" xr3:uid="{6569592F-094B-BC4E-BC56-9708D7DA5453}" name="Column8929"/>
    <tableColumn id="8948" xr3:uid="{5BABBF29-D066-724F-8749-90110E1B6BA5}" name="Column8930"/>
    <tableColumn id="8949" xr3:uid="{7874A380-C7C4-3145-A0E5-50EA05A471E6}" name="Column8931"/>
    <tableColumn id="8950" xr3:uid="{D5EDD22B-3411-654C-8FC0-510AA93C2BD3}" name="Column8932"/>
    <tableColumn id="8951" xr3:uid="{DEC906DE-BF5F-B546-A623-1EC57AD3FDF0}" name="Column8933"/>
    <tableColumn id="8952" xr3:uid="{41872D8E-6166-ED48-B32B-81E9B77DBF4E}" name="Column8934"/>
    <tableColumn id="8953" xr3:uid="{593818C9-4F68-AE4B-B778-A589A8807ECF}" name="Column8935"/>
    <tableColumn id="8954" xr3:uid="{3A43A654-FE6A-9A4D-9E72-D4F9378AF91B}" name="Column8936"/>
    <tableColumn id="8955" xr3:uid="{E1EB5929-11E9-164F-BB79-AF8887107556}" name="Column8937"/>
    <tableColumn id="8956" xr3:uid="{56E748E4-B42F-5D4D-82BC-4AAA225CBEB6}" name="Column8938"/>
    <tableColumn id="8957" xr3:uid="{6345F0A3-E087-F544-A661-D0424D25C9CB}" name="Column8939"/>
    <tableColumn id="8958" xr3:uid="{342A1D2E-A76C-0945-8E78-FF8E5ADF5036}" name="Column8940"/>
    <tableColumn id="8959" xr3:uid="{479E8177-0364-2F40-B73C-ED971A2E10FC}" name="Column8941"/>
    <tableColumn id="8960" xr3:uid="{9DDE7EB9-9170-5045-B12E-BDDA714CD81B}" name="Column8942"/>
    <tableColumn id="8961" xr3:uid="{C248E829-4E04-4B41-83D3-481235D3D899}" name="Column8943"/>
    <tableColumn id="8962" xr3:uid="{E423030B-0747-1647-ABDE-6E260D33CD45}" name="Column8944"/>
    <tableColumn id="8963" xr3:uid="{2CC320C1-82FE-834C-90C9-032B6B763F94}" name="Column8945"/>
    <tableColumn id="8964" xr3:uid="{C0002F7C-0B5B-9740-9D0B-343F0F400A2A}" name="Column8946"/>
    <tableColumn id="8965" xr3:uid="{65022E03-17DB-A445-AEB8-BA7B8F91DABB}" name="Column8947"/>
    <tableColumn id="8966" xr3:uid="{8885447F-418A-9F41-B169-BDD560E934A9}" name="Column8948"/>
    <tableColumn id="8967" xr3:uid="{C9043CAF-5E2A-1F4F-AA24-18C866BB2067}" name="Column8949"/>
    <tableColumn id="8968" xr3:uid="{5855CE63-2403-6F46-A0D9-1C5BCFF05F99}" name="Column8950"/>
    <tableColumn id="8969" xr3:uid="{3C879386-482A-0344-9543-0433A91A1BFC}" name="Column8951"/>
    <tableColumn id="8970" xr3:uid="{7BF4735C-CBD9-A640-ABB7-4BCACCB7B738}" name="Column8952"/>
    <tableColumn id="8971" xr3:uid="{8D49E20B-AE70-3549-851A-589370AE37FB}" name="Column8953"/>
    <tableColumn id="8972" xr3:uid="{05D69FF6-A9E2-664B-AF9B-0F1AB1E4E3E3}" name="Column8954"/>
    <tableColumn id="8973" xr3:uid="{28A130E3-4D81-9E48-920B-E8CAA79D3428}" name="Column8955"/>
    <tableColumn id="8974" xr3:uid="{2151B9B6-B726-AD43-9F79-78898D454C32}" name="Column8956"/>
    <tableColumn id="8975" xr3:uid="{F93448C4-1E33-BF49-9E35-6743BE81C943}" name="Column8957"/>
    <tableColumn id="8976" xr3:uid="{DC03C0A0-3A44-5442-8AF6-D6AB2A9A4C2F}" name="Column8958"/>
    <tableColumn id="8977" xr3:uid="{8C5973E7-956F-0E4F-845C-3F8D03AFBD73}" name="Column8959"/>
    <tableColumn id="8978" xr3:uid="{52D6C8C7-2770-4A45-B9C6-BDBE42484D02}" name="Column8960"/>
    <tableColumn id="8979" xr3:uid="{C066D28D-B576-9B4E-8DDD-EA9CA81FB52D}" name="Column8961"/>
    <tableColumn id="8980" xr3:uid="{F2BAF2C9-3039-AF44-B276-444AC44A047E}" name="Column8962"/>
    <tableColumn id="8981" xr3:uid="{0E456492-6E31-2544-9C62-BFE19A2657D3}" name="Column8963"/>
    <tableColumn id="8982" xr3:uid="{51B3CF21-9274-4F40-A415-E4F5E92A3D03}" name="Column8964"/>
    <tableColumn id="8983" xr3:uid="{CD482B86-B6E5-E04B-8152-804B95E0C108}" name="Column8965"/>
    <tableColumn id="8984" xr3:uid="{B8492856-CFF0-9F45-B2E9-0C3AED4740BE}" name="Column8966"/>
    <tableColumn id="8985" xr3:uid="{B0EBD4A6-9F5B-1B4F-B3EB-65E34A375FD0}" name="Column8967"/>
    <tableColumn id="8986" xr3:uid="{1E4E162D-0F03-1444-A631-F29C81CC8D60}" name="Column8968"/>
    <tableColumn id="8987" xr3:uid="{021DA73B-9DA9-1946-96F7-661123F82D9D}" name="Column8969"/>
    <tableColumn id="8988" xr3:uid="{8D635844-C335-734B-B9B0-D0D04F7D7DD8}" name="Column8970"/>
    <tableColumn id="8989" xr3:uid="{B6E0D585-0D5B-DD4D-AA74-9B6ACE7E4169}" name="Column8971"/>
    <tableColumn id="8990" xr3:uid="{D3C70566-C783-814B-9CE1-70A1F3EB31B5}" name="Column8972"/>
    <tableColumn id="8991" xr3:uid="{99C0218F-6ECF-724B-BECC-DB574F5D7A35}" name="Column8973"/>
    <tableColumn id="8992" xr3:uid="{453464BA-E249-C842-A790-C5FB0839C27A}" name="Column8974"/>
    <tableColumn id="8993" xr3:uid="{E9EF671C-8E7E-7E42-AAB7-9A227C33B56E}" name="Column8975"/>
    <tableColumn id="8994" xr3:uid="{C0B6360F-ACD1-6840-884C-3868FE993BC3}" name="Column8976"/>
    <tableColumn id="8995" xr3:uid="{174573DD-B17E-A649-92B7-C784B2B29A95}" name="Column8977"/>
    <tableColumn id="8996" xr3:uid="{FB245487-4734-B746-89DA-D42EA27EF1C1}" name="Column8978"/>
    <tableColumn id="8997" xr3:uid="{68321EF8-E5D7-0C4B-8BB9-6708C531056D}" name="Column8979"/>
    <tableColumn id="8998" xr3:uid="{28C0B1CF-29B8-C748-A4D5-6BF6A09F3996}" name="Column8980"/>
    <tableColumn id="8999" xr3:uid="{263FEC84-4660-E74E-8C31-66866AC21A11}" name="Column8981"/>
    <tableColumn id="9000" xr3:uid="{1F13D9FE-C5ED-3249-ADCA-558CABBDBB24}" name="Column8982"/>
    <tableColumn id="9001" xr3:uid="{5154237E-2846-4A44-B191-6A68EF501C29}" name="Column8983"/>
    <tableColumn id="9002" xr3:uid="{8C064E25-7F50-AE47-9419-5C79DFFD03A9}" name="Column8984"/>
    <tableColumn id="9003" xr3:uid="{41D7EF6A-4376-E146-9A7F-608B2421F424}" name="Column8985"/>
    <tableColumn id="9004" xr3:uid="{D60B90EC-1134-9245-8533-A80D12FCCA24}" name="Column8986"/>
    <tableColumn id="9005" xr3:uid="{9B5D7AAE-AA05-8542-88B1-DBC794FAF132}" name="Column8987"/>
    <tableColumn id="9006" xr3:uid="{DA59CAE5-444B-D14D-9762-EAC445F13B6B}" name="Column8988"/>
    <tableColumn id="9007" xr3:uid="{ABA8265E-72A7-4D4B-9648-C790154F206E}" name="Column8989"/>
    <tableColumn id="9008" xr3:uid="{78B34EBF-D22F-2C44-A8BB-0F125D585133}" name="Column8990"/>
    <tableColumn id="9009" xr3:uid="{952DA4FC-C8B5-9842-BB8B-13012A451B30}" name="Column8991"/>
    <tableColumn id="9010" xr3:uid="{BD06BA6D-9FF0-784E-A554-30496CB3F922}" name="Column8992"/>
    <tableColumn id="9011" xr3:uid="{D2885129-55E4-7E41-9180-22949FA2088B}" name="Column8993"/>
    <tableColumn id="9012" xr3:uid="{DCE95EB7-688A-5641-9A3B-CCD1B7D8A349}" name="Column8994"/>
    <tableColumn id="9013" xr3:uid="{3FBBA907-1497-D945-9DA4-531C2F15971F}" name="Column8995"/>
    <tableColumn id="9014" xr3:uid="{F7E772ED-5CC9-D34C-A0F0-44E642E7BF9F}" name="Column8996"/>
    <tableColumn id="9015" xr3:uid="{5780CD1A-5E15-2F41-9EC6-A5702D9FF7AC}" name="Column8997"/>
    <tableColumn id="9016" xr3:uid="{D512911D-013B-6447-AD1B-A67E42D61F26}" name="Column8998"/>
    <tableColumn id="9017" xr3:uid="{8DEAFB07-CC59-784F-BCA0-06A5FF5C8CA3}" name="Column8999"/>
    <tableColumn id="9018" xr3:uid="{C2DCCFF4-3CE6-6B4E-9AFD-64D9D1601970}" name="Column9000"/>
    <tableColumn id="9019" xr3:uid="{8E142AFB-415C-A04A-9D17-6C562B6C9310}" name="Column9001"/>
    <tableColumn id="9020" xr3:uid="{2731F517-CEF6-7547-B919-2981C37BF1DB}" name="Column9002"/>
    <tableColumn id="9021" xr3:uid="{44695AAA-A02B-3345-BE72-7C611BC6BF0E}" name="Column9003"/>
    <tableColumn id="9022" xr3:uid="{1F66FAEE-293F-BA4A-803B-99CD56408E34}" name="Column9004"/>
    <tableColumn id="9023" xr3:uid="{39823993-76E3-334B-ADDC-CC566E490184}" name="Column9005"/>
    <tableColumn id="9024" xr3:uid="{0732346D-487B-AA4E-897B-725EBB5B718F}" name="Column9006"/>
    <tableColumn id="9025" xr3:uid="{31E6ABD6-C752-7549-8020-C4310E657ACD}" name="Column9007"/>
    <tableColumn id="9026" xr3:uid="{F6B16EBA-33D0-6B42-8014-DA4597DA8286}" name="Column9008"/>
    <tableColumn id="9027" xr3:uid="{3D093FE9-FF8C-6546-9F0C-E957516DA8AA}" name="Column9009"/>
    <tableColumn id="9028" xr3:uid="{40262FAA-AFA5-C946-B5F8-D3F31F71F900}" name="Column9010"/>
    <tableColumn id="9029" xr3:uid="{2F0C73B5-6801-2942-BDF9-45B2A99E5C5F}" name="Column9011"/>
    <tableColumn id="9030" xr3:uid="{BDB162FA-CD24-9F49-B8C0-70980CF1A25D}" name="Column9012"/>
    <tableColumn id="9031" xr3:uid="{24FEDEE1-E493-0C49-9D97-1CE31B701C72}" name="Column9013"/>
    <tableColumn id="9032" xr3:uid="{387159FB-4B90-DA48-A239-CB11CD4B2DAE}" name="Column9014"/>
    <tableColumn id="9033" xr3:uid="{1230411D-7D68-3F4D-9F03-503919EC8BF6}" name="Column9015"/>
    <tableColumn id="9034" xr3:uid="{05517EF3-E927-9F40-9039-72103843B324}" name="Column9016"/>
    <tableColumn id="9035" xr3:uid="{BD6A5E94-D8FB-7649-80E8-AA4F73FE5B75}" name="Column9017"/>
    <tableColumn id="9036" xr3:uid="{72CD8D32-ABDC-C046-927A-AD10E3BF5996}" name="Column9018"/>
    <tableColumn id="9037" xr3:uid="{C53CE9C9-3366-0D49-812A-6D1FCF4D6811}" name="Column9019"/>
    <tableColumn id="9038" xr3:uid="{A230399D-8DFE-9B4E-94A7-84E02B35D0DE}" name="Column9020"/>
    <tableColumn id="9039" xr3:uid="{B340AE7B-2294-9244-A50B-F69E40D6FEEF}" name="Column9021"/>
    <tableColumn id="9040" xr3:uid="{5DD2E4F5-A515-4843-BB77-135E7A3C2314}" name="Column9022"/>
    <tableColumn id="9041" xr3:uid="{BB21F210-4FCE-D14C-A0F7-BBF41EACE676}" name="Column9023"/>
    <tableColumn id="9042" xr3:uid="{CDE258A0-EEA5-3649-8FE2-1377A7B39F0D}" name="Column9024"/>
    <tableColumn id="9043" xr3:uid="{23189B66-3CE7-D943-8B6B-02D2F3848216}" name="Column9025"/>
    <tableColumn id="9044" xr3:uid="{820D9542-C045-5349-BDDC-0CB76F86C9F0}" name="Column9026"/>
    <tableColumn id="9045" xr3:uid="{EDB5A0F7-BD85-3243-99B7-8592CC2A1686}" name="Column9027"/>
    <tableColumn id="9046" xr3:uid="{F63DE076-84D4-9D42-9150-96EDDEA9591D}" name="Column9028"/>
    <tableColumn id="9047" xr3:uid="{E51298AB-8DE9-9E48-9571-781FC2C85522}" name="Column9029"/>
    <tableColumn id="9048" xr3:uid="{872736B1-0F25-8240-A455-579768A04249}" name="Column9030"/>
    <tableColumn id="9049" xr3:uid="{361CCD68-CF76-D447-BC85-D3665CE47601}" name="Column9031"/>
    <tableColumn id="9050" xr3:uid="{0FD82C32-CDE6-9B48-B3B0-405377771E24}" name="Column9032"/>
    <tableColumn id="9051" xr3:uid="{1306E5A8-819F-5C44-B1E9-18DDEF6C4B02}" name="Column9033"/>
    <tableColumn id="9052" xr3:uid="{0EB30D0C-7F8C-104A-85D9-EEC330DC56C9}" name="Column9034"/>
    <tableColumn id="9053" xr3:uid="{4B047D69-82A7-954C-A4B0-228F1000690F}" name="Column9035"/>
    <tableColumn id="9054" xr3:uid="{F68B90AA-0C5A-D94F-9141-601E130A41BC}" name="Column9036"/>
    <tableColumn id="9055" xr3:uid="{4B415937-2769-784C-8DDA-7BF7EBA37EDB}" name="Column9037"/>
    <tableColumn id="9056" xr3:uid="{C12F81FE-DCDE-D542-B999-9D12F6010C56}" name="Column9038"/>
    <tableColumn id="9057" xr3:uid="{BCEDB763-7DC3-5D4F-B0EE-8B62732E0D58}" name="Column9039"/>
    <tableColumn id="9058" xr3:uid="{E2818D56-51B5-1F48-A49B-AFD4C77B524F}" name="Column9040"/>
    <tableColumn id="9059" xr3:uid="{95EC83F6-931F-194C-822E-3FE743624A0E}" name="Column9041"/>
    <tableColumn id="9060" xr3:uid="{645CDCD8-E8E8-5846-B519-EC1032AB33A6}" name="Column9042"/>
    <tableColumn id="9061" xr3:uid="{170B2A29-6B73-2B41-925A-5F301BE929D8}" name="Column9043"/>
    <tableColumn id="9062" xr3:uid="{7EE5F82F-8B6F-354F-A58A-E0C9949EBABB}" name="Column9044"/>
    <tableColumn id="9063" xr3:uid="{8540816E-1204-034C-8C63-5BAC44D9C358}" name="Column9045"/>
    <tableColumn id="9064" xr3:uid="{5F3D0AAF-3A25-1D48-A489-DA9FC24E1567}" name="Column9046"/>
    <tableColumn id="9065" xr3:uid="{AFA1A74F-453E-2F42-A976-7D56182906B0}" name="Column9047"/>
    <tableColumn id="9066" xr3:uid="{DF9E8640-2D74-174A-A082-645ECD38133A}" name="Column9048"/>
    <tableColumn id="9067" xr3:uid="{D5AF0FF8-2D2E-7E4C-ACBD-1D8A0C899688}" name="Column9049"/>
    <tableColumn id="9068" xr3:uid="{08524910-882D-3E48-950B-28664529BFB7}" name="Column9050"/>
    <tableColumn id="9069" xr3:uid="{3FECFF2F-6984-4847-939A-89D5AAB2563A}" name="Column9051"/>
    <tableColumn id="9070" xr3:uid="{7BC9C359-6D9C-E748-93EB-627002FC321C}" name="Column9052"/>
    <tableColumn id="9071" xr3:uid="{DA20FF2D-75B7-9D43-A72F-6B126C1EE984}" name="Column9053"/>
    <tableColumn id="9072" xr3:uid="{D7965CF8-1B2C-F640-A12F-1B1D69CA02F9}" name="Column9054"/>
    <tableColumn id="9073" xr3:uid="{C69C050C-6E69-0D48-9004-E48DC7A4EC10}" name="Column9055"/>
    <tableColumn id="9074" xr3:uid="{A4D69EE1-8845-234A-80B2-8EC636D0F919}" name="Column9056"/>
    <tableColumn id="9075" xr3:uid="{5E724AD0-42C5-5442-996D-C6F4ED2E899F}" name="Column9057"/>
    <tableColumn id="9076" xr3:uid="{5AF2975C-6204-E642-8289-3C833F448E06}" name="Column9058"/>
    <tableColumn id="9077" xr3:uid="{91C3B784-395A-CF43-99FF-1AA54527F49C}" name="Column9059"/>
    <tableColumn id="9078" xr3:uid="{1F0AADF7-97AE-4749-B72D-C0D2CF08CA13}" name="Column9060"/>
    <tableColumn id="9079" xr3:uid="{8F74A58C-66C9-054C-93D5-191ADB78507D}" name="Column9061"/>
    <tableColumn id="9080" xr3:uid="{D6A044AC-9B4F-C34F-BA80-6168AE337367}" name="Column9062"/>
    <tableColumn id="9081" xr3:uid="{7654F287-D226-5C4B-B9D3-ADF5155CE822}" name="Column9063"/>
    <tableColumn id="9082" xr3:uid="{3579BA50-B0C8-754D-A526-9D6470A49758}" name="Column9064"/>
    <tableColumn id="9083" xr3:uid="{FC04CBA0-A668-194E-BC7C-71EA52294D14}" name="Column9065"/>
    <tableColumn id="9084" xr3:uid="{5FC5AFD0-1B59-9843-8596-70218DE6C8C0}" name="Column9066"/>
    <tableColumn id="9085" xr3:uid="{002BD600-8FE4-8F4A-BB6C-2521ECAFA779}" name="Column9067"/>
    <tableColumn id="9086" xr3:uid="{CF3C7C97-B45C-5D49-B2B3-278AC235D8C0}" name="Column9068"/>
    <tableColumn id="9087" xr3:uid="{C44BB413-0FD9-854B-A42F-878D63203D0E}" name="Column9069"/>
    <tableColumn id="9088" xr3:uid="{563C98D4-928C-064F-9970-8664A53F125D}" name="Column9070"/>
    <tableColumn id="9089" xr3:uid="{573FE970-FD30-D640-9E04-1C9311ADE786}" name="Column9071"/>
    <tableColumn id="9090" xr3:uid="{F68CCD39-E425-8348-855B-AEF889D25E36}" name="Column9072"/>
    <tableColumn id="9091" xr3:uid="{856B5156-3BDA-9240-A4FD-59CD9589CABB}" name="Column9073"/>
    <tableColumn id="9092" xr3:uid="{8EB31D5B-5376-BF45-BABD-3E5FA6DF0698}" name="Column9074"/>
    <tableColumn id="9093" xr3:uid="{856E8FAD-C996-3848-8E3E-46CB8FB98EB7}" name="Column9075"/>
    <tableColumn id="9094" xr3:uid="{EAA133D2-2A6D-D44F-B58A-3DD5D642698F}" name="Column9076"/>
    <tableColumn id="9095" xr3:uid="{9074E435-E3FC-0944-B384-DE754556DD2C}" name="Column9077"/>
    <tableColumn id="9096" xr3:uid="{A034E723-5409-9D40-982D-7A458598043D}" name="Column9078"/>
    <tableColumn id="9097" xr3:uid="{6B328E98-7D70-F144-9BFD-B8CF38A27878}" name="Column9079"/>
    <tableColumn id="9098" xr3:uid="{2F21FE2B-FB8E-8E45-B250-5D828B53EE2F}" name="Column9080"/>
    <tableColumn id="9099" xr3:uid="{D4F4CBF7-0972-AB44-94A9-A239187D4FF7}" name="Column9081"/>
    <tableColumn id="9100" xr3:uid="{ED64F05A-C3BD-3A4A-91D5-97DB7DC2D8F1}" name="Column9082"/>
    <tableColumn id="9101" xr3:uid="{B6B8A6F0-FAEA-DD42-A2B6-E57458B57DC9}" name="Column9083"/>
    <tableColumn id="9102" xr3:uid="{C32ABF4B-B027-1343-A6A4-DA69D0D56489}" name="Column9084"/>
    <tableColumn id="9103" xr3:uid="{442B4507-F0CF-464F-99E3-540717B8EF02}" name="Column9085"/>
    <tableColumn id="9104" xr3:uid="{C8F64AA5-5DB1-9841-B524-5EC84CE378F2}" name="Column9086"/>
    <tableColumn id="9105" xr3:uid="{9AFA5DEF-8368-AF42-A478-0EC8E97F9413}" name="Column9087"/>
    <tableColumn id="9106" xr3:uid="{7A4DBC64-0FB5-CD40-B062-830576F5407B}" name="Column9088"/>
    <tableColumn id="9107" xr3:uid="{5D1473A4-E47B-E842-9F23-6549A61A45B6}" name="Column9089"/>
    <tableColumn id="9108" xr3:uid="{E24FD669-0487-4D42-A642-8A88BEAB3C13}" name="Column9090"/>
    <tableColumn id="9109" xr3:uid="{C62BF541-5AF5-D248-8968-79AE261CBF58}" name="Column9091"/>
    <tableColumn id="9110" xr3:uid="{D7ECD57E-0C0D-B944-A66B-7E336832AABE}" name="Column9092"/>
    <tableColumn id="9111" xr3:uid="{1C8E9412-DC2B-9543-8568-2DE03CF5EAB8}" name="Column9093"/>
    <tableColumn id="9112" xr3:uid="{A7DDB5D7-EA1F-7249-9601-C4AFE1DAA918}" name="Column9094"/>
    <tableColumn id="9113" xr3:uid="{A038C19E-F43A-5848-9807-B50960DAB757}" name="Column9095"/>
    <tableColumn id="9114" xr3:uid="{E54CF8DF-2B63-B14E-B192-448539BF4FF0}" name="Column9096"/>
    <tableColumn id="9115" xr3:uid="{45F72F8D-7D47-C840-897D-79C7A83FF309}" name="Column9097"/>
    <tableColumn id="9116" xr3:uid="{716861E1-3A19-FC4B-A744-53DD6A800FCA}" name="Column9098"/>
    <tableColumn id="9117" xr3:uid="{4BAC515B-F73B-EB46-A5F5-93B47C57C07F}" name="Column9099"/>
    <tableColumn id="9118" xr3:uid="{E21E3E59-4D76-C147-A0F9-6C464394E5BA}" name="Column9100"/>
    <tableColumn id="9119" xr3:uid="{4FF53383-98F2-0944-8C4F-54E5D83E679F}" name="Column9101"/>
    <tableColumn id="9120" xr3:uid="{58C16612-A034-FE4A-A9C5-D6BAA07F245F}" name="Column9102"/>
    <tableColumn id="9121" xr3:uid="{873AA5B9-25D4-8744-8258-D45C1031F73F}" name="Column9103"/>
    <tableColumn id="9122" xr3:uid="{A0AEB5FF-0854-0F42-B717-CA4608D7522E}" name="Column9104"/>
    <tableColumn id="9123" xr3:uid="{452773A4-93AC-6C42-A32B-1C9FB92F7675}" name="Column9105"/>
    <tableColumn id="9124" xr3:uid="{A86D4939-EB9D-EC4E-BEDE-FAED5C58ED6F}" name="Column9106"/>
    <tableColumn id="9125" xr3:uid="{C300F410-2F83-7D42-8340-8A41C35BE046}" name="Column9107"/>
    <tableColumn id="9126" xr3:uid="{986DF807-953D-B54D-93BE-EB0D5DD751FC}" name="Column9108"/>
    <tableColumn id="9127" xr3:uid="{36F5B865-9BFD-7F4B-8CD4-B826A3A69EF0}" name="Column9109"/>
    <tableColumn id="9128" xr3:uid="{50EF9B78-1698-AF4D-AD7E-795FDF570C93}" name="Column9110"/>
    <tableColumn id="9129" xr3:uid="{D6744849-21BB-5041-8138-603BAFBBCC42}" name="Column9111"/>
    <tableColumn id="9130" xr3:uid="{6F27ABD6-0DF5-534C-A2C8-2B551D41F80F}" name="Column9112"/>
    <tableColumn id="9131" xr3:uid="{9870AAE1-4A87-C641-AC5B-E6E9B3236952}" name="Column9113"/>
    <tableColumn id="9132" xr3:uid="{8F2C8BE9-3A3C-EF4D-B25E-DF9C60EC9C65}" name="Column9114"/>
    <tableColumn id="9133" xr3:uid="{A488E0F7-C0B9-EA4F-BED5-EC31BD3B5258}" name="Column9115"/>
    <tableColumn id="9134" xr3:uid="{56E8D43D-1916-134A-AE27-A005380E3AE6}" name="Column9116"/>
    <tableColumn id="9135" xr3:uid="{959FEBAF-8366-E54A-80E4-969A82FFBCA5}" name="Column9117"/>
    <tableColumn id="9136" xr3:uid="{6350B4AE-0F54-5141-B3F0-EACF443F84A4}" name="Column9118"/>
    <tableColumn id="9137" xr3:uid="{3C4FEDA6-17B1-924E-8925-9EC2C388C3DA}" name="Column9119"/>
    <tableColumn id="9138" xr3:uid="{F9435FC3-8840-284A-8235-C00B16ECA1D7}" name="Column9120"/>
    <tableColumn id="9139" xr3:uid="{4F4B36EE-4437-5944-9FD9-79FA2B064D0F}" name="Column9121"/>
    <tableColumn id="9140" xr3:uid="{2788ACE7-3585-DF48-ADCF-ED29DCCFF41E}" name="Column9122"/>
    <tableColumn id="9141" xr3:uid="{0F02D28E-DA0F-084E-973A-CF1028AF454F}" name="Column9123"/>
    <tableColumn id="9142" xr3:uid="{41A59AB8-672C-4246-A166-E78BC3B2E478}" name="Column9124"/>
    <tableColumn id="9143" xr3:uid="{7CF026DB-3B4B-EF48-9572-1FFDD6A50097}" name="Column9125"/>
    <tableColumn id="9144" xr3:uid="{10CC73FD-4823-ED49-9325-F2CDC6B5008E}" name="Column9126"/>
    <tableColumn id="9145" xr3:uid="{7B3EFE53-E47D-764D-B83A-2140E81BB600}" name="Column9127"/>
    <tableColumn id="9146" xr3:uid="{ED565814-115A-3744-9AF4-F757B36CDEFB}" name="Column9128"/>
    <tableColumn id="9147" xr3:uid="{6210F405-DCE5-114A-858C-B1E4487B9F7E}" name="Column9129"/>
    <tableColumn id="9148" xr3:uid="{65DAFA4F-54FE-174B-88F4-B8F820C62CD5}" name="Column9130"/>
    <tableColumn id="9149" xr3:uid="{B462883E-5781-9143-A1F0-1D5548EAF2FF}" name="Column9131"/>
    <tableColumn id="9150" xr3:uid="{EEECB499-16E4-6D41-B972-3565D787AF3E}" name="Column9132"/>
    <tableColumn id="9151" xr3:uid="{214FA79E-34AC-884A-95B6-FF6A094BE0C6}" name="Column9133"/>
    <tableColumn id="9152" xr3:uid="{282FC85E-B614-3345-A89C-96375B5EA2D9}" name="Column9134"/>
    <tableColumn id="9153" xr3:uid="{808AAC39-25F6-8C40-A502-FC80AE615BA1}" name="Column9135"/>
    <tableColumn id="9154" xr3:uid="{2CCC07CB-AF90-404D-BFA4-50F1502897C6}" name="Column9136"/>
    <tableColumn id="9155" xr3:uid="{A4F653BE-9E8C-154D-B999-20981F709E59}" name="Column9137"/>
    <tableColumn id="9156" xr3:uid="{0769C3D1-FAC3-394C-8A92-ABA2B5DE1247}" name="Column9138"/>
    <tableColumn id="9157" xr3:uid="{3F90A399-2730-6C46-AE7F-3D08C5A9910A}" name="Column9139"/>
    <tableColumn id="9158" xr3:uid="{A9739112-5760-9D46-AD28-5F3AA5A83112}" name="Column9140"/>
    <tableColumn id="9159" xr3:uid="{8F56FD9D-296E-AE48-81C6-98264E949A36}" name="Column9141"/>
    <tableColumn id="9160" xr3:uid="{62902737-77EE-0846-B27D-DCE7EFD8128C}" name="Column9142"/>
    <tableColumn id="9161" xr3:uid="{6C895A79-C10B-E042-B863-2F7D4F87EE30}" name="Column9143"/>
    <tableColumn id="9162" xr3:uid="{F4577AF9-0F12-6D4F-8EFE-6B6D29FF6918}" name="Column9144"/>
    <tableColumn id="9163" xr3:uid="{DA92EB1E-C713-4E43-BA9C-5A62625CC569}" name="Column9145"/>
    <tableColumn id="9164" xr3:uid="{B1A7A149-672E-AC46-AC30-E969742A7FDD}" name="Column9146"/>
    <tableColumn id="9165" xr3:uid="{6B71FCCC-424A-CE4A-BC80-F98FDDA44D65}" name="Column9147"/>
    <tableColumn id="9166" xr3:uid="{1CE67FA4-0227-5640-B670-9FFB4E906F5B}" name="Column9148"/>
    <tableColumn id="9167" xr3:uid="{DA09F2E2-58D5-B241-B71A-0729A1B51A78}" name="Column9149"/>
    <tableColumn id="9168" xr3:uid="{9EF508B1-361E-8F42-8092-EC0CF49DE248}" name="Column9150"/>
    <tableColumn id="9169" xr3:uid="{E613C697-7444-BC40-9C53-8E8544153A45}" name="Column9151"/>
    <tableColumn id="9170" xr3:uid="{6FFA2325-93E3-904E-A880-B2E2DD38A3F1}" name="Column9152"/>
    <tableColumn id="9171" xr3:uid="{2F5A34CF-6A24-774D-BA4E-F95165BFD0C1}" name="Column9153"/>
    <tableColumn id="9172" xr3:uid="{E210F21E-2A2B-9941-B46F-B7C795014E48}" name="Column9154"/>
    <tableColumn id="9173" xr3:uid="{2AB727A3-178B-014E-AC44-3776DB191463}" name="Column9155"/>
    <tableColumn id="9174" xr3:uid="{98E32A9E-3F80-8B4A-B2ED-15B8B27F085E}" name="Column9156"/>
    <tableColumn id="9175" xr3:uid="{09DD8432-8A5E-454E-B4B6-9FE4C87165DE}" name="Column9157"/>
    <tableColumn id="9176" xr3:uid="{C76FA9DA-7B8E-384C-93B1-9C97E94FE08B}" name="Column9158"/>
    <tableColumn id="9177" xr3:uid="{11D539C1-5CBD-0541-8EBE-4E43EBA5E2A2}" name="Column9159"/>
    <tableColumn id="9178" xr3:uid="{8B79BBEA-2030-6645-B14C-AAA24A251CC0}" name="Column9160"/>
    <tableColumn id="9179" xr3:uid="{CD17FD8A-E6BA-7848-91AE-816CCB2BAE45}" name="Column9161"/>
    <tableColumn id="9180" xr3:uid="{8CD85145-7898-3844-990C-0FA8F510757D}" name="Column9162"/>
    <tableColumn id="9181" xr3:uid="{E1D82DCE-7AA0-1B4A-B661-AAB8D3C9E2C8}" name="Column9163"/>
    <tableColumn id="9182" xr3:uid="{677A719D-68B0-554F-AA22-3CBCDD374BB3}" name="Column9164"/>
    <tableColumn id="9183" xr3:uid="{685BB5D2-962A-B74F-A1E2-E8569CD4FEE7}" name="Column9165"/>
    <tableColumn id="9184" xr3:uid="{C7923D10-43AE-F849-AEF4-98C29EDFB97B}" name="Column9166"/>
    <tableColumn id="9185" xr3:uid="{2954C920-7096-484C-BD87-20CDF0DDFF17}" name="Column9167"/>
    <tableColumn id="9186" xr3:uid="{9B070652-67D9-4C40-8652-C02F5B6AB74B}" name="Column9168"/>
    <tableColumn id="9187" xr3:uid="{8E025EE2-1AE7-8E40-A432-29C5A1C58630}" name="Column9169"/>
    <tableColumn id="9188" xr3:uid="{BBDBB2CB-72B2-7A47-B2EC-44A199175C61}" name="Column9170"/>
    <tableColumn id="9189" xr3:uid="{4EC77B33-7566-C642-A49B-13713E57CE2E}" name="Column9171"/>
    <tableColumn id="9190" xr3:uid="{52EEC34C-340B-3848-8AB2-1F3AF437A52F}" name="Column9172"/>
    <tableColumn id="9191" xr3:uid="{5E1A03F8-D0B6-6444-909B-AF64E6063250}" name="Column9173"/>
    <tableColumn id="9192" xr3:uid="{7119A2F6-BC20-C54B-9F22-F7205BBACBBF}" name="Column9174"/>
    <tableColumn id="9193" xr3:uid="{57F14AAE-CC26-D947-AB4A-34E5E9B0833A}" name="Column9175"/>
    <tableColumn id="9194" xr3:uid="{9AD66172-17E7-3D4C-8E23-1BCD77EAD9D6}" name="Column9176"/>
    <tableColumn id="9195" xr3:uid="{00B44492-286C-8243-9E4F-DB512BCC2BFE}" name="Column9177"/>
    <tableColumn id="9196" xr3:uid="{82C34981-A0FF-2C4F-971E-542D675040C5}" name="Column9178"/>
    <tableColumn id="9197" xr3:uid="{F0B54F66-1CAE-A04B-924F-CD795D0E5DF2}" name="Column9179"/>
    <tableColumn id="9198" xr3:uid="{8C9F5324-9E9F-C942-9345-A34252689E3E}" name="Column9180"/>
    <tableColumn id="9199" xr3:uid="{0840F2E7-9731-354C-A6B0-F31830EA77D5}" name="Column9181"/>
    <tableColumn id="9200" xr3:uid="{2161F54F-0B43-0A44-AFF2-B2330EA4AE06}" name="Column9182"/>
    <tableColumn id="9201" xr3:uid="{809377BB-7D17-C84A-A1A2-3DFDEF2708CC}" name="Column9183"/>
    <tableColumn id="9202" xr3:uid="{8BB59CFF-B235-8544-AE5A-BB4108992843}" name="Column9184"/>
    <tableColumn id="9203" xr3:uid="{694FE718-FBF0-F14A-BCD7-D35B34927CAF}" name="Column9185"/>
    <tableColumn id="9204" xr3:uid="{5D2D8DBD-8704-5043-AB6B-DAF7EB7E83DE}" name="Column9186"/>
    <tableColumn id="9205" xr3:uid="{68D10F7E-F0B5-D44D-A32B-5DC16479ADED}" name="Column9187"/>
    <tableColumn id="9206" xr3:uid="{557C476C-1503-D840-945D-1D38A236FC17}" name="Column9188"/>
    <tableColumn id="9207" xr3:uid="{20D43975-240D-DD40-AFBB-B20C23D86C26}" name="Column9189"/>
    <tableColumn id="9208" xr3:uid="{36BD3F11-8859-D846-AF8E-82CBE381954D}" name="Column9190"/>
    <tableColumn id="9209" xr3:uid="{0A792A41-E0EB-D449-B9C9-FA52F5BB247C}" name="Column9191"/>
    <tableColumn id="9210" xr3:uid="{0335AE9A-EA51-D940-A4E6-C74B7C3B5DC7}" name="Column9192"/>
    <tableColumn id="9211" xr3:uid="{80148CCC-F217-C149-B728-D2D7088031B1}" name="Column9193"/>
    <tableColumn id="9212" xr3:uid="{ED52353F-9AD3-7A44-81A7-4F556C4CF911}" name="Column9194"/>
    <tableColumn id="9213" xr3:uid="{AC12876A-945C-C84E-9079-D9B9182F0C69}" name="Column9195"/>
    <tableColumn id="9214" xr3:uid="{CF50501D-D36B-1C44-B901-2708D20C691D}" name="Column9196"/>
    <tableColumn id="9215" xr3:uid="{6F3C588D-DFB6-2E4E-839F-A33DF1CFB251}" name="Column9197"/>
    <tableColumn id="9216" xr3:uid="{E7A0C0C9-6853-5B4C-8E40-2CE744CE0815}" name="Column9198"/>
    <tableColumn id="9217" xr3:uid="{4722FF0E-B31A-5A4C-8D9B-54D0D7C8FA80}" name="Column9199"/>
    <tableColumn id="9218" xr3:uid="{805914C4-94D4-7F4A-8C66-9E5C16182539}" name="Column9200"/>
    <tableColumn id="9219" xr3:uid="{0D915401-67A1-7F49-8779-A2042D9366F3}" name="Column9201"/>
    <tableColumn id="9220" xr3:uid="{DE6F9A7E-7A44-6B49-94C6-6AF1DB691D45}" name="Column9202"/>
    <tableColumn id="9221" xr3:uid="{8CD304CE-38CE-294B-B8E0-845C300540ED}" name="Column9203"/>
    <tableColumn id="9222" xr3:uid="{33A7A1EC-6606-7E40-8E43-D00983ACED5C}" name="Column9204"/>
    <tableColumn id="9223" xr3:uid="{931967E8-6BB9-CA46-B2CC-958E6056427A}" name="Column9205"/>
    <tableColumn id="9224" xr3:uid="{688FEC6A-55A7-7F40-ABBA-D9F6C02A5C45}" name="Column9206"/>
    <tableColumn id="9225" xr3:uid="{FCFB1157-2CF5-4343-B8F2-4EBDD8AA9471}" name="Column9207"/>
    <tableColumn id="9226" xr3:uid="{4531C3D5-EB28-9442-8A9E-636773FAE116}" name="Column9208"/>
    <tableColumn id="9227" xr3:uid="{EB66271D-0765-B448-87E5-2447CC0DB5A2}" name="Column9209"/>
    <tableColumn id="9228" xr3:uid="{28C37907-933E-974A-97CB-90449058FED8}" name="Column9210"/>
    <tableColumn id="9229" xr3:uid="{EB31D1A3-6218-F644-A53E-13234F2C4FEE}" name="Column9211"/>
    <tableColumn id="9230" xr3:uid="{C9C6717D-5492-6248-AF56-9DA1BB1474F8}" name="Column9212"/>
    <tableColumn id="9231" xr3:uid="{1F335438-0A82-D94A-91E3-0D8B1250E358}" name="Column9213"/>
    <tableColumn id="9232" xr3:uid="{48D86324-82B4-3942-8E06-EF9C05CAB039}" name="Column9214"/>
    <tableColumn id="9233" xr3:uid="{EE4B51A8-48D3-4848-B36F-CAF465497B6A}" name="Column9215"/>
    <tableColumn id="9234" xr3:uid="{F0015761-637F-3442-A2B9-1EEE25975B2A}" name="Column9216"/>
    <tableColumn id="9235" xr3:uid="{6C5EB74D-3C1D-D941-90C7-BC37BF921040}" name="Column9217"/>
    <tableColumn id="9236" xr3:uid="{CEF0AF69-BBD4-C64C-8C67-E5A6FEA4602B}" name="Column9218"/>
    <tableColumn id="9237" xr3:uid="{0713FE4A-49F0-E446-905E-523A1166690F}" name="Column9219"/>
    <tableColumn id="9238" xr3:uid="{773F906C-B958-B64A-9B99-C16957B027E3}" name="Column9220"/>
    <tableColumn id="9239" xr3:uid="{4E0B8070-783E-CE4F-9D17-D9B19F8E0CD6}" name="Column9221"/>
    <tableColumn id="9240" xr3:uid="{80B0CAFF-4562-5046-86AF-6D690209DF74}" name="Column9222"/>
    <tableColumn id="9241" xr3:uid="{B8C26641-550C-9744-A277-1A72EA565CFB}" name="Column9223"/>
    <tableColumn id="9242" xr3:uid="{644E6F56-AED5-154E-8921-887C8F3FA53F}" name="Column9224"/>
    <tableColumn id="9243" xr3:uid="{4B0300DF-A919-0C4B-A5F8-1C322DEECCFD}" name="Column9225"/>
    <tableColumn id="9244" xr3:uid="{3F6F0963-00BB-F142-BACC-56504F7536F1}" name="Column9226"/>
    <tableColumn id="9245" xr3:uid="{F72F4E69-800F-954F-94B5-252065C172FB}" name="Column9227"/>
    <tableColumn id="9246" xr3:uid="{0FF59E7F-0D01-AC41-869E-1BE1CB4D7C1C}" name="Column9228"/>
    <tableColumn id="9247" xr3:uid="{97402F1A-CDF9-4842-AACB-159680104CEE}" name="Column9229"/>
    <tableColumn id="9248" xr3:uid="{AF17E779-4852-534F-889E-D6C7F0B0BF2A}" name="Column9230"/>
    <tableColumn id="9249" xr3:uid="{7347C9A5-4312-BF44-8E51-A7C99BB6CFBB}" name="Column9231"/>
    <tableColumn id="9250" xr3:uid="{4D3992EF-835C-FB4F-83F4-DA60AB2219EB}" name="Column9232"/>
    <tableColumn id="9251" xr3:uid="{0142E50D-EA2B-F240-B715-B24B71B3CCE9}" name="Column9233"/>
    <tableColumn id="9252" xr3:uid="{E601859F-9DA2-A942-BA59-E179FF5B2A51}" name="Column9234"/>
    <tableColumn id="9253" xr3:uid="{259CB1AF-BC45-B446-8489-A5771AC2F3BA}" name="Column9235"/>
    <tableColumn id="9254" xr3:uid="{ABC8FF41-3CE4-F146-A15B-E167D714B363}" name="Column9236"/>
    <tableColumn id="9255" xr3:uid="{347FB72E-C129-4E4D-BE34-34DF0255C478}" name="Column9237"/>
    <tableColumn id="9256" xr3:uid="{13D9D871-3C00-0F41-9D6D-FCE72CEC5C50}" name="Column9238"/>
    <tableColumn id="9257" xr3:uid="{5280188A-9B60-764A-B56B-83C53EF7332D}" name="Column9239"/>
    <tableColumn id="9258" xr3:uid="{EAD2BBB8-CD8D-7245-A963-6368D9A5FB4B}" name="Column9240"/>
    <tableColumn id="9259" xr3:uid="{6C8059C4-26B4-7646-83EB-96C00B3168DE}" name="Column9241"/>
    <tableColumn id="9260" xr3:uid="{524DB82A-2CDD-3340-88EC-BA0A4EB6A88C}" name="Column9242"/>
    <tableColumn id="9261" xr3:uid="{6E6349F8-E24E-AF4E-AF40-7CD3D4B17DE9}" name="Column9243"/>
    <tableColumn id="9262" xr3:uid="{4898DAEC-3C5E-7E40-94A7-A40C7B6BF5EF}" name="Column9244"/>
    <tableColumn id="9263" xr3:uid="{F37D9100-DF45-6A46-8E15-C71DCCB5C756}" name="Column9245"/>
    <tableColumn id="9264" xr3:uid="{E8EA7715-33E0-444E-B813-AC794273FF02}" name="Column9246"/>
    <tableColumn id="9265" xr3:uid="{A9923A40-085F-BC43-9D6E-FC7E662113A5}" name="Column9247"/>
    <tableColumn id="9266" xr3:uid="{D7F2A916-7876-3A4D-9614-9E9288B9A4E8}" name="Column9248"/>
    <tableColumn id="9267" xr3:uid="{8C11870D-28C3-A845-902C-385D8D932570}" name="Column9249"/>
    <tableColumn id="9268" xr3:uid="{F8B70AB0-CE29-3849-A852-3F157A3ED1CE}" name="Column9250"/>
    <tableColumn id="9269" xr3:uid="{EF58AC95-828B-164C-83A5-4C07A8C42979}" name="Column9251"/>
    <tableColumn id="9270" xr3:uid="{1FA28237-7516-984F-9D62-84C10127E218}" name="Column9252"/>
    <tableColumn id="9271" xr3:uid="{4AD5DA0B-EEB3-0C4B-9389-962BDE53FF8E}" name="Column9253"/>
    <tableColumn id="9272" xr3:uid="{86896A3B-81F6-EF4C-8674-5D13BE9A9897}" name="Column9254"/>
    <tableColumn id="9273" xr3:uid="{F6BAA1F7-FDA4-9342-97C1-8FBAFF7F66C1}" name="Column9255"/>
    <tableColumn id="9274" xr3:uid="{E1585121-4911-5F48-8B19-B6699F714BD0}" name="Column9256"/>
    <tableColumn id="9275" xr3:uid="{846ADDF7-327C-A54A-9F3D-5BD5261201C1}" name="Column9257"/>
    <tableColumn id="9276" xr3:uid="{C4F77031-871B-594E-8879-429F2022F7FD}" name="Column9258"/>
    <tableColumn id="9277" xr3:uid="{24A72F33-EEC1-0248-AECD-16799A912953}" name="Column9259"/>
    <tableColumn id="9278" xr3:uid="{2FD609D7-F2A0-414A-8215-6B0A9C2EA110}" name="Column9260"/>
    <tableColumn id="9279" xr3:uid="{CD798110-AC91-C14F-B79E-2549FD48A9F6}" name="Column9261"/>
    <tableColumn id="9280" xr3:uid="{CFC14BAA-2DBA-F640-AE58-065EDF575546}" name="Column9262"/>
    <tableColumn id="9281" xr3:uid="{96D80F35-688A-3044-9AC6-2F9AC05CD7D0}" name="Column9263"/>
    <tableColumn id="9282" xr3:uid="{C2244E1B-AB2C-994A-A04F-76BDB34EEE1C}" name="Column9264"/>
    <tableColumn id="9283" xr3:uid="{C4BB100B-2A4B-4D45-A3E7-EE8BF80759A7}" name="Column9265"/>
    <tableColumn id="9284" xr3:uid="{43CD1069-F9BA-CC44-881D-77D5C99BD483}" name="Column9266"/>
    <tableColumn id="9285" xr3:uid="{47855D87-CA1A-0240-B025-2BE95FFD82B9}" name="Column9267"/>
    <tableColumn id="9286" xr3:uid="{994FF0A5-830B-434A-80FC-1BE142E98AC5}" name="Column9268"/>
    <tableColumn id="9287" xr3:uid="{A967DF40-B36D-8441-BCC5-859ADA103603}" name="Column9269"/>
    <tableColumn id="9288" xr3:uid="{563B2472-BA9B-734F-BC10-6D90A1F43637}" name="Column9270"/>
    <tableColumn id="9289" xr3:uid="{868F74A0-5A85-634C-BC82-836145ECE55C}" name="Column9271"/>
    <tableColumn id="9290" xr3:uid="{042FAD7E-6479-2941-91D0-0D9A2901F63D}" name="Column9272"/>
    <tableColumn id="9291" xr3:uid="{321F2C8C-E64A-4C44-AD6C-B614AC00C845}" name="Column9273"/>
    <tableColumn id="9292" xr3:uid="{0DB1F18B-4E32-F943-9FA5-874615E18392}" name="Column9274"/>
    <tableColumn id="9293" xr3:uid="{ADC271A1-A53A-EF48-9F36-2EE7A4743FB6}" name="Column9275"/>
    <tableColumn id="9294" xr3:uid="{0A15C650-4134-F548-B5B9-1CF277AF7687}" name="Column9276"/>
    <tableColumn id="9295" xr3:uid="{EB5E416F-B2C4-8145-9A31-18AF4CD7B283}" name="Column9277"/>
    <tableColumn id="9296" xr3:uid="{4AF7E0FD-38F8-6749-BAF5-252235B52729}" name="Column9278"/>
    <tableColumn id="9297" xr3:uid="{20CAEE41-83B6-5748-A1C7-6DA4CD9E433C}" name="Column9279"/>
    <tableColumn id="9298" xr3:uid="{2320A2AB-1FD7-0D40-863E-D25EECF199FE}" name="Column9280"/>
    <tableColumn id="9299" xr3:uid="{540CDC1E-9652-6C46-A374-351C6239F205}" name="Column9281"/>
    <tableColumn id="9300" xr3:uid="{31CE4F79-9A52-9F40-B7EF-445D8FB9ABBB}" name="Column9282"/>
    <tableColumn id="9301" xr3:uid="{87C1F054-283A-B544-904E-2DA336F75B5F}" name="Column9283"/>
    <tableColumn id="9302" xr3:uid="{620C77E7-5D43-E04E-87E3-F9D648ECA391}" name="Column9284"/>
    <tableColumn id="9303" xr3:uid="{94EF408E-8600-764B-9B8F-4E0E7478BFDA}" name="Column9285"/>
    <tableColumn id="9304" xr3:uid="{4CE0EF57-FA52-FE41-A07A-D410F66756A5}" name="Column9286"/>
    <tableColumn id="9305" xr3:uid="{DF98C7A3-A56A-1448-8D2B-528BB661E989}" name="Column9287"/>
    <tableColumn id="9306" xr3:uid="{E4B63490-7195-CF49-95AC-A89A98DFD093}" name="Column9288"/>
    <tableColumn id="9307" xr3:uid="{A68E49A6-8022-8A4E-9F56-9FD63E074C94}" name="Column9289"/>
    <tableColumn id="9308" xr3:uid="{393F4C61-F221-6D43-B3E1-DFEB674C030B}" name="Column9290"/>
    <tableColumn id="9309" xr3:uid="{95D40962-E40C-7148-9A1D-009CBD84999F}" name="Column9291"/>
    <tableColumn id="9310" xr3:uid="{1D37929E-6FA1-D84D-8DB6-FAA99CBE22A9}" name="Column9292"/>
    <tableColumn id="9311" xr3:uid="{1EA848FC-6A69-DC40-A825-637C78A98103}" name="Column9293"/>
    <tableColumn id="9312" xr3:uid="{B41E6AF7-F8DA-FA45-9D2A-8333BCB51AFA}" name="Column9294"/>
    <tableColumn id="9313" xr3:uid="{0135C424-8FDC-8348-BB88-DCCD16F78F16}" name="Column9295"/>
    <tableColumn id="9314" xr3:uid="{B06C5536-3AD1-A543-AFB5-79AE7957C3FB}" name="Column9296"/>
    <tableColumn id="9315" xr3:uid="{1C5642F3-C125-2B42-AEF7-B627145ECA03}" name="Column9297"/>
    <tableColumn id="9316" xr3:uid="{5701962B-EF32-3E45-AD00-A8A675F9F520}" name="Column9298"/>
    <tableColumn id="9317" xr3:uid="{28F0E070-9BDA-8C45-B91B-23FA4C7206D0}" name="Column9299"/>
    <tableColumn id="9318" xr3:uid="{41C42242-36FA-3142-BDC7-1EF28FFF7EA7}" name="Column9300"/>
    <tableColumn id="9319" xr3:uid="{D3B69CCD-9E42-F647-8695-DBD799303ED6}" name="Column9301"/>
    <tableColumn id="9320" xr3:uid="{6C2E4EAC-249E-7846-BA5B-042B322DD3D2}" name="Column9302"/>
    <tableColumn id="9321" xr3:uid="{A998B4FF-95EE-314E-B720-E6A5B267AC70}" name="Column9303"/>
    <tableColumn id="9322" xr3:uid="{3DFCE9D9-EF28-0D49-8A32-36997C39594A}" name="Column9304"/>
    <tableColumn id="9323" xr3:uid="{D6CDED78-DFA2-0F47-BE70-F87A18A060B4}" name="Column9305"/>
    <tableColumn id="9324" xr3:uid="{652B2B95-749C-4E4A-894B-0F33864CC550}" name="Column9306"/>
    <tableColumn id="9325" xr3:uid="{B8C14D44-96C1-CA44-A117-FDC3F8A10BBD}" name="Column9307"/>
    <tableColumn id="9326" xr3:uid="{A787F3CA-5757-AF4B-873C-056E10227B6A}" name="Column9308"/>
    <tableColumn id="9327" xr3:uid="{9F359AA8-812E-0142-899F-9A71F15E030A}" name="Column9309"/>
    <tableColumn id="9328" xr3:uid="{D69CCFA9-F0E7-FF4B-A1D9-48EED0E7E7F2}" name="Column9310"/>
    <tableColumn id="9329" xr3:uid="{C9063D82-BCBF-CF4D-95EA-CCCDF3F44E2A}" name="Column9311"/>
    <tableColumn id="9330" xr3:uid="{8211A995-3787-6146-8B62-9BFFFA35F223}" name="Column9312"/>
    <tableColumn id="9331" xr3:uid="{75A67317-4E6E-C34C-BCDD-6DA0D25D0E40}" name="Column9313"/>
    <tableColumn id="9332" xr3:uid="{052C9307-71D0-B142-80EC-3E22C902DE14}" name="Column9314"/>
    <tableColumn id="9333" xr3:uid="{CC642859-6F4A-9E46-AF34-89B88EE121B4}" name="Column9315"/>
    <tableColumn id="9334" xr3:uid="{A90DF4D2-BF64-3049-9719-1B2991E44C2F}" name="Column9316"/>
    <tableColumn id="9335" xr3:uid="{37447F53-7A20-6247-9989-0C36513A14E0}" name="Column9317"/>
    <tableColumn id="9336" xr3:uid="{AE3CB271-5A68-484C-9A8B-9AA72A569962}" name="Column9318"/>
    <tableColumn id="9337" xr3:uid="{8363D9E5-4765-1949-A221-F2093441D243}" name="Column9319"/>
    <tableColumn id="9338" xr3:uid="{17339347-E7CF-5E4F-B60F-27584229CBAD}" name="Column9320"/>
    <tableColumn id="9339" xr3:uid="{6E4BD8EA-2E66-094D-A56E-EA9FF3F4716A}" name="Column9321"/>
    <tableColumn id="9340" xr3:uid="{1F51F5C3-B484-7549-982D-5C195F80ECDE}" name="Column9322"/>
    <tableColumn id="9341" xr3:uid="{8FAC49D8-668C-4C45-B96A-69E5AD9DC636}" name="Column9323"/>
    <tableColumn id="9342" xr3:uid="{5F942698-ECF9-E849-BD23-4B22732F1A47}" name="Column9324"/>
    <tableColumn id="9343" xr3:uid="{E019D43B-4ECE-A648-A7A9-24B8C63EED69}" name="Column9325"/>
    <tableColumn id="9344" xr3:uid="{5B3B8828-2D4B-D84F-9FB8-A40382F618E4}" name="Column9326"/>
    <tableColumn id="9345" xr3:uid="{3BD38A6C-C52C-784E-A9E9-4C326D1AC49A}" name="Column9327"/>
    <tableColumn id="9346" xr3:uid="{C1FE411D-9107-3447-A48D-0424C47E4810}" name="Column9328"/>
    <tableColumn id="9347" xr3:uid="{C2AE2089-93AC-5A45-84A5-332A7AD99050}" name="Column9329"/>
    <tableColumn id="9348" xr3:uid="{D3FCB5A6-FB0D-214F-8076-6A492C58F4EF}" name="Column9330"/>
    <tableColumn id="9349" xr3:uid="{13FF1C26-2156-154D-AEF8-92F5CDBFBA85}" name="Column9331"/>
    <tableColumn id="9350" xr3:uid="{2BC65AF7-6CD3-614D-99CF-81E99D927C69}" name="Column9332"/>
    <tableColumn id="9351" xr3:uid="{A96AF31F-6008-A84F-BC20-166C4E8B16EE}" name="Column9333"/>
    <tableColumn id="9352" xr3:uid="{586DBBDC-16B0-7A4B-AF08-888CEED58DDD}" name="Column9334"/>
    <tableColumn id="9353" xr3:uid="{0C6DB841-3F0F-3D47-B40A-0D8A77F26D67}" name="Column9335"/>
    <tableColumn id="9354" xr3:uid="{4E3DA44A-8EFE-B143-8822-3A49DF2B2E88}" name="Column9336"/>
    <tableColumn id="9355" xr3:uid="{D0245FBD-85D9-8A40-8541-52EC0DF7C474}" name="Column9337"/>
    <tableColumn id="9356" xr3:uid="{D464B711-BE37-2F44-A751-1DBF7A811F22}" name="Column9338"/>
    <tableColumn id="9357" xr3:uid="{40DBBCCE-C4B0-5F4B-9E97-9F0C6C1F7EC5}" name="Column9339"/>
    <tableColumn id="9358" xr3:uid="{539E4B78-055C-EF4E-B5A5-77C3296236CE}" name="Column9340"/>
    <tableColumn id="9359" xr3:uid="{BD237C77-7164-5F48-8292-FBE1D189E91C}" name="Column9341"/>
    <tableColumn id="9360" xr3:uid="{27604580-FA2B-B346-B707-97F4A57579F4}" name="Column9342"/>
    <tableColumn id="9361" xr3:uid="{5EF12852-ADE7-F140-8ABA-6BAF1F22226B}" name="Column9343"/>
    <tableColumn id="9362" xr3:uid="{5FD2C299-B454-7C49-BF6A-05378A01075F}" name="Column9344"/>
    <tableColumn id="9363" xr3:uid="{DB27A9D6-4608-C64B-A4EA-BB57AFA67813}" name="Column9345"/>
    <tableColumn id="9364" xr3:uid="{56910776-FE99-7E48-818A-39D6ED86BAEE}" name="Column9346"/>
    <tableColumn id="9365" xr3:uid="{5F5EE302-6E74-3B4C-A4E0-1C3BD59C558E}" name="Column9347"/>
    <tableColumn id="9366" xr3:uid="{2F31673F-8132-544B-AB91-14601A1EEF65}" name="Column9348"/>
    <tableColumn id="9367" xr3:uid="{93160B51-FBEE-B943-B914-C4D68921C3F9}" name="Column9349"/>
    <tableColumn id="9368" xr3:uid="{EDFF887F-1927-5448-8655-B83AD2522806}" name="Column9350"/>
    <tableColumn id="9369" xr3:uid="{8A273F0A-0EFC-0B4A-A218-18E99F3998A9}" name="Column9351"/>
    <tableColumn id="9370" xr3:uid="{F68772BF-F960-644C-825C-000A1BE9A921}" name="Column9352"/>
    <tableColumn id="9371" xr3:uid="{5F3B405F-6299-4347-9185-B61A55B91D2F}" name="Column9353"/>
    <tableColumn id="9372" xr3:uid="{1ABB68B6-9E68-124A-A045-2C15281F8298}" name="Column9354"/>
    <tableColumn id="9373" xr3:uid="{AF8EC2FD-9A93-6947-AE32-F1EAE60880C3}" name="Column9355"/>
    <tableColumn id="9374" xr3:uid="{BFAC5863-96A0-B049-B0ED-3F866D43BA60}" name="Column9356"/>
    <tableColumn id="9375" xr3:uid="{090C9F56-C25B-014D-847F-35E8A734B937}" name="Column9357"/>
    <tableColumn id="9376" xr3:uid="{DD8C4416-7F8A-C942-A42B-3B74A36C038A}" name="Column9358"/>
    <tableColumn id="9377" xr3:uid="{1902CD33-AD93-EC4A-AF6C-6F0565B8CE13}" name="Column9359"/>
    <tableColumn id="9378" xr3:uid="{93081A9A-FCD4-404B-B5F8-BDF4A5E36BF4}" name="Column9360"/>
    <tableColumn id="9379" xr3:uid="{4D19BE6F-920F-D644-B8CF-B5F82C78067B}" name="Column9361"/>
    <tableColumn id="9380" xr3:uid="{B71AD2B7-857E-AD48-BD6A-08F0BF60C5FE}" name="Column9362"/>
    <tableColumn id="9381" xr3:uid="{C1166F20-FDAD-CA41-8FA9-985F80AD1108}" name="Column9363"/>
    <tableColumn id="9382" xr3:uid="{2823D7F9-8D04-8E45-AEF7-5B8A712D8FE0}" name="Column9364"/>
    <tableColumn id="9383" xr3:uid="{3857DE38-AF1C-B84F-AAA9-7E3AC0275EC1}" name="Column9365"/>
    <tableColumn id="9384" xr3:uid="{C11272B2-4072-B140-BD58-D5F4E6A4CD47}" name="Column9366"/>
    <tableColumn id="9385" xr3:uid="{E5ECF949-2837-3A48-8521-BD392819CC84}" name="Column9367"/>
    <tableColumn id="9386" xr3:uid="{4C8A6E01-1D97-DB4A-8148-F964FD2AD65E}" name="Column9368"/>
    <tableColumn id="9387" xr3:uid="{91119C97-8E09-254E-AC78-50BC4DDB7134}" name="Column9369"/>
    <tableColumn id="9388" xr3:uid="{266AD3AA-AE0C-D74D-8E94-89343C78459C}" name="Column9370"/>
    <tableColumn id="9389" xr3:uid="{1DA6271E-0921-D543-BD06-670AC3A5B600}" name="Column9371"/>
    <tableColumn id="9390" xr3:uid="{6644D392-EE2E-5942-A9D1-BDF030CB4CFA}" name="Column9372"/>
    <tableColumn id="9391" xr3:uid="{026460BA-3D61-2443-87D5-C312CCFB3961}" name="Column9373"/>
    <tableColumn id="9392" xr3:uid="{66238AE4-5840-0347-9FE8-0073151905DA}" name="Column9374"/>
    <tableColumn id="9393" xr3:uid="{BAAC1AAB-6C25-8B47-B3E7-99F6777140C1}" name="Column9375"/>
    <tableColumn id="9394" xr3:uid="{77A7F6D9-3D67-694E-A6A1-D35F4A81E3DB}" name="Column9376"/>
    <tableColumn id="9395" xr3:uid="{B6748DD1-742C-2249-AD10-E9CC5444E3AD}" name="Column9377"/>
    <tableColumn id="9396" xr3:uid="{E002326E-3100-A84E-8770-21293E7C536A}" name="Column9378"/>
    <tableColumn id="9397" xr3:uid="{4591BA67-05ED-B748-9A63-7F03A3187084}" name="Column9379"/>
    <tableColumn id="9398" xr3:uid="{7CFE4315-1C2A-FE42-A83A-3D2757655E05}" name="Column9380"/>
    <tableColumn id="9399" xr3:uid="{9FACE582-9919-C54B-BF07-EBBDAD1C7D62}" name="Column9381"/>
    <tableColumn id="9400" xr3:uid="{E4376488-649F-334A-9575-142A27B53824}" name="Column9382"/>
    <tableColumn id="9401" xr3:uid="{F1F8ECED-53B5-AD42-921F-74D5BE84AF5D}" name="Column9383"/>
    <tableColumn id="9402" xr3:uid="{CE3A2806-894A-8245-846D-4F67E2DF9398}" name="Column9384"/>
    <tableColumn id="9403" xr3:uid="{76336FD0-5CEB-5749-89BC-6743C2D50787}" name="Column9385"/>
    <tableColumn id="9404" xr3:uid="{9758440D-6A64-E841-8C14-5D3BA94BAEA4}" name="Column9386"/>
    <tableColumn id="9405" xr3:uid="{F022855B-6249-0743-96C8-73793B717A6D}" name="Column9387"/>
    <tableColumn id="9406" xr3:uid="{AEB2B127-772A-9244-A4EE-52187ECD6C7A}" name="Column9388"/>
    <tableColumn id="9407" xr3:uid="{52A229E1-154A-7947-8190-4CD38590328F}" name="Column9389"/>
    <tableColumn id="9408" xr3:uid="{D77BA5A0-AEB8-A840-8FC7-96C25D635F9C}" name="Column9390"/>
    <tableColumn id="9409" xr3:uid="{3A4C652D-9DF1-CE42-9B40-9F392E9919E8}" name="Column9391"/>
    <tableColumn id="9410" xr3:uid="{57EB3016-E658-D046-A245-09018025C9C1}" name="Column9392"/>
    <tableColumn id="9411" xr3:uid="{2E1D3E54-F532-7049-A5A2-AF8E02845A03}" name="Column9393"/>
    <tableColumn id="9412" xr3:uid="{D0B9FBC4-0261-5C4D-A2EF-2C2E36F5C851}" name="Column9394"/>
    <tableColumn id="9413" xr3:uid="{D5993556-CD26-1944-AAB5-4C430DF192D9}" name="Column9395"/>
    <tableColumn id="9414" xr3:uid="{B8E94B26-CE32-3B46-9364-27E2BFD3C8E6}" name="Column9396"/>
    <tableColumn id="9415" xr3:uid="{9B04EBA0-AC30-F649-A7AE-E180905FFA1F}" name="Column9397"/>
    <tableColumn id="9416" xr3:uid="{069F2B77-84D5-9745-9A18-1B3A87FAAA87}" name="Column9398"/>
    <tableColumn id="9417" xr3:uid="{AA21D020-2125-7F46-A215-81910E8080EF}" name="Column9399"/>
    <tableColumn id="9418" xr3:uid="{853E9286-2CCB-9848-A0A4-916F31C0C57A}" name="Column9400"/>
    <tableColumn id="9419" xr3:uid="{1491B9EF-065B-5C43-B75B-52F55D80C8D8}" name="Column9401"/>
    <tableColumn id="9420" xr3:uid="{DC93B023-855F-2947-BD69-04D598713EFD}" name="Column9402"/>
    <tableColumn id="9421" xr3:uid="{1154877E-8BB9-B849-A8BF-EB23157BB0A3}" name="Column9403"/>
    <tableColumn id="9422" xr3:uid="{F6DE7144-0FBC-BD44-A6EB-656414849FA3}" name="Column9404"/>
    <tableColumn id="9423" xr3:uid="{A6ECCBE7-1665-DD45-84C5-31D1834C2B53}" name="Column9405"/>
    <tableColumn id="9424" xr3:uid="{79421A52-69FD-764E-AEDA-D8EA89168279}" name="Column9406"/>
    <tableColumn id="9425" xr3:uid="{45EB365C-7AD5-BD46-89C3-EB68DD642BB5}" name="Column9407"/>
    <tableColumn id="9426" xr3:uid="{DC444373-E5CD-FE4D-AA57-908687AEDE33}" name="Column9408"/>
    <tableColumn id="9427" xr3:uid="{6D4DB14D-3024-AD4C-A9A5-DF11E41412FB}" name="Column9409"/>
    <tableColumn id="9428" xr3:uid="{6D70DA04-C48E-6F4F-9BBB-E262904131B2}" name="Column9410"/>
    <tableColumn id="9429" xr3:uid="{E88429E4-B25A-DD4B-A0F0-1815962EDDED}" name="Column9411"/>
    <tableColumn id="9430" xr3:uid="{7FC551B3-5A62-7E43-AB52-90ECB170B958}" name="Column9412"/>
    <tableColumn id="9431" xr3:uid="{06C0971B-6B30-974B-A1FF-3B8683BB2D01}" name="Column9413"/>
    <tableColumn id="9432" xr3:uid="{C1E80C94-C905-3A4C-B83D-5F60731D3A79}" name="Column9414"/>
    <tableColumn id="9433" xr3:uid="{69D4F888-4BFE-BE43-8D63-530F781DE832}" name="Column9415"/>
    <tableColumn id="9434" xr3:uid="{D1DAC4C1-3518-AD41-A404-8107D8AB8728}" name="Column9416"/>
    <tableColumn id="9435" xr3:uid="{6B67BD09-CA05-7148-8EE6-02FF185327A4}" name="Column9417"/>
    <tableColumn id="9436" xr3:uid="{B16F1AB0-09AA-A74D-8DAE-F252A52F7EBE}" name="Column9418"/>
    <tableColumn id="9437" xr3:uid="{24E3C9C9-FB72-1949-BC01-ABBE80D2048E}" name="Column9419"/>
    <tableColumn id="9438" xr3:uid="{F13CDDF5-911E-3D4C-9D7D-5F5A4C811423}" name="Column9420"/>
    <tableColumn id="9439" xr3:uid="{F918B35E-4076-2B41-A83B-1218DC878589}" name="Column9421"/>
    <tableColumn id="9440" xr3:uid="{1C719515-035A-8F4A-9927-00005EDC5C82}" name="Column9422"/>
    <tableColumn id="9441" xr3:uid="{5820C19E-4A32-1C47-90E1-D2E3D8E40BB5}" name="Column9423"/>
    <tableColumn id="9442" xr3:uid="{2031D1BE-DE75-8E4E-8E1E-6F77109F2511}" name="Column9424"/>
    <tableColumn id="9443" xr3:uid="{315BD7E2-890F-F940-A9A7-9D3E89FF424B}" name="Column9425"/>
    <tableColumn id="9444" xr3:uid="{DA23EE74-8E5F-2247-AFD0-5B83DB3BC4D8}" name="Column9426"/>
    <tableColumn id="9445" xr3:uid="{A635FEAF-1B58-154B-B1DA-21C0272FB4BC}" name="Column9427"/>
    <tableColumn id="9446" xr3:uid="{8B080B2E-6C3F-1F43-A3A6-A1BAE26A5FFD}" name="Column9428"/>
    <tableColumn id="9447" xr3:uid="{DF3D30DA-AE37-D54E-9EF7-3DD7538DCC3B}" name="Column9429"/>
    <tableColumn id="9448" xr3:uid="{E75509CD-179E-DA48-92BB-F4E11F05CB83}" name="Column9430"/>
    <tableColumn id="9449" xr3:uid="{B10E3CE5-6DE1-184F-B881-3EB1568C5614}" name="Column9431"/>
    <tableColumn id="9450" xr3:uid="{2A604CA9-F24A-6545-B64A-DA56B8E7B3EA}" name="Column9432"/>
    <tableColumn id="9451" xr3:uid="{217F3E4C-1646-BC42-9A4A-04EC53E44B91}" name="Column9433"/>
    <tableColumn id="9452" xr3:uid="{52CA412E-5C7B-2D47-B184-4154311E3092}" name="Column9434"/>
    <tableColumn id="9453" xr3:uid="{F14F07CD-E4E8-D64D-B06B-1E865F571811}" name="Column9435"/>
    <tableColumn id="9454" xr3:uid="{0195FF73-2A9D-B140-9FBF-5DBE804867AD}" name="Column9436"/>
    <tableColumn id="9455" xr3:uid="{31F210A2-169D-8740-B5FB-2D1DEED6039F}" name="Column9437"/>
    <tableColumn id="9456" xr3:uid="{8977449F-E62E-9541-88AF-17BAA303ABFD}" name="Column9438"/>
    <tableColumn id="9457" xr3:uid="{7472852B-F763-7345-B82A-E270072462E3}" name="Column9439"/>
    <tableColumn id="9458" xr3:uid="{5A3D93F1-CD66-C246-8612-393CAE6342D4}" name="Column9440"/>
    <tableColumn id="9459" xr3:uid="{EF16B81A-A02F-C444-8BC1-20ECBC93F2F0}" name="Column9441"/>
    <tableColumn id="9460" xr3:uid="{054959B8-3F1E-484E-A8B6-27BE4D55097A}" name="Column9442"/>
    <tableColumn id="9461" xr3:uid="{5183CEB0-8058-DF40-9DC8-061C3B5EF934}" name="Column9443"/>
    <tableColumn id="9462" xr3:uid="{17B3144C-1E8E-F543-B598-4E87A0C65155}" name="Column9444"/>
    <tableColumn id="9463" xr3:uid="{21AAA480-1073-1745-9282-9035232E2F82}" name="Column9445"/>
    <tableColumn id="9464" xr3:uid="{F69420AC-6744-984D-B760-27E013F90986}" name="Column9446"/>
    <tableColumn id="9465" xr3:uid="{8241B616-87D0-8448-B497-21FA81A1823B}" name="Column9447"/>
    <tableColumn id="9466" xr3:uid="{93CF2686-BADE-954B-9FBD-74968D12F2B2}" name="Column9448"/>
    <tableColumn id="9467" xr3:uid="{F5C0841A-C3CB-C541-B630-E11176175FC4}" name="Column9449"/>
    <tableColumn id="9468" xr3:uid="{638B1D47-6A7B-594A-B3A9-8E1B5F34A647}" name="Column9450"/>
    <tableColumn id="9469" xr3:uid="{46F9ECE2-0F42-CF47-82B1-75DCBBE7004B}" name="Column9451"/>
    <tableColumn id="9470" xr3:uid="{E722A2E8-F347-2041-A695-CD75E6FB93D5}" name="Column9452"/>
    <tableColumn id="9471" xr3:uid="{ECD95594-6A6E-774F-B568-CA35852238CD}" name="Column9453"/>
    <tableColumn id="9472" xr3:uid="{BB09533B-8DC6-AE47-8778-7E7DF17399A9}" name="Column9454"/>
    <tableColumn id="9473" xr3:uid="{5DC11D27-7A5A-6443-9F80-45D72B0F469D}" name="Column9455"/>
    <tableColumn id="9474" xr3:uid="{81C16455-90FC-F84E-B941-DB48CF8A054C}" name="Column9456"/>
    <tableColumn id="9475" xr3:uid="{EC360474-46E8-A443-A09A-35F370093088}" name="Column9457"/>
    <tableColumn id="9476" xr3:uid="{F9578C71-16A3-6F48-9AEA-85764D6359D7}" name="Column9458"/>
    <tableColumn id="9477" xr3:uid="{1AD80DFF-AB90-C24A-B2A5-1F7FAE669603}" name="Column9459"/>
    <tableColumn id="9478" xr3:uid="{A8ECDA56-F2CB-014B-B98A-4FE2968DFA38}" name="Column9460"/>
    <tableColumn id="9479" xr3:uid="{DE8C74B0-50A0-874C-9EDF-AFD4BB78B0D1}" name="Column9461"/>
    <tableColumn id="9480" xr3:uid="{27376A97-971B-274C-926F-6BDFC7747133}" name="Column9462"/>
    <tableColumn id="9481" xr3:uid="{CE4E1B1D-66F8-B74E-981F-DDF0E1CD2946}" name="Column9463"/>
    <tableColumn id="9482" xr3:uid="{FE1F26F8-CB21-6340-90C2-D13A53D49215}" name="Column9464"/>
    <tableColumn id="9483" xr3:uid="{0C665898-696B-7448-9AEE-129CDEC50E41}" name="Column9465"/>
    <tableColumn id="9484" xr3:uid="{3A22EB6D-7888-7141-A27D-7C758D9D6FFE}" name="Column9466"/>
    <tableColumn id="9485" xr3:uid="{0A961AE6-C3B5-8C4D-BBDE-DC338A7E0879}" name="Column9467"/>
    <tableColumn id="9486" xr3:uid="{84EBCF8A-0B67-DC44-A509-8A41D40F0AC3}" name="Column9468"/>
    <tableColumn id="9487" xr3:uid="{946D7E64-DDF9-6F4D-88F6-E3D8E79723F5}" name="Column9469"/>
    <tableColumn id="9488" xr3:uid="{E1FF2C5A-6F67-FB4C-B34F-119F0094E9CC}" name="Column9470"/>
    <tableColumn id="9489" xr3:uid="{D8B8333E-1109-1C4A-B0C6-1AE2B857EE4B}" name="Column9471"/>
    <tableColumn id="9490" xr3:uid="{27D9F945-E88E-9F44-8BD6-3C3C114D7829}" name="Column9472"/>
    <tableColumn id="9491" xr3:uid="{88C1BEA1-CBBC-0846-BA6E-B387A45D9620}" name="Column9473"/>
    <tableColumn id="9492" xr3:uid="{1D961284-D81C-6949-8B7A-9F7E7AEDF8F0}" name="Column9474"/>
    <tableColumn id="9493" xr3:uid="{9B623A09-57C1-264D-9B11-82A0E1EE2344}" name="Column9475"/>
    <tableColumn id="9494" xr3:uid="{EB7AD0B0-DC10-DA4D-83EB-7EB27B3E87CF}" name="Column9476"/>
    <tableColumn id="9495" xr3:uid="{9EE6EB7A-6F67-274E-9DCA-D0334A8BCF7E}" name="Column9477"/>
    <tableColumn id="9496" xr3:uid="{3E715815-6D02-F64C-8D7C-7ECEA8F51C99}" name="Column9478"/>
    <tableColumn id="9497" xr3:uid="{828FA7B5-E772-AE43-8A92-8217DFFD19E3}" name="Column9479"/>
    <tableColumn id="9498" xr3:uid="{29637F05-BE84-7E4A-95B6-AC78B54ABDDD}" name="Column9480"/>
    <tableColumn id="9499" xr3:uid="{8F15EFED-6D7A-A74B-9B0B-1498A0291C52}" name="Column9481"/>
    <tableColumn id="9500" xr3:uid="{759FBE7E-05FB-5749-B427-6D4136C757B1}" name="Column9482"/>
    <tableColumn id="9501" xr3:uid="{CF99602B-2EBC-B640-A557-22185E76C535}" name="Column9483"/>
    <tableColumn id="9502" xr3:uid="{4F7C6392-6D98-174D-88A5-81D70AC45E9B}" name="Column9484"/>
    <tableColumn id="9503" xr3:uid="{C17D8604-48F6-9349-820E-42B85D593FA7}" name="Column9485"/>
    <tableColumn id="9504" xr3:uid="{6971BB74-FF34-F442-8391-4F7504CF4562}" name="Column9486"/>
    <tableColumn id="9505" xr3:uid="{8475C09E-F05C-5145-97BF-9870D8145544}" name="Column9487"/>
    <tableColumn id="9506" xr3:uid="{E98CCC40-3D18-1D44-960C-BA1D95F8C400}" name="Column9488"/>
    <tableColumn id="9507" xr3:uid="{56D622CF-48B1-484B-96EF-B35C0FD94521}" name="Column9489"/>
    <tableColumn id="9508" xr3:uid="{CE288E5B-FD8A-D644-B0B2-983475FC611C}" name="Column9490"/>
    <tableColumn id="9509" xr3:uid="{87228667-5123-9C4A-9010-AD82AC7051A4}" name="Column9491"/>
    <tableColumn id="9510" xr3:uid="{058A1975-502D-AB44-A0D3-A6ADA3646C97}" name="Column9492"/>
    <tableColumn id="9511" xr3:uid="{E6F89CD9-65C2-0047-B650-5488DC27C2AA}" name="Column9493"/>
    <tableColumn id="9512" xr3:uid="{11C08E80-D17B-6746-976D-538D55BFE075}" name="Column9494"/>
    <tableColumn id="9513" xr3:uid="{EC779F44-775D-7D4B-86BA-42B00F055153}" name="Column9495"/>
    <tableColumn id="9514" xr3:uid="{47D3627B-0B96-3348-BE6E-D39671136F39}" name="Column9496"/>
    <tableColumn id="9515" xr3:uid="{411A169E-7CDD-8341-81EE-470E1AC9A407}" name="Column9497"/>
    <tableColumn id="9516" xr3:uid="{2D41014B-ABD7-DF44-8A32-3823A6C7FE0C}" name="Column9498"/>
    <tableColumn id="9517" xr3:uid="{D88AAD47-3214-504A-88CA-5AB72B2B12BC}" name="Column9499"/>
    <tableColumn id="9518" xr3:uid="{FF3199EE-7724-E044-936A-851973901DF8}" name="Column9500"/>
    <tableColumn id="9519" xr3:uid="{2AAA04B8-C217-634E-9A56-CBFB56DCECF1}" name="Column9501"/>
    <tableColumn id="9520" xr3:uid="{66231EAC-68A4-B14B-86CC-85169DAD0B6E}" name="Column9502"/>
    <tableColumn id="9521" xr3:uid="{A50E8D8B-14AD-3D4B-B3EB-C0CD7147CB5A}" name="Column9503"/>
    <tableColumn id="9522" xr3:uid="{43B464C4-B074-9142-8F48-7545E1B548B3}" name="Column9504"/>
    <tableColumn id="9523" xr3:uid="{A86B640D-6EA4-884F-BC4B-3D69C42F7B8F}" name="Column9505"/>
    <tableColumn id="9524" xr3:uid="{D2E10CAE-DE4D-A94A-83C2-458E58EE0876}" name="Column9506"/>
    <tableColumn id="9525" xr3:uid="{7ED77A76-B269-7C49-8F42-417BDB35847B}" name="Column9507"/>
    <tableColumn id="9526" xr3:uid="{C8486EC2-4D4F-194D-A9F7-657EBD8D1DF2}" name="Column9508"/>
    <tableColumn id="9527" xr3:uid="{2F2FCDE1-7841-7947-9A8C-1212CC4BCD4C}" name="Column9509"/>
    <tableColumn id="9528" xr3:uid="{D4DAE1E8-1477-1240-A509-F5F71F6C61F5}" name="Column9510"/>
    <tableColumn id="9529" xr3:uid="{DE938CF1-6C2C-704F-9759-C30A467F06D0}" name="Column9511"/>
    <tableColumn id="9530" xr3:uid="{FA2A6BF7-DC6B-514E-9105-C4DD1229E76B}" name="Column9512"/>
    <tableColumn id="9531" xr3:uid="{2ABF8E32-6ACA-8B46-9846-39FEFAF207B2}" name="Column9513"/>
    <tableColumn id="9532" xr3:uid="{8EBAFBA3-1E1F-CC4D-B6A5-468B25119438}" name="Column9514"/>
    <tableColumn id="9533" xr3:uid="{A2910DB3-402D-3043-8B03-8620F53A7A6A}" name="Column9515"/>
    <tableColumn id="9534" xr3:uid="{2E8A1600-8584-C846-B635-B1DFC94576ED}" name="Column9516"/>
    <tableColumn id="9535" xr3:uid="{364E3350-877E-474C-AC04-9B3AE94097EA}" name="Column9517"/>
    <tableColumn id="9536" xr3:uid="{1F124BEA-BC2F-F24B-BE4B-786F636CE116}" name="Column9518"/>
    <tableColumn id="9537" xr3:uid="{9146BB0B-2CC8-3749-9EC7-D808C5F26388}" name="Column9519"/>
    <tableColumn id="9538" xr3:uid="{06EBB806-67F3-F447-8B84-B9BF8B504DA0}" name="Column9520"/>
    <tableColumn id="9539" xr3:uid="{69651618-1A40-5E4E-9E7B-17FA06B91248}" name="Column9521"/>
    <tableColumn id="9540" xr3:uid="{D2501BD5-2919-924E-9D88-72B719593DEC}" name="Column9522"/>
    <tableColumn id="9541" xr3:uid="{A5A4CD22-2EFD-9E44-AAF7-04131648A454}" name="Column9523"/>
    <tableColumn id="9542" xr3:uid="{DD428744-635D-4447-B532-343233E54B8E}" name="Column9524"/>
    <tableColumn id="9543" xr3:uid="{032D0599-4BFE-7F4C-AF93-F77E36C85BDB}" name="Column9525"/>
    <tableColumn id="9544" xr3:uid="{52159116-4388-B249-90CD-7BC5064BA65C}" name="Column9526"/>
    <tableColumn id="9545" xr3:uid="{5C594C4A-8CA1-EC48-8FEF-F72C043DDAF9}" name="Column9527"/>
    <tableColumn id="9546" xr3:uid="{8C475207-AA09-7C4A-91D4-F1700D1590D4}" name="Column9528"/>
    <tableColumn id="9547" xr3:uid="{3D2282A1-8644-C141-A86D-78FB5759B890}" name="Column9529"/>
    <tableColumn id="9548" xr3:uid="{F76A49E9-E8F9-674D-AA97-AC7419744F51}" name="Column9530"/>
    <tableColumn id="9549" xr3:uid="{0A51350B-27F9-E848-8B89-FE0958786823}" name="Column9531"/>
    <tableColumn id="9550" xr3:uid="{378F66DF-A6AF-1346-81D7-5FDC932DDAED}" name="Column9532"/>
    <tableColumn id="9551" xr3:uid="{D4907CF9-4710-5C4B-B1AD-ED858CCADEA1}" name="Column9533"/>
    <tableColumn id="9552" xr3:uid="{2CE896E1-DFF1-F348-B5D7-D9CE4F46D415}" name="Column9534"/>
    <tableColumn id="9553" xr3:uid="{0FC8D729-D00B-7045-8B73-643E76A417AD}" name="Column9535"/>
    <tableColumn id="9554" xr3:uid="{CFC6BEA5-5C9E-F542-8984-9B45924DBAB0}" name="Column9536"/>
    <tableColumn id="9555" xr3:uid="{DEBA618D-A6F1-BD47-AC66-4DEF41174D87}" name="Column9537"/>
    <tableColumn id="9556" xr3:uid="{01C97144-2D30-9A44-B8B7-B0B27C366A3D}" name="Column9538"/>
    <tableColumn id="9557" xr3:uid="{DAA76430-0CCC-1E45-A462-E5AFE667FB67}" name="Column9539"/>
    <tableColumn id="9558" xr3:uid="{16F5A4D8-8DDC-1846-AC91-5468DCD1070B}" name="Column9540"/>
    <tableColumn id="9559" xr3:uid="{DC4C039D-CBF9-F242-B8A2-B78BC5CB6825}" name="Column9541"/>
    <tableColumn id="9560" xr3:uid="{F42AF7A9-6C03-7A4B-AED0-942FA75E9BFC}" name="Column9542"/>
    <tableColumn id="9561" xr3:uid="{9E5A4DB0-4325-B447-9D83-D1BCF8CDDC9C}" name="Column9543"/>
    <tableColumn id="9562" xr3:uid="{F41CE45C-E370-164F-9506-3D91ACCF4FB9}" name="Column9544"/>
    <tableColumn id="9563" xr3:uid="{023F8A5A-9F59-3949-B9A6-0370E28421B7}" name="Column9545"/>
    <tableColumn id="9564" xr3:uid="{30F8C77A-D091-B540-92E1-765D3460C1CE}" name="Column9546"/>
    <tableColumn id="9565" xr3:uid="{95F7C8D7-AA86-3C42-B303-C1C13EF31AD6}" name="Column9547"/>
    <tableColumn id="9566" xr3:uid="{B470E982-A975-8545-9329-DE95B344DF52}" name="Column9548"/>
    <tableColumn id="9567" xr3:uid="{E9D300BE-6730-7043-BAAE-77D1178AA073}" name="Column9549"/>
    <tableColumn id="9568" xr3:uid="{FC59BFC1-E2C1-3745-817D-F95D934F8F99}" name="Column9550"/>
    <tableColumn id="9569" xr3:uid="{BDFF463B-E4CA-8A49-93E5-9AA1645696AD}" name="Column9551"/>
    <tableColumn id="9570" xr3:uid="{53F3482E-93F0-4D41-9A9D-C04A138AE9CE}" name="Column9552"/>
    <tableColumn id="9571" xr3:uid="{595388D1-12E0-2447-AF55-9BA63AFBE0B5}" name="Column9553"/>
    <tableColumn id="9572" xr3:uid="{998A30E4-9D8B-744E-AA35-385ED6946FE2}" name="Column9554"/>
    <tableColumn id="9573" xr3:uid="{D459A10C-0755-8C44-984D-722A76452DBF}" name="Column9555"/>
    <tableColumn id="9574" xr3:uid="{E499B222-1B7C-5B4F-B4E0-84A8D338359D}" name="Column9556"/>
    <tableColumn id="9575" xr3:uid="{31B451D4-AA80-2641-8053-545214498C82}" name="Column9557"/>
    <tableColumn id="9576" xr3:uid="{BD5872FD-E189-6F44-9DB6-6B7FD8BC0757}" name="Column9558"/>
    <tableColumn id="9577" xr3:uid="{A73701E6-E682-684C-AE95-2EC168B47D9D}" name="Column9559"/>
    <tableColumn id="9578" xr3:uid="{C33871B1-790C-8542-80BE-D89E9CD8456E}" name="Column9560"/>
    <tableColumn id="9579" xr3:uid="{6D29FFC7-730A-B44E-96C2-A2C12B5E3FAF}" name="Column9561"/>
    <tableColumn id="9580" xr3:uid="{91093651-152F-DC44-9E57-C4CFDFF2407C}" name="Column9562"/>
    <tableColumn id="9581" xr3:uid="{79E5A5D2-B623-1E4B-8C5A-BEFE012CAA14}" name="Column9563"/>
    <tableColumn id="9582" xr3:uid="{0500FB3E-417C-974C-8EDF-E9CDD0591114}" name="Column9564"/>
    <tableColumn id="9583" xr3:uid="{6C0784B0-B3EF-7547-BE7F-552343006247}" name="Column9565"/>
    <tableColumn id="9584" xr3:uid="{6AA33015-144F-C24F-BA5E-0E4815555A33}" name="Column9566"/>
    <tableColumn id="9585" xr3:uid="{79C289DB-C093-984A-812E-3BBFDDA2EB13}" name="Column9567"/>
    <tableColumn id="9586" xr3:uid="{FE674622-0AA7-1048-91FC-433ED4175325}" name="Column9568"/>
    <tableColumn id="9587" xr3:uid="{1E0A794D-89FB-8A43-813A-060D1CC903B1}" name="Column9569"/>
    <tableColumn id="9588" xr3:uid="{9D0DFC83-24DB-3748-A3A4-3FD851024A00}" name="Column9570"/>
    <tableColumn id="9589" xr3:uid="{49AB17C6-33CA-5546-B86B-3EAC39DD013B}" name="Column9571"/>
    <tableColumn id="9590" xr3:uid="{CB84D2FA-3226-CB48-9DD0-1D666997B8E8}" name="Column9572"/>
    <tableColumn id="9591" xr3:uid="{794CF6CE-8AEC-FB43-927E-87E20CEC85CB}" name="Column9573"/>
    <tableColumn id="9592" xr3:uid="{1EE8DEAC-9668-5A46-AF36-2AD655C4296C}" name="Column9574"/>
    <tableColumn id="9593" xr3:uid="{6AC86AD0-E548-1748-A06E-385670C569A0}" name="Column9575"/>
    <tableColumn id="9594" xr3:uid="{B653E8E9-CA1D-8A42-9AEC-6C36619647D7}" name="Column9576"/>
    <tableColumn id="9595" xr3:uid="{A9EA712A-64B2-CB49-AB62-5BA5E0A4AAD6}" name="Column9577"/>
    <tableColumn id="9596" xr3:uid="{73D4ED91-46B6-C343-964E-D61B65BF1EED}" name="Column9578"/>
    <tableColumn id="9597" xr3:uid="{21A4722A-AF6F-FC49-B925-93AF8E798886}" name="Column9579"/>
    <tableColumn id="9598" xr3:uid="{4FA5CB56-5DC0-144E-88C0-56DB27D7B670}" name="Column9580"/>
    <tableColumn id="9599" xr3:uid="{FFBF4BFE-28BD-744D-AED9-478B7E70962F}" name="Column9581"/>
    <tableColumn id="9600" xr3:uid="{D3F3A98A-E618-F74F-B55E-B6CE85F5C9B5}" name="Column9582"/>
    <tableColumn id="9601" xr3:uid="{BDC92183-152D-464D-B179-801C02D8330A}" name="Column9583"/>
    <tableColumn id="9602" xr3:uid="{044154EC-5DC2-154C-A787-68C7B343D474}" name="Column9584"/>
    <tableColumn id="9603" xr3:uid="{7C08DEC0-9183-7D41-8EC3-6475C69F2FEF}" name="Column9585"/>
    <tableColumn id="9604" xr3:uid="{DDE34334-49C6-D34D-AFA7-43060FE3A074}" name="Column9586"/>
    <tableColumn id="9605" xr3:uid="{1085258D-8D70-0545-913E-88A2D0468F0C}" name="Column9587"/>
    <tableColumn id="9606" xr3:uid="{E04A1DC0-4773-8645-B727-B14AF07F9807}" name="Column9588"/>
    <tableColumn id="9607" xr3:uid="{B1984760-7C74-F24D-8ECB-52197D6201F8}" name="Column9589"/>
    <tableColumn id="9608" xr3:uid="{80C14D68-4E41-144E-9C32-F210308D6AF8}" name="Column9590"/>
    <tableColumn id="9609" xr3:uid="{18610534-2860-C746-8DE1-E2D45858AF53}" name="Column9591"/>
    <tableColumn id="9610" xr3:uid="{4D7CE57B-D591-6741-9EAF-2BDBEBDC6BDE}" name="Column9592"/>
    <tableColumn id="9611" xr3:uid="{ADD398C2-1A73-3846-A3D2-D7AC0C173DBB}" name="Column9593"/>
    <tableColumn id="9612" xr3:uid="{BEFC5A35-43F5-EA4F-815B-F260DF5D8870}" name="Column9594"/>
    <tableColumn id="9613" xr3:uid="{EEB8394C-AB52-CB42-B328-5E56A0C432FB}" name="Column9595"/>
    <tableColumn id="9614" xr3:uid="{A1F59D65-48BA-E242-B51D-6AF771A22FB7}" name="Column9596"/>
    <tableColumn id="9615" xr3:uid="{77127308-452B-2A4F-B633-FCE7975FBBB4}" name="Column9597"/>
    <tableColumn id="9616" xr3:uid="{35C4C502-3889-C445-A463-105E656A7DB8}" name="Column9598"/>
    <tableColumn id="9617" xr3:uid="{3D5AC071-8E51-5149-978A-02FF21A5AEAC}" name="Column9599"/>
    <tableColumn id="9618" xr3:uid="{7F5F9A94-6AFF-DF44-BAF3-8BC845C52BD3}" name="Column9600"/>
    <tableColumn id="9619" xr3:uid="{CCAAAEA1-96B2-0144-88D9-38E45641A651}" name="Column9601"/>
    <tableColumn id="9620" xr3:uid="{DE1E56CC-2F1A-9C42-8062-452701767679}" name="Column9602"/>
    <tableColumn id="9621" xr3:uid="{5AAF3178-09E2-674F-822B-B37CE3EAD94D}" name="Column9603"/>
    <tableColumn id="9622" xr3:uid="{B26C92C1-56AC-D34C-A403-F5EDC4BE9302}" name="Column9604"/>
    <tableColumn id="9623" xr3:uid="{B609AF24-4078-C840-991A-05A9DE0C9AC2}" name="Column9605"/>
    <tableColumn id="9624" xr3:uid="{4B5AA2A5-2BD5-874C-A5DE-06887611E4E5}" name="Column9606"/>
    <tableColumn id="9625" xr3:uid="{36F2B690-3E6E-B64B-9C32-089D497C4C0B}" name="Column9607"/>
    <tableColumn id="9626" xr3:uid="{5A6D9B64-769F-4C41-ABFF-07F57C0FD81B}" name="Column9608"/>
    <tableColumn id="9627" xr3:uid="{D561918C-5EAF-D442-8619-3E4D78EF1657}" name="Column9609"/>
    <tableColumn id="9628" xr3:uid="{FDA339B8-16A5-F640-A414-9BDAE0A61C09}" name="Column9610"/>
    <tableColumn id="9629" xr3:uid="{E1D8C5CD-988B-9F4E-BF2F-1C3154F59EC8}" name="Column9611"/>
    <tableColumn id="9630" xr3:uid="{930F1783-5690-9940-9951-6E755A58C8A8}" name="Column9612"/>
    <tableColumn id="9631" xr3:uid="{F3784F04-D000-354E-B12C-E87A69F86595}" name="Column9613"/>
    <tableColumn id="9632" xr3:uid="{F06AD88C-488C-7D45-B1B3-03CE8FA3F4C0}" name="Column9614"/>
    <tableColumn id="9633" xr3:uid="{34AEF561-FE94-D545-998F-84605A2403E3}" name="Column9615"/>
    <tableColumn id="9634" xr3:uid="{60144E35-37FB-EB4A-B25F-6C118C310BB1}" name="Column9616"/>
    <tableColumn id="9635" xr3:uid="{7C3001DC-102C-3742-AB23-755C32E33EF7}" name="Column9617"/>
    <tableColumn id="9636" xr3:uid="{E9D5BEB4-95BC-6048-B7E7-A71FE3322A4B}" name="Column9618"/>
    <tableColumn id="9637" xr3:uid="{3FB04E8D-837D-8142-AD8F-17058DAD55B8}" name="Column9619"/>
    <tableColumn id="9638" xr3:uid="{36C03275-8BFC-C14B-9213-633197D65C40}" name="Column9620"/>
    <tableColumn id="9639" xr3:uid="{937AB7AC-0298-B84B-A104-E5DB3E92CB79}" name="Column9621"/>
    <tableColumn id="9640" xr3:uid="{D7F3A15D-1DC0-424A-AC42-5333488CB778}" name="Column9622"/>
    <tableColumn id="9641" xr3:uid="{7BB996EE-FF92-FE4C-A735-FF8E007FD646}" name="Column9623"/>
    <tableColumn id="9642" xr3:uid="{96AA8904-FDB6-D649-BDA8-FC8E73E7EBB4}" name="Column9624"/>
    <tableColumn id="9643" xr3:uid="{05FE1963-8952-0D43-B07D-F4738A3538C0}" name="Column9625"/>
    <tableColumn id="9644" xr3:uid="{897F6417-377E-994B-8F3D-843DA9703C5C}" name="Column9626"/>
    <tableColumn id="9645" xr3:uid="{6309AA77-B376-8945-9273-D04A86AFE512}" name="Column9627"/>
    <tableColumn id="9646" xr3:uid="{405AC136-52D3-E64B-A8D2-BB56F42B5271}" name="Column9628"/>
    <tableColumn id="9647" xr3:uid="{119AEDDF-5271-104D-9F93-30BB03362E44}" name="Column9629"/>
    <tableColumn id="9648" xr3:uid="{AE1DF4D6-F8B4-8F4F-9D8F-00F7C554D78B}" name="Column9630"/>
    <tableColumn id="9649" xr3:uid="{53FFC742-8D47-4344-8CE7-59774FA56D3C}" name="Column9631"/>
    <tableColumn id="9650" xr3:uid="{045AAAF0-81A6-774C-A75A-C921C4274C11}" name="Column9632"/>
    <tableColumn id="9651" xr3:uid="{B68E33FC-198E-D348-BB35-75D1063784A3}" name="Column9633"/>
    <tableColumn id="9652" xr3:uid="{DE4A3ACC-9CF7-7943-94C7-0566D2DF7353}" name="Column9634"/>
    <tableColumn id="9653" xr3:uid="{3C92C89F-03A5-8542-BDE8-3CC2A26B9D49}" name="Column9635"/>
    <tableColumn id="9654" xr3:uid="{5F5CC67A-C86A-EF4A-92B1-46C9E82C37EA}" name="Column9636"/>
    <tableColumn id="9655" xr3:uid="{A8F6F7A2-5D1C-1841-B3A0-3888AD54B577}" name="Column9637"/>
    <tableColumn id="9656" xr3:uid="{0A0DB262-E74C-9D4B-BB65-57C83FFB51C1}" name="Column9638"/>
    <tableColumn id="9657" xr3:uid="{73082152-CEBF-794A-A9C7-85492665E956}" name="Column9639"/>
    <tableColumn id="9658" xr3:uid="{2C2F0C14-BEFE-EB41-9AD7-5B470C8E9D28}" name="Column9640"/>
    <tableColumn id="9659" xr3:uid="{17015CB3-06C0-D84E-B611-1BA3F7E75F19}" name="Column9641"/>
    <tableColumn id="9660" xr3:uid="{57B3BED0-353B-8B43-A2C0-2A85443A2072}" name="Column9642"/>
    <tableColumn id="9661" xr3:uid="{A07261A3-AE7A-D54A-A8F6-D4C666B1E445}" name="Column9643"/>
    <tableColumn id="9662" xr3:uid="{4B469017-B390-2940-A04A-CD4D532291CF}" name="Column9644"/>
    <tableColumn id="9663" xr3:uid="{1AC041F8-635A-E44B-BB45-5ABA680B7371}" name="Column9645"/>
    <tableColumn id="9664" xr3:uid="{D4FD5971-A9DE-764A-BAF3-66B7E0C9C3A3}" name="Column9646"/>
    <tableColumn id="9665" xr3:uid="{3F769461-3AA8-D542-98E0-1152E93FC387}" name="Column9647"/>
    <tableColumn id="9666" xr3:uid="{9A3C586B-C62D-7A46-9CEB-22EF5D121F9A}" name="Column9648"/>
    <tableColumn id="9667" xr3:uid="{0AE4E480-0E97-D849-BFF2-F39206A19D18}" name="Column9649"/>
    <tableColumn id="9668" xr3:uid="{7741462B-A35D-354F-AFE8-C606BCB6DC11}" name="Column9650"/>
    <tableColumn id="9669" xr3:uid="{AA4796F8-1296-7D40-821E-3021ACB86ADE}" name="Column9651"/>
    <tableColumn id="9670" xr3:uid="{5202C932-FB26-654A-A0FE-E17DDF94FCDA}" name="Column9652"/>
    <tableColumn id="9671" xr3:uid="{BB6A9264-7F85-C246-89E3-7F7695FA33C3}" name="Column9653"/>
    <tableColumn id="9672" xr3:uid="{A12F26CB-753D-3F49-AFFC-DAA9B322F152}" name="Column9654"/>
    <tableColumn id="9673" xr3:uid="{CB44E41B-758E-354B-B460-04EEC2E85DEC}" name="Column9655"/>
    <tableColumn id="9674" xr3:uid="{6D76DF1C-FA65-D745-AC0B-7FFBF1CFA3BC}" name="Column9656"/>
    <tableColumn id="9675" xr3:uid="{A403AA18-A4C4-DF40-B504-B8395319FE9E}" name="Column9657"/>
    <tableColumn id="9676" xr3:uid="{0C24B485-C761-504E-BD11-1FE58ABA2DF5}" name="Column9658"/>
    <tableColumn id="9677" xr3:uid="{3797BB33-016E-9840-8F8F-BBF59DF5A792}" name="Column9659"/>
    <tableColumn id="9678" xr3:uid="{AD1CB9E3-24CA-4047-90E3-18D7F768158E}" name="Column9660"/>
    <tableColumn id="9679" xr3:uid="{C6314A1E-265B-5148-9766-BB6490BA3355}" name="Column9661"/>
    <tableColumn id="9680" xr3:uid="{3AF06E71-889A-034A-9107-C66F2469018D}" name="Column9662"/>
    <tableColumn id="9681" xr3:uid="{6B6FD6A8-623F-9C46-9902-952BA20B1A09}" name="Column9663"/>
    <tableColumn id="9682" xr3:uid="{8CF01A07-5DD3-4D4C-9BD7-4CFBB667EF5B}" name="Column9664"/>
    <tableColumn id="9683" xr3:uid="{E724103E-FCAC-2747-AE91-F863C0D7D162}" name="Column9665"/>
    <tableColumn id="9684" xr3:uid="{B92D0A4C-7F57-4643-A030-95A22FCDB6CC}" name="Column9666"/>
    <tableColumn id="9685" xr3:uid="{906BB9C0-1E66-AA45-9B20-4F2460A8699D}" name="Column9667"/>
    <tableColumn id="9686" xr3:uid="{730B754E-07C0-7044-A13C-AFD52EF7DF40}" name="Column9668"/>
    <tableColumn id="9687" xr3:uid="{3E30FC21-17E5-394A-8C42-D9B896A1498B}" name="Column9669"/>
    <tableColumn id="9688" xr3:uid="{A0306B4B-80A1-2949-BA38-2BDB7A61CFB2}" name="Column9670"/>
    <tableColumn id="9689" xr3:uid="{759C7EC1-BBC8-CF4E-BEA1-41AA1428170B}" name="Column9671"/>
    <tableColumn id="9690" xr3:uid="{F4D7D1A4-81CF-EB43-BF29-D8955E1EBE52}" name="Column9672"/>
    <tableColumn id="9691" xr3:uid="{6CFB2181-6BFA-2C42-9DFF-965FE809E7E2}" name="Column9673"/>
    <tableColumn id="9692" xr3:uid="{69D9F9EC-595F-6849-A25D-39941963A9F2}" name="Column9674"/>
    <tableColumn id="9693" xr3:uid="{D86666B4-E9F5-F748-8C9D-E67EEBE126E4}" name="Column9675"/>
    <tableColumn id="9694" xr3:uid="{EC5829A9-D0DC-284A-B61A-86B4F5A394FB}" name="Column9676"/>
    <tableColumn id="9695" xr3:uid="{7A1730C1-CCF1-EB46-9BDC-3F94CA5D01F9}" name="Column9677"/>
    <tableColumn id="9696" xr3:uid="{FA76595F-805B-2B4B-AE42-2C64DA426B4E}" name="Column9678"/>
    <tableColumn id="9697" xr3:uid="{258CE9DA-AD7A-2640-9E25-FD6403E16402}" name="Column9679"/>
    <tableColumn id="9698" xr3:uid="{3B9AF2AD-3AB8-1946-A7BC-C248965B7141}" name="Column9680"/>
    <tableColumn id="9699" xr3:uid="{B215580A-816F-E046-8CE6-6294E5513410}" name="Column9681"/>
    <tableColumn id="9700" xr3:uid="{E84B6B8B-0988-884E-B70D-4D1B6E8E4BAC}" name="Column9682"/>
    <tableColumn id="9701" xr3:uid="{2ECFCA38-3AF1-E145-930D-F3E6F0EB1D1D}" name="Column9683"/>
    <tableColumn id="9702" xr3:uid="{AE433D30-9A35-D942-B93A-DC074A7A6A3C}" name="Column9684"/>
    <tableColumn id="9703" xr3:uid="{791F9C05-933A-6B43-819F-18528D4F62DC}" name="Column9685"/>
    <tableColumn id="9704" xr3:uid="{A12C580D-3450-C348-9F0E-22F12E15B8EC}" name="Column9686"/>
    <tableColumn id="9705" xr3:uid="{5A941BD7-7462-3341-ADEE-0B38D3319608}" name="Column9687"/>
    <tableColumn id="9706" xr3:uid="{09DDDE78-2610-934C-AC73-FAB003539E1B}" name="Column9688"/>
    <tableColumn id="9707" xr3:uid="{ECA636CC-D60D-F043-AE3A-FFD1A39A1E28}" name="Column9689"/>
    <tableColumn id="9708" xr3:uid="{3DE593BC-19D3-B747-B08A-48DDBD66EBC8}" name="Column9690"/>
    <tableColumn id="9709" xr3:uid="{5C93314F-27C5-1941-B1E4-3C6849D46A6C}" name="Column9691"/>
    <tableColumn id="9710" xr3:uid="{B54A42CB-9A85-584E-820B-599C97B0B76F}" name="Column9692"/>
    <tableColumn id="9711" xr3:uid="{31B4FF52-B88A-AB47-8A3B-BC1DDAC8AE62}" name="Column9693"/>
    <tableColumn id="9712" xr3:uid="{21473480-EEAC-014A-B5DC-2C01B1B9C184}" name="Column9694"/>
    <tableColumn id="9713" xr3:uid="{B8D6C7F1-EB73-AF4B-895C-F66BB1F16925}" name="Column9695"/>
    <tableColumn id="9714" xr3:uid="{16535654-F938-CB4A-A80F-26220A5451DE}" name="Column9696"/>
    <tableColumn id="9715" xr3:uid="{DF00824F-322E-0E4C-9848-D1A8D62B11F0}" name="Column9697"/>
    <tableColumn id="9716" xr3:uid="{C645BD82-184E-CD46-99A6-5EFFDBB0DF53}" name="Column9698"/>
    <tableColumn id="9717" xr3:uid="{FF4B8035-E907-0B4D-9585-05B93C3B17EC}" name="Column9699"/>
    <tableColumn id="9718" xr3:uid="{67312B00-10F1-3441-B44F-B5D061C62E97}" name="Column9700"/>
    <tableColumn id="9719" xr3:uid="{DAEB6E75-0792-0B4C-9DD5-CDA403951606}" name="Column9701"/>
    <tableColumn id="9720" xr3:uid="{4B8C125C-6B33-B54D-BAE1-A8E373C2E57A}" name="Column9702"/>
    <tableColumn id="9721" xr3:uid="{9AA8EA30-5189-2544-BD9E-18894CFB864F}" name="Column9703"/>
    <tableColumn id="9722" xr3:uid="{6390C49C-D968-F54E-BDCD-89AC31619CB1}" name="Column9704"/>
    <tableColumn id="9723" xr3:uid="{FFBE7ACC-AE11-5E4C-BB63-FD9A220DE881}" name="Column9705"/>
    <tableColumn id="9724" xr3:uid="{CF12A313-1095-B74B-90DF-CD20D12534BD}" name="Column9706"/>
    <tableColumn id="9725" xr3:uid="{C5F28F23-ABD1-474F-A09C-48DC17B65B10}" name="Column9707"/>
    <tableColumn id="9726" xr3:uid="{EA9D8419-7F81-2743-AFCB-3967ACA6995D}" name="Column9708"/>
    <tableColumn id="9727" xr3:uid="{EBEFB814-625E-3D46-84E6-813F233DBA61}" name="Column9709"/>
    <tableColumn id="9728" xr3:uid="{DACB72DA-E5A4-A34B-93F7-4FABE4982CD2}" name="Column9710"/>
    <tableColumn id="9729" xr3:uid="{E04FC816-E4A5-154D-9C60-8FF6126ACAA1}" name="Column9711"/>
    <tableColumn id="9730" xr3:uid="{4E755727-52E3-8C40-A917-1477ED3BF61B}" name="Column9712"/>
    <tableColumn id="9731" xr3:uid="{B9417429-E4DB-8C4D-AD54-23BBDCE552A5}" name="Column9713"/>
    <tableColumn id="9732" xr3:uid="{F599D310-0D74-6D4E-B8AC-98DCD469D3E9}" name="Column9714"/>
    <tableColumn id="9733" xr3:uid="{3D94E0A0-5120-2C4D-A50D-F949044F0DF5}" name="Column9715"/>
    <tableColumn id="9734" xr3:uid="{9B4086AC-B8B6-5D46-B394-599D29AF967D}" name="Column9716"/>
    <tableColumn id="9735" xr3:uid="{348634EE-FA0A-7045-B2B2-6365DEE0AF77}" name="Column9717"/>
    <tableColumn id="9736" xr3:uid="{82C83DAC-AF8D-AE40-8DAF-2BCB1B3975B4}" name="Column9718"/>
    <tableColumn id="9737" xr3:uid="{815ACB28-7C0C-1942-845F-259B99D9DFBA}" name="Column9719"/>
    <tableColumn id="9738" xr3:uid="{5987729C-B7EA-474B-814A-DD09F0833542}" name="Column9720"/>
    <tableColumn id="9739" xr3:uid="{F091BDB5-BA30-124C-987F-20EE7AA47419}" name="Column9721"/>
    <tableColumn id="9740" xr3:uid="{520B2FAA-7594-B24C-BF60-AAD03AEF4D7F}" name="Column9722"/>
    <tableColumn id="9741" xr3:uid="{918C7422-8C1C-ED4C-9B4E-8640CB1D5015}" name="Column9723"/>
    <tableColumn id="9742" xr3:uid="{FFB62239-C164-994B-A6A6-3FEAB0D57AA0}" name="Column9724"/>
    <tableColumn id="9743" xr3:uid="{711FD4B4-45A3-2E44-BBE2-2A83A3674133}" name="Column9725"/>
    <tableColumn id="9744" xr3:uid="{03B5DB5F-5185-6D4C-A3F2-1DF4A30D2193}" name="Column9726"/>
    <tableColumn id="9745" xr3:uid="{5BA3543D-0549-634E-ACFB-CB0D2F4E2FCF}" name="Column9727"/>
    <tableColumn id="9746" xr3:uid="{7BF62D3B-217A-0945-AFEA-3644BEF55A6E}" name="Column9728"/>
    <tableColumn id="9747" xr3:uid="{C0EAF05B-9E11-8548-97C7-AED6115278F2}" name="Column9729"/>
    <tableColumn id="9748" xr3:uid="{1C0332C4-B999-804F-ACE8-3944A73C9AA6}" name="Column9730"/>
    <tableColumn id="9749" xr3:uid="{835CEB0D-D62F-8542-B842-E75264FD322B}" name="Column9731"/>
    <tableColumn id="9750" xr3:uid="{481CDA5F-B811-D944-AE6A-4A0F9F5428B7}" name="Column9732"/>
    <tableColumn id="9751" xr3:uid="{5C65EF31-1675-9745-92C8-432FE9AD9EE8}" name="Column9733"/>
    <tableColumn id="9752" xr3:uid="{BDBEA397-B071-E341-A4B1-2457449D91A7}" name="Column9734"/>
    <tableColumn id="9753" xr3:uid="{EAF6F9B8-5168-3C4B-A56E-C3AE2A9390EE}" name="Column9735"/>
    <tableColumn id="9754" xr3:uid="{C2032DEC-431A-EC45-9BEA-0CDD8148BBEA}" name="Column9736"/>
    <tableColumn id="9755" xr3:uid="{D6137925-60CD-9B40-A456-2B9BCEF60BA7}" name="Column9737"/>
    <tableColumn id="9756" xr3:uid="{4AA3CD96-C322-A04F-8B06-3E535778B31B}" name="Column9738"/>
    <tableColumn id="9757" xr3:uid="{AE8A1D73-D2F6-B94D-9C43-F1E866A1CFB1}" name="Column9739"/>
    <tableColumn id="9758" xr3:uid="{1E30D084-A5A0-3341-9471-C30A8ED585A4}" name="Column9740"/>
    <tableColumn id="9759" xr3:uid="{2FFDB65F-E932-914D-8EB0-7D8F973B3D58}" name="Column9741"/>
    <tableColumn id="9760" xr3:uid="{2F26BDDA-9BD2-2441-9FC5-A5389F463813}" name="Column9742"/>
    <tableColumn id="9761" xr3:uid="{2013979B-FEC0-F545-BA5A-D6B730FC869E}" name="Column9743"/>
    <tableColumn id="9762" xr3:uid="{D36FB5D0-468B-3743-A652-8D594465E562}" name="Column9744"/>
    <tableColumn id="9763" xr3:uid="{6FA5D3CC-B467-7E44-97EA-1AB1D439D459}" name="Column9745"/>
    <tableColumn id="9764" xr3:uid="{22E35FE1-4654-4347-B10A-771FE9F81FD8}" name="Column9746"/>
    <tableColumn id="9765" xr3:uid="{6D64C6DA-8B04-1F4B-98AD-8386806258B0}" name="Column9747"/>
    <tableColumn id="9766" xr3:uid="{D16F2D2D-84E4-2748-895A-C2F974989B1E}" name="Column9748"/>
    <tableColumn id="9767" xr3:uid="{EDD73D58-74DB-5046-9A52-DA8ACC5E679B}" name="Column9749"/>
    <tableColumn id="9768" xr3:uid="{D382E04A-84BB-CB4E-98A9-B3E7E3BC94C4}" name="Column9750"/>
    <tableColumn id="9769" xr3:uid="{338DA121-48BF-A241-AFD8-71F9C23B05E6}" name="Column9751"/>
    <tableColumn id="9770" xr3:uid="{5A00FC78-CE3C-1845-B37E-94A67FC35BE3}" name="Column9752"/>
    <tableColumn id="9771" xr3:uid="{EFF37000-4DF0-354D-B8F3-743DD6490F4B}" name="Column9753"/>
    <tableColumn id="9772" xr3:uid="{83E96B5C-A7BF-4449-A969-4E7B9177A226}" name="Column9754"/>
    <tableColumn id="9773" xr3:uid="{4D15D828-D744-2F44-8F09-6622ACEAD8D7}" name="Column9755"/>
    <tableColumn id="9774" xr3:uid="{17CC4E92-2ACB-1D40-B7BA-C221EE2799F6}" name="Column9756"/>
    <tableColumn id="9775" xr3:uid="{4B18615D-6103-CE4E-B6D2-66D383E0BC04}" name="Column9757"/>
    <tableColumn id="9776" xr3:uid="{7DA33552-D24C-724A-B3B4-7AD93B7533F6}" name="Column9758"/>
    <tableColumn id="9777" xr3:uid="{23E60DFC-C81D-F746-9BB1-B028BC4FCC82}" name="Column9759"/>
    <tableColumn id="9778" xr3:uid="{08870530-CB3A-6049-84AF-76B75EC12C5B}" name="Column9760"/>
    <tableColumn id="9779" xr3:uid="{087ACBF4-AB46-ED49-AD54-055988C85ACA}" name="Column9761"/>
    <tableColumn id="9780" xr3:uid="{9273054D-5B7E-CD4B-BC4D-9E92D09766F2}" name="Column9762"/>
    <tableColumn id="9781" xr3:uid="{628EEEF9-DD2B-C149-BE0F-78016849C720}" name="Column9763"/>
    <tableColumn id="9782" xr3:uid="{60A6C5CB-2B5C-D14B-8035-45B07EE5FC72}" name="Column9764"/>
    <tableColumn id="9783" xr3:uid="{9A3EB3C3-1BAE-E64C-9931-3CAC982C3E76}" name="Column9765"/>
    <tableColumn id="9784" xr3:uid="{29142FDE-3B18-4743-B3E7-14EBD6EC341A}" name="Column9766"/>
    <tableColumn id="9785" xr3:uid="{287DC72A-4A59-D340-9BF7-FEF0CFA577EF}" name="Column9767"/>
    <tableColumn id="9786" xr3:uid="{B82629C3-0457-204F-B31D-284595B18DA7}" name="Column9768"/>
    <tableColumn id="9787" xr3:uid="{1538109B-7050-144F-A192-45D53D0D8BAB}" name="Column9769"/>
    <tableColumn id="9788" xr3:uid="{45C92B59-1515-E04D-AF14-52BD833EFBA4}" name="Column9770"/>
    <tableColumn id="9789" xr3:uid="{4F1B875B-A938-1E4C-B91F-9DF5B29E6C78}" name="Column9771"/>
    <tableColumn id="9790" xr3:uid="{B2F15E90-DA28-BB40-A780-7482C3A375B3}" name="Column9772"/>
    <tableColumn id="9791" xr3:uid="{28B105BA-8D9D-B24E-A18B-98CF0FCB70DE}" name="Column9773"/>
    <tableColumn id="9792" xr3:uid="{AAF5CBFD-3EC2-F547-AB34-BE00BAD9FAAE}" name="Column9774"/>
    <tableColumn id="9793" xr3:uid="{64BC912D-84C6-2740-924A-FE19EFBFC564}" name="Column9775"/>
    <tableColumn id="9794" xr3:uid="{1DDFC265-7644-424B-9F16-8A560A152234}" name="Column9776"/>
    <tableColumn id="9795" xr3:uid="{EC4D7D45-23FF-5944-B1DB-F34325C06A8D}" name="Column9777"/>
    <tableColumn id="9796" xr3:uid="{5B660A9D-213F-4C4B-AF53-1ABC72352D25}" name="Column9778"/>
    <tableColumn id="9797" xr3:uid="{EF54FB21-742F-C84F-910C-A05D26B7B19F}" name="Column9779"/>
    <tableColumn id="9798" xr3:uid="{CA336AC8-E1CE-E648-8DC8-7B8E8F564218}" name="Column9780"/>
    <tableColumn id="9799" xr3:uid="{268787DA-D638-6740-B870-9CA6ABEAAD0C}" name="Column9781"/>
    <tableColumn id="9800" xr3:uid="{E412BB0B-04F8-D64C-855F-52DD7EA7B1C2}" name="Column9782"/>
    <tableColumn id="9801" xr3:uid="{18E611F5-50FE-EB4B-A5C1-51A6ABDAA85C}" name="Column9783"/>
    <tableColumn id="9802" xr3:uid="{59E425EB-C04E-FD4A-83E9-7A855707FBF5}" name="Column9784"/>
    <tableColumn id="9803" xr3:uid="{15767388-7C28-0649-9B82-817E39313C4D}" name="Column9785"/>
    <tableColumn id="9804" xr3:uid="{61E26017-71DE-EE4C-92ED-811BEF5E15E9}" name="Column9786"/>
    <tableColumn id="9805" xr3:uid="{04D340F6-EB91-9949-8A68-CA831B423B06}" name="Column9787"/>
    <tableColumn id="9806" xr3:uid="{838AA92E-5E81-734C-BC5F-B0D345BA2F6D}" name="Column9788"/>
    <tableColumn id="9807" xr3:uid="{7C83B79C-7836-1946-A346-AF635E9EB6D1}" name="Column9789"/>
    <tableColumn id="9808" xr3:uid="{E4948230-5B7B-6B4A-8B26-7DAA05703098}" name="Column9790"/>
    <tableColumn id="9809" xr3:uid="{541FC7F9-D514-B240-B467-BF84F12D4A7A}" name="Column9791"/>
    <tableColumn id="9810" xr3:uid="{40026612-6D4E-2C43-AC13-7DE4DEE0EB52}" name="Column9792"/>
    <tableColumn id="9811" xr3:uid="{1A0E08BE-BD86-DF4C-8D40-CA9D5C074EF4}" name="Column9793"/>
    <tableColumn id="9812" xr3:uid="{D2425976-D192-7D4A-BC8C-C415307DDC03}" name="Column9794"/>
    <tableColumn id="9813" xr3:uid="{A9AFE2FA-0F4D-ED49-8115-AE4A26434AEF}" name="Column9795"/>
    <tableColumn id="9814" xr3:uid="{E69F96A3-6962-FC45-B764-0FB5D88CE54E}" name="Column9796"/>
    <tableColumn id="9815" xr3:uid="{B90976F8-A31D-D44B-BEB1-9E3502A97D2C}" name="Column9797"/>
    <tableColumn id="9816" xr3:uid="{E12DE1C7-B1E6-9540-BBF8-16D137F780BC}" name="Column9798"/>
    <tableColumn id="9817" xr3:uid="{82DE4D9B-3A55-8947-BD7B-E0893F1F685D}" name="Column9799"/>
    <tableColumn id="9818" xr3:uid="{E9CF4FFE-700D-004B-9965-F46E7E689EF3}" name="Column9800"/>
    <tableColumn id="9819" xr3:uid="{EC2D7932-606D-3145-8998-61061EBCFF57}" name="Column9801"/>
    <tableColumn id="9820" xr3:uid="{4960BB17-B667-CE43-AEBF-F836A3CE340E}" name="Column9802"/>
    <tableColumn id="9821" xr3:uid="{E1D5F758-54C5-084C-AF3C-4B0372436AFF}" name="Column9803"/>
    <tableColumn id="9822" xr3:uid="{5D870658-EE48-2E4A-8900-7FB57B02D69A}" name="Column9804"/>
    <tableColumn id="9823" xr3:uid="{DD75087A-0581-EA4B-8D08-196837B7F4E0}" name="Column9805"/>
    <tableColumn id="9824" xr3:uid="{E775C39C-918C-1341-990B-FD228DF823E2}" name="Column9806"/>
    <tableColumn id="9825" xr3:uid="{FCA1F0DC-922D-0A45-8DAC-BD5612EEBAA2}" name="Column9807"/>
    <tableColumn id="9826" xr3:uid="{DEB80E5F-AE8E-AE4B-BC70-0BE264AF70EB}" name="Column9808"/>
    <tableColumn id="9827" xr3:uid="{1E5B8FF6-2D7D-274D-A96D-F74BF57106C9}" name="Column9809"/>
    <tableColumn id="9828" xr3:uid="{53AFF62F-3F85-A945-AC83-677ACF8D0A82}" name="Column9810"/>
    <tableColumn id="9829" xr3:uid="{49DE9F90-292B-6948-B285-7B256954741C}" name="Column9811"/>
    <tableColumn id="9830" xr3:uid="{64DC94A1-97E0-7840-98DA-309A3D6B07DE}" name="Column9812"/>
    <tableColumn id="9831" xr3:uid="{619E402F-740B-3E4F-A194-EC6AABE4FF03}" name="Column9813"/>
    <tableColumn id="9832" xr3:uid="{B938D49E-A72E-034F-8F76-8A39CEDBFC28}" name="Column9814"/>
    <tableColumn id="9833" xr3:uid="{B2D3F18B-FB2F-7447-9A07-EF6B2652DD41}" name="Column9815"/>
    <tableColumn id="9834" xr3:uid="{DA044C77-D152-2341-9BC4-20E4537A355C}" name="Column9816"/>
    <tableColumn id="9835" xr3:uid="{C4A56A32-1DA5-9842-A0B5-4D8DB04E5D1A}" name="Column9817"/>
    <tableColumn id="9836" xr3:uid="{6DA2C379-DBEE-2449-8F95-504A33919447}" name="Column9818"/>
    <tableColumn id="9837" xr3:uid="{087BFC99-3818-A84B-B973-36A303DFF1D6}" name="Column9819"/>
    <tableColumn id="9838" xr3:uid="{0A76CE01-108C-D248-B3BF-9F11592B4DB1}" name="Column9820"/>
    <tableColumn id="9839" xr3:uid="{771E9CDC-5FB6-FE49-9E5E-F7399565435B}" name="Column9821"/>
    <tableColumn id="9840" xr3:uid="{C3BBE95B-7B09-DF4A-8796-131523532D1F}" name="Column9822"/>
    <tableColumn id="9841" xr3:uid="{29462E4F-D59D-B94E-A80C-20892F0EBF85}" name="Column9823"/>
    <tableColumn id="9842" xr3:uid="{8CF01C85-C1CC-4E49-95ED-257509FB8B5D}" name="Column9824"/>
    <tableColumn id="9843" xr3:uid="{A666A08A-4A4C-9D48-9BFF-6F1524C26C9E}" name="Column9825"/>
    <tableColumn id="9844" xr3:uid="{3DFE65E9-ED2C-064E-A8C5-D7C9595DC358}" name="Column9826"/>
    <tableColumn id="9845" xr3:uid="{AE3166DE-735C-7443-B1D7-038A92FB6E89}" name="Column9827"/>
    <tableColumn id="9846" xr3:uid="{46F237AB-2553-A04D-AF8D-399E835ED1D8}" name="Column9828"/>
    <tableColumn id="9847" xr3:uid="{18B1E61A-7AD5-764C-BB9A-C8F3E572C7D3}" name="Column9829"/>
    <tableColumn id="9848" xr3:uid="{F543028B-A990-1445-BF8C-ED95C657D96B}" name="Column9830"/>
    <tableColumn id="9849" xr3:uid="{4BEB942E-162C-1942-BF14-D2D11C5AA3CF}" name="Column9831"/>
    <tableColumn id="9850" xr3:uid="{F1102926-1AFD-CD4D-B990-33B611C064DD}" name="Column9832"/>
    <tableColumn id="9851" xr3:uid="{342D7142-A583-4645-9236-954759D1AE90}" name="Column9833"/>
    <tableColumn id="9852" xr3:uid="{F2755B11-E9D8-2E4F-B816-20B7436162C3}" name="Column9834"/>
    <tableColumn id="9853" xr3:uid="{316543A9-99D1-EA42-956D-012A7E820117}" name="Column9835"/>
    <tableColumn id="9854" xr3:uid="{26DBD187-5303-AB40-B8FC-C1F72FA75371}" name="Column9836"/>
    <tableColumn id="9855" xr3:uid="{32E69189-AFD3-D74B-B030-5101E0D0B125}" name="Column9837"/>
    <tableColumn id="9856" xr3:uid="{55A94AA7-A3B5-7B4E-85FE-6B80BD665EEB}" name="Column9838"/>
    <tableColumn id="9857" xr3:uid="{B2189EF6-7ED8-574C-BD09-EFC81C025FED}" name="Column9839"/>
    <tableColumn id="9858" xr3:uid="{198104C2-1733-034B-9A6B-309F49C56270}" name="Column9840"/>
    <tableColumn id="9859" xr3:uid="{29A54E72-FBD0-BE4A-8B03-BA4F8852DC50}" name="Column9841"/>
    <tableColumn id="9860" xr3:uid="{8FB3C461-1C40-C741-9F55-55C2A2EA105B}" name="Column9842"/>
    <tableColumn id="9861" xr3:uid="{B56104D2-1332-9B45-A91C-47B32E77D267}" name="Column9843"/>
    <tableColumn id="9862" xr3:uid="{6833AEDE-B9CB-284A-8217-C3C7B6C4A3C1}" name="Column9844"/>
    <tableColumn id="9863" xr3:uid="{53C9583F-5AFF-9E46-9DA4-B766AA7B8BB5}" name="Column9845"/>
    <tableColumn id="9864" xr3:uid="{78BCB25C-5BE1-B54E-9E09-7311AFA6B0AA}" name="Column9846"/>
    <tableColumn id="9865" xr3:uid="{F22FA674-3098-EB4C-8FCF-88EAF3DEBEDC}" name="Column9847"/>
    <tableColumn id="9866" xr3:uid="{8D305D54-156C-9A4F-9284-23D32AB609C7}" name="Column9848"/>
    <tableColumn id="9867" xr3:uid="{652E295E-A234-BB48-9E9C-5F2873969059}" name="Column9849"/>
    <tableColumn id="9868" xr3:uid="{7078B43F-A799-D341-9D4F-6836E357D64A}" name="Column9850"/>
    <tableColumn id="9869" xr3:uid="{A55D4CBA-497B-6940-BE07-64B8FF8B586A}" name="Column9851"/>
    <tableColumn id="9870" xr3:uid="{9EA13E76-5DC5-B641-90CB-1D19D42AA0E1}" name="Column9852"/>
    <tableColumn id="9871" xr3:uid="{2FEC884E-C9AE-6C4F-93AE-AF7CCBD1C065}" name="Column9853"/>
    <tableColumn id="9872" xr3:uid="{9DFC192E-E643-124E-A372-BA94D33DC9DF}" name="Column9854"/>
    <tableColumn id="9873" xr3:uid="{7BC875C1-AB3B-414B-BA0B-BF334EF07FBD}" name="Column9855"/>
    <tableColumn id="9874" xr3:uid="{DCFFE2CC-E993-0446-973E-C355CB66690B}" name="Column9856"/>
    <tableColumn id="9875" xr3:uid="{F4F52254-8AC5-5B43-B19C-A5B5C8E470AB}" name="Column9857"/>
    <tableColumn id="9876" xr3:uid="{03950984-F47A-9949-B7F5-6CD278BC3859}" name="Column9858"/>
    <tableColumn id="9877" xr3:uid="{90BD77DE-6CEB-2544-9694-1C51A461871B}" name="Column9859"/>
    <tableColumn id="9878" xr3:uid="{9B7A9225-2EF0-8147-B5CE-0F9C15D37F2B}" name="Column9860"/>
    <tableColumn id="9879" xr3:uid="{748F7103-81A5-0346-8BFD-92368743C06A}" name="Column9861"/>
    <tableColumn id="9880" xr3:uid="{E650F66B-E9DC-C94C-98B1-B77689FE4FB1}" name="Column9862"/>
    <tableColumn id="9881" xr3:uid="{F5685FF2-A546-5E4C-B595-23A970954816}" name="Column9863"/>
    <tableColumn id="9882" xr3:uid="{C2486414-2E12-7740-B957-840939E58F10}" name="Column9864"/>
    <tableColumn id="9883" xr3:uid="{83425217-A03C-C24D-89E0-71DCE39F2365}" name="Column9865"/>
    <tableColumn id="9884" xr3:uid="{A2E493D2-477E-8B45-8A12-FC37FCAA7C98}" name="Column9866"/>
    <tableColumn id="9885" xr3:uid="{745934CE-ACCC-2745-A315-B36586C1EE10}" name="Column9867"/>
    <tableColumn id="9886" xr3:uid="{20CCC218-9688-BC49-827D-7A7396E80D37}" name="Column9868"/>
    <tableColumn id="9887" xr3:uid="{FB7BBFFC-2C5E-4544-B5F5-8BA3DFED2DDE}" name="Column9869"/>
    <tableColumn id="9888" xr3:uid="{3453175A-3824-9C49-93C2-76B3D771850F}" name="Column9870"/>
    <tableColumn id="9889" xr3:uid="{71FA3929-AC55-7E47-BDAA-1CCEE14E2649}" name="Column9871"/>
    <tableColumn id="9890" xr3:uid="{E949CCF9-220F-0F40-975C-95B07291D490}" name="Column9872"/>
    <tableColumn id="9891" xr3:uid="{E9F06150-2149-AA43-882E-0C5BE3AB16C0}" name="Column9873"/>
    <tableColumn id="9892" xr3:uid="{0D1490DE-339D-C244-9AB6-BB02B4FFDF7B}" name="Column9874"/>
    <tableColumn id="9893" xr3:uid="{3A7E647F-5485-EB4F-B629-B11E57EDBC4D}" name="Column9875"/>
    <tableColumn id="9894" xr3:uid="{D7E7E650-C5C6-F04C-B5C2-334F454614DB}" name="Column9876"/>
    <tableColumn id="9895" xr3:uid="{DC22AB86-4C4F-CC46-AD51-C6F43523FCF7}" name="Column9877"/>
    <tableColumn id="9896" xr3:uid="{ADF3FAE4-7E86-2643-BD41-431D760788A1}" name="Column9878"/>
    <tableColumn id="9897" xr3:uid="{5F668F97-F966-7E4E-BE87-5420B4B2BF9E}" name="Column9879"/>
    <tableColumn id="9898" xr3:uid="{BDF0B646-FFCA-CD43-BCB1-530D6FC4D56D}" name="Column9880"/>
    <tableColumn id="9899" xr3:uid="{ACB2F43F-5384-8B4D-9FEA-57AFA6B14C64}" name="Column9881"/>
    <tableColumn id="9900" xr3:uid="{BFB6DB1E-54F8-3940-92AC-142944C7F4A1}" name="Column9882"/>
    <tableColumn id="9901" xr3:uid="{3BF78870-C347-E540-A1AA-0A3C4A78FABA}" name="Column9883"/>
    <tableColumn id="9902" xr3:uid="{1F76FA15-A59E-A241-9BBE-5586AD7B084F}" name="Column9884"/>
    <tableColumn id="9903" xr3:uid="{4BBFF154-B9EC-9B41-82EE-E0521B75976B}" name="Column9885"/>
    <tableColumn id="9904" xr3:uid="{E7EE59C0-D7AE-9141-95AE-4AF5280597B8}" name="Column9886"/>
    <tableColumn id="9905" xr3:uid="{197E891D-DD43-AE42-91D5-5A4E732696B5}" name="Column9887"/>
    <tableColumn id="9906" xr3:uid="{2277484B-9CF1-5D4F-BA80-1B7B6CC6D623}" name="Column9888"/>
    <tableColumn id="9907" xr3:uid="{731DAF14-11AE-5C45-B8B3-B53951F7D191}" name="Column9889"/>
    <tableColumn id="9908" xr3:uid="{D0A54FF8-9B04-6E43-9699-1B355C2EE8C4}" name="Column9890"/>
    <tableColumn id="9909" xr3:uid="{31A2A87A-5751-B145-89EE-A532D5D2A84D}" name="Column9891"/>
    <tableColumn id="9910" xr3:uid="{2A7BFF4A-2340-024E-A2F7-59FF169AFBF3}" name="Column9892"/>
    <tableColumn id="9911" xr3:uid="{D116B0F6-01D6-A74C-82C3-5F4AF8D47EF4}" name="Column9893"/>
    <tableColumn id="9912" xr3:uid="{7AE48FEF-2D3F-0743-A0B6-E018E490C212}" name="Column9894"/>
    <tableColumn id="9913" xr3:uid="{FC987BB5-FA44-464D-BBB5-8BB2B31C51D6}" name="Column9895"/>
    <tableColumn id="9914" xr3:uid="{C9D45F23-EE2C-BC4A-8D84-9752271494CC}" name="Column9896"/>
    <tableColumn id="9915" xr3:uid="{5DE55A1F-6243-654A-9A8E-CEF14898C571}" name="Column9897"/>
    <tableColumn id="9916" xr3:uid="{3B0A9C7C-B775-874A-B6B9-17A3E0FD2C9A}" name="Column9898"/>
    <tableColumn id="9917" xr3:uid="{9224CBD2-89C4-1E44-AB67-6650DA5E2C9B}" name="Column9899"/>
    <tableColumn id="9918" xr3:uid="{6DC6FE32-C3D8-2E4A-810A-27289B81DD76}" name="Column9900"/>
    <tableColumn id="9919" xr3:uid="{E0CA056E-0D89-0E4F-B36A-42A5718AA055}" name="Column9901"/>
    <tableColumn id="9920" xr3:uid="{EDF81F8A-F3E1-4F4D-9D82-BAD699402072}" name="Column9902"/>
    <tableColumn id="9921" xr3:uid="{E0B18E59-8B39-3A48-A1F3-A56C0B2773B8}" name="Column9903"/>
    <tableColumn id="9922" xr3:uid="{B519849E-BB39-CE4F-9153-B6B525A1C32A}" name="Column9904"/>
    <tableColumn id="9923" xr3:uid="{55766950-587D-F04C-B101-8DF873277901}" name="Column9905"/>
    <tableColumn id="9924" xr3:uid="{65AF74FF-DE4B-5F48-8A61-F5F38479B253}" name="Column9906"/>
    <tableColumn id="9925" xr3:uid="{37EC834C-A46A-794D-A2D8-F6EB05E4F297}" name="Column9907"/>
    <tableColumn id="9926" xr3:uid="{E0EDD99F-1090-A84E-A3C4-23FF332FE160}" name="Column9908"/>
    <tableColumn id="9927" xr3:uid="{DDB4DDA2-57F2-FB48-8FA7-87F470543112}" name="Column9909"/>
    <tableColumn id="9928" xr3:uid="{B1CD5858-3B00-FE4E-94FF-313B387C058B}" name="Column9910"/>
    <tableColumn id="9929" xr3:uid="{A0447426-1EBF-DA4E-91E5-0EAF85D9FA35}" name="Column9911"/>
    <tableColumn id="9930" xr3:uid="{F4685F5A-E61F-324B-8BFC-602E18079C8B}" name="Column9912"/>
    <tableColumn id="9931" xr3:uid="{12630900-5F2C-2149-B06E-1D805503F056}" name="Column9913"/>
    <tableColumn id="9932" xr3:uid="{6934237B-DF56-B947-95D9-84534B0A6227}" name="Column9914"/>
    <tableColumn id="9933" xr3:uid="{D33E8FB7-DDF2-8243-BB36-9332BBB307CE}" name="Column9915"/>
    <tableColumn id="9934" xr3:uid="{8A5B3323-8444-5E48-B4E5-85A4A2A5EC19}" name="Column9916"/>
    <tableColumn id="9935" xr3:uid="{C9909923-D658-5C44-8ACB-29F1232173C9}" name="Column9917"/>
    <tableColumn id="9936" xr3:uid="{221B66E7-D553-5B49-9528-3111FB3B00AF}" name="Column9918"/>
    <tableColumn id="9937" xr3:uid="{68F8983E-6842-E74C-B325-ACFA254F5960}" name="Column9919"/>
    <tableColumn id="9938" xr3:uid="{482F3E6E-9272-9F4F-AA6B-67BB23AC9F3E}" name="Column9920"/>
    <tableColumn id="9939" xr3:uid="{DE715565-8CE5-3D48-8B70-16F4E89D024D}" name="Column9921"/>
    <tableColumn id="9940" xr3:uid="{1EBC8648-317C-CA46-9C93-EAC8537ABADC}" name="Column9922"/>
    <tableColumn id="9941" xr3:uid="{B5B102BA-3A74-8042-BC10-EBBE7DD2DF5B}" name="Column9923"/>
    <tableColumn id="9942" xr3:uid="{DEE0B08A-4D6C-8C4A-863E-92C93814EDCB}" name="Column9924"/>
    <tableColumn id="9943" xr3:uid="{730FB0CE-EA47-8140-ADF8-AD2936EFE374}" name="Column9925"/>
    <tableColumn id="9944" xr3:uid="{12FCF6FD-4E62-3A4E-97BB-6128F68A77D4}" name="Column9926"/>
    <tableColumn id="9945" xr3:uid="{5A69A988-A8E6-774B-94CD-F2DFE7F9751C}" name="Column9927"/>
    <tableColumn id="9946" xr3:uid="{FC787558-28AC-0043-866A-C1743BC321A4}" name="Column9928"/>
    <tableColumn id="9947" xr3:uid="{CDA11B0F-DF5A-7E40-B20E-F87F393F89BF}" name="Column9929"/>
    <tableColumn id="9948" xr3:uid="{D4B96F25-7285-364F-8429-467A0B705864}" name="Column9930"/>
    <tableColumn id="9949" xr3:uid="{72C49B34-BF02-4141-91AF-E15DFD1E5E60}" name="Column9931"/>
    <tableColumn id="9950" xr3:uid="{BCB77B1F-3A77-B840-8A62-8FEE71D7E1A6}" name="Column9932"/>
    <tableColumn id="9951" xr3:uid="{823EF828-1F49-2047-9FD3-AE9750C60AB8}" name="Column9933"/>
    <tableColumn id="9952" xr3:uid="{8C7E4C32-7C1D-634A-B36E-58E2B17032D9}" name="Column9934"/>
    <tableColumn id="9953" xr3:uid="{C83F93B5-2AEA-A141-9CE3-5DD67BB85A9D}" name="Column9935"/>
    <tableColumn id="9954" xr3:uid="{AA19A064-B6DB-4040-B14A-9390CC638629}" name="Column9936"/>
    <tableColumn id="9955" xr3:uid="{482A476A-13FB-7641-92CA-7DC38FC8B60A}" name="Column9937"/>
    <tableColumn id="9956" xr3:uid="{3736E3A2-ED75-E349-8471-A21B8D2CB7D3}" name="Column9938"/>
    <tableColumn id="9957" xr3:uid="{10DF671D-88CD-3347-B1A3-A7D8DFB2033A}" name="Column9939"/>
    <tableColumn id="9958" xr3:uid="{EB71547E-0ABE-5F4D-B9A5-18C2EB3A14A2}" name="Column9940"/>
    <tableColumn id="9959" xr3:uid="{A3733749-BBF7-4947-8E33-080352522321}" name="Column9941"/>
    <tableColumn id="9960" xr3:uid="{82536535-3A24-ED43-9834-77B490A9A693}" name="Column9942"/>
    <tableColumn id="9961" xr3:uid="{ED7ECC9B-8659-4A48-BA84-70E639F547AB}" name="Column9943"/>
    <tableColumn id="9962" xr3:uid="{A4DF781D-7AD4-474C-8F00-2A971DF42251}" name="Column9944"/>
    <tableColumn id="9963" xr3:uid="{25621A1B-161D-FC42-8B15-CF853B05C91E}" name="Column9945"/>
    <tableColumn id="9964" xr3:uid="{3D5EDBD7-E00E-3E42-B5AA-25851F666871}" name="Column9946"/>
    <tableColumn id="9965" xr3:uid="{5DCA3789-AC85-D14F-A3F7-6B7A2B09A80A}" name="Column9947"/>
    <tableColumn id="9966" xr3:uid="{B25909BB-3268-D04A-BE6C-5DF26FAF7CA1}" name="Column9948"/>
    <tableColumn id="9967" xr3:uid="{75F333A8-4B39-B94F-A2E3-7C6B68CCA761}" name="Column9949"/>
    <tableColumn id="9968" xr3:uid="{D9190BA7-855B-AC47-96E9-EAFAC3E07594}" name="Column9950"/>
    <tableColumn id="9969" xr3:uid="{902EAE89-3B4F-D249-ADCB-26F930430EDF}" name="Column9951"/>
    <tableColumn id="9970" xr3:uid="{6A7B969B-56A4-994C-B82D-A6D58066A149}" name="Column9952"/>
    <tableColumn id="9971" xr3:uid="{DC102D95-9558-E14E-A038-0AFFBEF662B6}" name="Column9953"/>
    <tableColumn id="9972" xr3:uid="{12A67393-6838-7F43-8C4E-147C5141F291}" name="Column9954"/>
    <tableColumn id="9973" xr3:uid="{9017A5F5-0B8A-8D4D-80F2-85B0061D1E75}" name="Column9955"/>
    <tableColumn id="9974" xr3:uid="{2ACC5841-E0DA-9C40-B24C-EB591BA070CD}" name="Column9956"/>
    <tableColumn id="9975" xr3:uid="{6A04FD20-8CAF-0B42-917D-BE37FA2A4D58}" name="Column9957"/>
    <tableColumn id="9976" xr3:uid="{E9D242E0-A601-3E4E-AE6A-39D0EF1F936F}" name="Column9958"/>
    <tableColumn id="9977" xr3:uid="{0DB10D95-355D-8B40-8548-A0FEF6332DF9}" name="Column9959"/>
    <tableColumn id="9978" xr3:uid="{39C8B0B4-3205-C54F-B42D-0305D3046C21}" name="Column9960"/>
    <tableColumn id="9979" xr3:uid="{E5BF1BBB-0597-904C-9D84-AB60C91D1FEB}" name="Column9961"/>
    <tableColumn id="9980" xr3:uid="{694DD317-E749-7B43-BE14-324FBD8C7EDC}" name="Column9962"/>
    <tableColumn id="9981" xr3:uid="{A3EC8EB3-4F17-3B4B-BFDE-9F305ADE129F}" name="Column9963"/>
    <tableColumn id="9982" xr3:uid="{2525913A-93E9-7D4F-B7D4-A9BD0A2DC621}" name="Column9964"/>
    <tableColumn id="9983" xr3:uid="{79137707-E680-AD40-A63F-D599E8CD2ECA}" name="Column9965"/>
    <tableColumn id="9984" xr3:uid="{E63A06BC-2C21-574F-BA61-E92B8942CCCC}" name="Column9966"/>
    <tableColumn id="9985" xr3:uid="{15BC2C94-EACB-DF46-9916-7D2A1EA039D4}" name="Column9967"/>
    <tableColumn id="9986" xr3:uid="{20EE40FF-B0EB-BF49-B8C5-446236B86A09}" name="Column9968"/>
    <tableColumn id="9987" xr3:uid="{18D96849-F2DF-7C40-ADB4-CCF46CC0AD9D}" name="Column9969"/>
    <tableColumn id="9988" xr3:uid="{AFCAFC64-089C-4C42-A7B3-07A7A39BF5B7}" name="Column9970"/>
    <tableColumn id="9989" xr3:uid="{F81B3F3A-ED53-E846-8FF9-1ABE16A86CD3}" name="Column9971"/>
    <tableColumn id="9990" xr3:uid="{F403B7B8-31A2-BF43-9B6D-483E38B5839C}" name="Column9972"/>
    <tableColumn id="9991" xr3:uid="{3DBFB531-7C34-234D-BDEF-DAB64C89BE1D}" name="Column9973"/>
    <tableColumn id="9992" xr3:uid="{A403D2D8-BE7B-2E43-9BC5-583416C46C6D}" name="Column9974"/>
    <tableColumn id="9993" xr3:uid="{4FFDEFAF-7F05-2A4A-85A8-1CDCDC6E3AF4}" name="Column9975"/>
    <tableColumn id="9994" xr3:uid="{6939B838-DEE0-4F41-9964-1B47EE68BE61}" name="Column9976"/>
    <tableColumn id="9995" xr3:uid="{7C1A60FA-D763-A543-BF6A-46DA84B5BE1F}" name="Column9977"/>
    <tableColumn id="9996" xr3:uid="{06CFDC31-4EFE-BE43-8863-6DBD88FBBA31}" name="Column9978"/>
    <tableColumn id="9997" xr3:uid="{1402ECF2-D308-8B40-B21B-BFAB31F4FF17}" name="Column9979"/>
    <tableColumn id="9998" xr3:uid="{70DF2B8D-A3DD-8E4D-A85E-E31C1D5FA8D6}" name="Column9980"/>
    <tableColumn id="9999" xr3:uid="{F8E64EDE-E986-3040-91CC-CE5914DF6CED}" name="Column9981"/>
    <tableColumn id="10000" xr3:uid="{3F7AE8F9-A89C-CE49-BE60-837FC8899AA3}" name="Column9982"/>
    <tableColumn id="10001" xr3:uid="{F5819C2E-34F7-474C-9592-F3A3E2F9E91E}" name="Column9983"/>
    <tableColumn id="10002" xr3:uid="{EC4A9187-F972-F947-9BC0-4BDB1530540E}" name="Column9984"/>
    <tableColumn id="10003" xr3:uid="{642005A1-1735-8F48-8971-452F05D5F895}" name="Column9985"/>
    <tableColumn id="10004" xr3:uid="{CF467E27-87EA-A642-B9E6-78D8F89A638E}" name="Column9986"/>
    <tableColumn id="10005" xr3:uid="{50CB5370-066A-4849-BCF5-58DE5521F138}" name="Column9987"/>
    <tableColumn id="10006" xr3:uid="{8836ED7F-1A34-A146-9988-EEEC07024E41}" name="Column9988"/>
    <tableColumn id="10007" xr3:uid="{55FE55B4-DDA3-EF45-9A57-C27E78D11117}" name="Column9989"/>
    <tableColumn id="10008" xr3:uid="{CF112BBD-4A03-5543-A6BB-95E32A7A29D8}" name="Column9990"/>
    <tableColumn id="10009" xr3:uid="{F86A6F31-1673-094D-A406-A79F68138F9C}" name="Column9991"/>
    <tableColumn id="10010" xr3:uid="{9A5486AD-37EC-3241-B4D9-677788A78EFC}" name="Column9992"/>
    <tableColumn id="10011" xr3:uid="{97F1AD83-5054-A64D-A280-8B12DE627A9C}" name="Column9993"/>
    <tableColumn id="10012" xr3:uid="{A3AC5C38-8A91-CA40-94D8-6708A91011BA}" name="Column9994"/>
    <tableColumn id="10013" xr3:uid="{3FFEE626-94CF-FF49-8244-8A28AE6AF91C}" name="Column9995"/>
    <tableColumn id="10014" xr3:uid="{7CBA8494-E921-E749-AF82-02F210CAD1D4}" name="Column9996"/>
    <tableColumn id="10015" xr3:uid="{0A0781DB-42EE-344D-9013-627415BD71AD}" name="Column9997"/>
    <tableColumn id="10016" xr3:uid="{0AB49A85-DE79-DD49-AF66-BBB467502240}" name="Column9998"/>
    <tableColumn id="10017" xr3:uid="{73E212B8-E301-4B4E-8E42-78008B20CE4A}" name="Column9999"/>
    <tableColumn id="10018" xr3:uid="{57781AFA-685A-E74B-91CE-5B4456EC2D74}" name="Column10000"/>
    <tableColumn id="10019" xr3:uid="{F5AD3137-91BF-BF4C-81AD-909930762DC1}" name="Column10001"/>
    <tableColumn id="10020" xr3:uid="{9147B0BA-6FEE-9449-ADA7-5C4163137B88}" name="Column10002"/>
    <tableColumn id="10021" xr3:uid="{1792747E-3A89-CC43-82FF-552C6314DCC7}" name="Column10003"/>
    <tableColumn id="10022" xr3:uid="{2C4EBCA2-7B03-7C4A-9649-87C62D2C7CB3}" name="Column10004"/>
    <tableColumn id="10023" xr3:uid="{8233082F-AD10-BE40-8341-9B937E285CF3}" name="Column10005"/>
    <tableColumn id="10024" xr3:uid="{FE3B084A-443E-DF42-9C18-661F58EC7978}" name="Column10006"/>
    <tableColumn id="10025" xr3:uid="{BB09E0E2-7D3D-BB4F-8AF8-14F4B071FFD4}" name="Column10007"/>
    <tableColumn id="10026" xr3:uid="{57DDE5C8-6B98-E04A-B442-B2664940F523}" name="Column10008"/>
    <tableColumn id="10027" xr3:uid="{3F2446B5-9E82-854C-8A63-B79AF89D60CD}" name="Column10009"/>
    <tableColumn id="10028" xr3:uid="{E8B20728-7E7D-8845-9A2C-4D7CC491148D}" name="Column10010"/>
    <tableColumn id="10029" xr3:uid="{39FF24F1-079F-2243-800F-C462DC751B3D}" name="Column10011"/>
    <tableColumn id="10030" xr3:uid="{70B5880C-0A03-2943-8A51-75CC72E6AD9B}" name="Column10012"/>
    <tableColumn id="10031" xr3:uid="{0ABB91F1-8017-9143-AE78-D157D4B7A329}" name="Column10013"/>
    <tableColumn id="10032" xr3:uid="{FDCB2502-4C21-1043-80FE-44E03AE68103}" name="Column10014"/>
    <tableColumn id="10033" xr3:uid="{2ABA5283-BB85-1F4E-ADD6-DB787A4C21A6}" name="Column10015"/>
    <tableColumn id="10034" xr3:uid="{F3BF61C4-B07C-FF48-8257-86EB94B52CE5}" name="Column10016"/>
    <tableColumn id="10035" xr3:uid="{76028FA4-FEE9-C44E-9CFE-2B04C8C90421}" name="Column10017"/>
    <tableColumn id="10036" xr3:uid="{DEBB9B5A-5817-C744-B8F0-B001B46BD08D}" name="Column10018"/>
    <tableColumn id="10037" xr3:uid="{22071BE2-E61F-2447-B663-4566E73CC388}" name="Column10019"/>
    <tableColumn id="10038" xr3:uid="{9AB812FE-DD43-A44F-AE90-296E0E1C9CBD}" name="Column10020"/>
    <tableColumn id="10039" xr3:uid="{61892F41-962B-FE46-981B-09860F91DC06}" name="Column10021"/>
    <tableColumn id="10040" xr3:uid="{C82A6F99-520C-E244-8212-3EAC0E70C18E}" name="Column10022"/>
    <tableColumn id="10041" xr3:uid="{B22FD193-DB81-7D42-A45A-CEAE222E13D7}" name="Column10023"/>
    <tableColumn id="10042" xr3:uid="{022B946C-507B-DA4F-AB05-FC301A015193}" name="Column10024"/>
    <tableColumn id="10043" xr3:uid="{997D1D9D-E467-0C4B-90A7-DB3372DC5778}" name="Column10025"/>
    <tableColumn id="10044" xr3:uid="{167D1A9D-F273-2D42-A70E-FD9CEBD5420C}" name="Column10026"/>
    <tableColumn id="10045" xr3:uid="{42B965B3-20DE-4049-9068-3DB00EA87F3B}" name="Column10027"/>
    <tableColumn id="10046" xr3:uid="{6C5DB7FC-F0B4-F440-8FDF-84BD5A7A635E}" name="Column10028"/>
    <tableColumn id="10047" xr3:uid="{FDB4CE97-E741-DE46-A6DA-CBE65B52CA70}" name="Column10029"/>
    <tableColumn id="10048" xr3:uid="{2DE3D869-4938-CA43-B17B-809AF25BECB8}" name="Column10030"/>
    <tableColumn id="10049" xr3:uid="{860BEF7B-EBF5-5C46-BC29-117006C28A0A}" name="Column10031"/>
    <tableColumn id="10050" xr3:uid="{6B4637D7-7F9D-8942-9591-92222A68F467}" name="Column10032"/>
    <tableColumn id="10051" xr3:uid="{C2CE4DFF-CF88-A44E-98C3-337BE041628D}" name="Column10033"/>
    <tableColumn id="10052" xr3:uid="{EE17F9F0-3720-AF4A-9F15-DA60C86AF0D0}" name="Column10034"/>
    <tableColumn id="10053" xr3:uid="{74D294BF-5FE7-A54D-BC0A-3F960FC49CB8}" name="Column10035"/>
    <tableColumn id="10054" xr3:uid="{ABA1FE1B-8320-584F-A223-E0FE6B060003}" name="Column10036"/>
    <tableColumn id="10055" xr3:uid="{2856D2D9-C360-0B49-BB19-0FF97EE35225}" name="Column10037"/>
    <tableColumn id="10056" xr3:uid="{02C0A0F9-EA9D-5443-92FA-E5F68148D3C6}" name="Column10038"/>
    <tableColumn id="10057" xr3:uid="{3FB0BA2B-008C-954C-BB80-0A2D390D8729}" name="Column10039"/>
    <tableColumn id="10058" xr3:uid="{3D040B30-5865-D847-8FF2-DB74CBD94FD2}" name="Column10040"/>
    <tableColumn id="10059" xr3:uid="{4601C8EF-682F-6F49-9701-D9739646443B}" name="Column10041"/>
    <tableColumn id="10060" xr3:uid="{E17ADC23-B64F-D740-9455-0C7E8AC1B5FF}" name="Column10042"/>
    <tableColumn id="10061" xr3:uid="{7890BB38-CA38-264D-BB7E-40A1B2B82BDE}" name="Column10043"/>
    <tableColumn id="10062" xr3:uid="{DA5F9B86-8643-A74A-98BA-B1E385BD1B5C}" name="Column10044"/>
    <tableColumn id="10063" xr3:uid="{41D42545-3050-2B4F-AA84-8CE208C291CC}" name="Column10045"/>
    <tableColumn id="10064" xr3:uid="{4FB5F314-2ADE-FF49-9567-A675A088A66A}" name="Column10046"/>
    <tableColumn id="10065" xr3:uid="{213B8BAA-79C2-D84D-8B5E-93AE3D6A0F46}" name="Column10047"/>
    <tableColumn id="10066" xr3:uid="{23872482-5FF4-394C-AEBE-0013F958A12E}" name="Column10048"/>
    <tableColumn id="10067" xr3:uid="{EF0F2D5C-5799-EC4A-98DA-3C3D7698E5A0}" name="Column10049"/>
    <tableColumn id="10068" xr3:uid="{F1F10F15-E149-0E42-A67A-B23AC702C61C}" name="Column10050"/>
    <tableColumn id="10069" xr3:uid="{CF3D70BA-FB49-434A-82D8-108DC72EDC67}" name="Column10051"/>
    <tableColumn id="10070" xr3:uid="{BEFC0AC4-F64A-8F40-AF39-8F8371A25911}" name="Column10052"/>
    <tableColumn id="10071" xr3:uid="{2C41F562-F894-0B4B-B332-97515315E808}" name="Column10053"/>
    <tableColumn id="10072" xr3:uid="{1D3C47C9-FA95-4C48-B9CB-C774107C7005}" name="Column10054"/>
    <tableColumn id="10073" xr3:uid="{B8481D9D-6B73-DB4A-B68D-AB9333B69C08}" name="Column10055"/>
    <tableColumn id="10074" xr3:uid="{511E8C3E-9D7B-DD49-B0EF-73F4EB4A6410}" name="Column10056"/>
    <tableColumn id="10075" xr3:uid="{06A5B519-CA75-2B4E-A334-41F127FB7039}" name="Column10057"/>
    <tableColumn id="10076" xr3:uid="{DADC42C4-A123-5947-B862-31A7AA926041}" name="Column10058"/>
    <tableColumn id="10077" xr3:uid="{07AA2430-16E4-8F41-8D76-1DC100700079}" name="Column10059"/>
    <tableColumn id="10078" xr3:uid="{DD4EB402-3E74-D042-9CD6-B3335C8D5EA8}" name="Column10060"/>
    <tableColumn id="10079" xr3:uid="{C39292F5-48DC-6F45-BC24-B07437CD2249}" name="Column10061"/>
    <tableColumn id="10080" xr3:uid="{04C9C4A3-447B-1945-8290-CCC308340D5F}" name="Column10062"/>
    <tableColumn id="10081" xr3:uid="{8C58FF5B-07FD-8D4B-8C56-4C8D14201D96}" name="Column10063"/>
    <tableColumn id="10082" xr3:uid="{0F6673DC-D3F1-FC4C-9B98-BFB022F423A9}" name="Column10064"/>
    <tableColumn id="10083" xr3:uid="{03FF02A6-B49B-F941-98EB-0D37861028B0}" name="Column10065"/>
    <tableColumn id="10084" xr3:uid="{7504C0DA-8B9F-9340-979D-FFD93ABE1D48}" name="Column10066"/>
    <tableColumn id="10085" xr3:uid="{F0F9F5B5-8075-714D-AAE6-74B32AAB52DE}" name="Column10067"/>
    <tableColumn id="10086" xr3:uid="{B583E1D5-9E7E-C54E-B396-FE6C23B8A2E3}" name="Column10068"/>
    <tableColumn id="10087" xr3:uid="{83C91292-4724-624C-9450-8B474BDEED6E}" name="Column10069"/>
    <tableColumn id="10088" xr3:uid="{E7B75129-9682-8641-A308-E46DDDE7E48B}" name="Column10070"/>
    <tableColumn id="10089" xr3:uid="{19D7566D-688D-EF45-B0AA-E1263F9584FF}" name="Column10071"/>
    <tableColumn id="10090" xr3:uid="{6BCB4544-61E4-6442-BA11-0388CEFCBF83}" name="Column10072"/>
    <tableColumn id="10091" xr3:uid="{E92AD4B4-66FC-5240-A77A-435AF1AE6A7F}" name="Column10073"/>
    <tableColumn id="10092" xr3:uid="{413BAFF7-5C9B-164E-91CB-D102527E9372}" name="Column10074"/>
    <tableColumn id="10093" xr3:uid="{5ED3BEB1-8CFD-114A-864C-AB815E020FB0}" name="Column10075"/>
    <tableColumn id="10094" xr3:uid="{048406B4-78EC-034A-8267-33B97973DDBD}" name="Column10076"/>
    <tableColumn id="10095" xr3:uid="{4AD1AE31-9121-AE4D-809A-99D124F8D136}" name="Column10077"/>
    <tableColumn id="10096" xr3:uid="{BA002C7C-0C77-FF4B-A0B9-E59C69E99DC9}" name="Column10078"/>
    <tableColumn id="10097" xr3:uid="{733EE505-A92E-0541-8AFC-55192BE5EE8A}" name="Column10079"/>
    <tableColumn id="10098" xr3:uid="{D946FF98-F85A-994D-9561-9DE5E37A733B}" name="Column10080"/>
    <tableColumn id="10099" xr3:uid="{F7833F27-EC3D-3346-99BE-F45B713AF130}" name="Column10081"/>
    <tableColumn id="10100" xr3:uid="{60D40568-1B1D-BE41-94F8-8485AF8BCE32}" name="Column10082"/>
    <tableColumn id="10101" xr3:uid="{A90B396D-DD4B-534D-BF32-C570E1AEE749}" name="Column10083"/>
    <tableColumn id="10102" xr3:uid="{BE42B749-6C02-F045-BEF4-13F9F74DEFC5}" name="Column10084"/>
    <tableColumn id="10103" xr3:uid="{5E6E9ABE-E719-3440-80C8-92CC1331C3F6}" name="Column10085"/>
    <tableColumn id="10104" xr3:uid="{B1286402-8EE8-AC48-8AC0-F0F05D3DCA01}" name="Column10086"/>
    <tableColumn id="10105" xr3:uid="{9E597541-383D-B844-9274-FF7B7288C041}" name="Column10087"/>
    <tableColumn id="10106" xr3:uid="{6A323036-BF01-6347-A928-5EF2AD782436}" name="Column10088"/>
    <tableColumn id="10107" xr3:uid="{C6BC3400-8A66-D546-8519-A2FDC3ECCD7F}" name="Column10089"/>
    <tableColumn id="10108" xr3:uid="{8ED4DC89-1F63-C241-A34A-0AD14AE18FF0}" name="Column10090"/>
    <tableColumn id="10109" xr3:uid="{4589CE92-9555-F047-908A-48EFF7D52EE4}" name="Column10091"/>
    <tableColumn id="10110" xr3:uid="{29C40BD4-6A80-D041-81E5-1E89B47BAA06}" name="Column10092"/>
    <tableColumn id="10111" xr3:uid="{5417B10F-3D8D-5B4D-B88A-3F4ABD36CD76}" name="Column10093"/>
    <tableColumn id="10112" xr3:uid="{073A1578-EDA7-084B-92C6-D49025F36C2F}" name="Column10094"/>
    <tableColumn id="10113" xr3:uid="{D34E7973-6355-5545-AC2C-9922C31F48F6}" name="Column10095"/>
    <tableColumn id="10114" xr3:uid="{C1694C41-69EC-CC4B-81EB-98126B57C9FA}" name="Column10096"/>
    <tableColumn id="10115" xr3:uid="{D919B907-7003-7D4D-B687-704C4A917234}" name="Column10097"/>
    <tableColumn id="10116" xr3:uid="{5E8A17B5-A5B5-2046-89BE-47E5B3C461E1}" name="Column10098"/>
    <tableColumn id="10117" xr3:uid="{BEB88DEE-85C7-E348-B084-047C17E54E61}" name="Column10099"/>
    <tableColumn id="10118" xr3:uid="{1A3D1257-EB2E-C344-8B75-E27A7BCA48A3}" name="Column10100"/>
    <tableColumn id="10119" xr3:uid="{74DFA95F-0E92-7741-B25C-4831F0B0A608}" name="Column10101"/>
    <tableColumn id="10120" xr3:uid="{0725E7BC-B1F7-7546-BD29-28A9F5F7BD82}" name="Column10102"/>
    <tableColumn id="10121" xr3:uid="{799A739E-AEA3-9B4E-B201-C379382035FD}" name="Column10103"/>
    <tableColumn id="10122" xr3:uid="{2A3F2EAB-3A9B-254C-B24E-0127D98C3C0A}" name="Column10104"/>
    <tableColumn id="10123" xr3:uid="{D5ECBD11-1C42-7E4E-956A-8C82C0EC6BC6}" name="Column10105"/>
    <tableColumn id="10124" xr3:uid="{AB92517E-EECC-CF41-9E9C-377FBC9E0D12}" name="Column10106"/>
    <tableColumn id="10125" xr3:uid="{4D4A6CB0-2214-454B-8C74-F57A49C8E03B}" name="Column10107"/>
    <tableColumn id="10126" xr3:uid="{627F1185-FE8E-4B46-8A5C-AA33B52E05E2}" name="Column10108"/>
    <tableColumn id="10127" xr3:uid="{69F9E190-FD54-A448-BF71-8FEBA489AED9}" name="Column10109"/>
    <tableColumn id="10128" xr3:uid="{7EF9357A-B1EE-3E46-B515-876D659A242E}" name="Column10110"/>
    <tableColumn id="10129" xr3:uid="{71DA10AD-DA3A-1F4A-A994-C025FC7D2065}" name="Column10111"/>
    <tableColumn id="10130" xr3:uid="{410FFD1E-E957-9D4B-81CD-168C82359251}" name="Column10112"/>
    <tableColumn id="10131" xr3:uid="{4858C4D4-D6A5-AE4A-B771-F466B4E92D01}" name="Column10113"/>
    <tableColumn id="10132" xr3:uid="{31D766D9-8476-7242-9E55-85B443DFD359}" name="Column10114"/>
    <tableColumn id="10133" xr3:uid="{E7479678-B6ED-C746-AF5E-770B778AFBDD}" name="Column10115"/>
    <tableColumn id="10134" xr3:uid="{F2D6D136-2220-D444-9C75-D6F0C6514723}" name="Column10116"/>
    <tableColumn id="10135" xr3:uid="{3C0F2D6D-0F09-F94B-A971-1A6E77F1317B}" name="Column10117"/>
    <tableColumn id="10136" xr3:uid="{3C5B95B3-CD0B-E544-80F1-9BBB77849B43}" name="Column10118"/>
    <tableColumn id="10137" xr3:uid="{D480E54D-60C0-8044-BB41-1977F034103F}" name="Column10119"/>
    <tableColumn id="10138" xr3:uid="{B6521275-2EF6-A148-BB90-62D7BED48515}" name="Column10120"/>
    <tableColumn id="10139" xr3:uid="{DA34B8B7-CD60-E74E-A05C-ECB36CE1A2AD}" name="Column10121"/>
    <tableColumn id="10140" xr3:uid="{3BDBE869-1C2F-3C42-A3E3-AEC92700058D}" name="Column10122"/>
    <tableColumn id="10141" xr3:uid="{97848BDA-4892-0646-8266-54908FD20C00}" name="Column10123"/>
    <tableColumn id="10142" xr3:uid="{225B9A92-1A7D-D741-A2E9-176E505BF543}" name="Column10124"/>
    <tableColumn id="10143" xr3:uid="{D443DF77-BDF1-C744-8A06-FAB0C0E8A1F8}" name="Column10125"/>
    <tableColumn id="10144" xr3:uid="{CCAE08BA-661E-4C45-A97B-65A7AE1ACBA2}" name="Column10126"/>
    <tableColumn id="10145" xr3:uid="{9DA740F6-E049-8B43-81F2-0B971CBF87AF}" name="Column10127"/>
    <tableColumn id="10146" xr3:uid="{BD822779-51FB-2B42-AFC8-5CC7DB654D48}" name="Column10128"/>
    <tableColumn id="10147" xr3:uid="{D7B63419-66AF-4A49-B842-18FD7F36C781}" name="Column10129"/>
    <tableColumn id="10148" xr3:uid="{AC555BA4-137B-ED43-819C-F5E3442D981D}" name="Column10130"/>
    <tableColumn id="10149" xr3:uid="{D1BAE021-F359-5740-A0D3-6372AF36EA4C}" name="Column10131"/>
    <tableColumn id="10150" xr3:uid="{966E0B2D-F4D9-9041-9C42-733BB037206D}" name="Column10132"/>
    <tableColumn id="10151" xr3:uid="{DE8E0E00-A0C1-5747-8F2C-EF597AE9EF4F}" name="Column10133"/>
    <tableColumn id="10152" xr3:uid="{35EC9BA0-0A27-CF49-A0E6-BF6A9E879FB3}" name="Column10134"/>
    <tableColumn id="10153" xr3:uid="{459FE96E-EA24-2A4E-9A1D-0249FDF83248}" name="Column10135"/>
    <tableColumn id="10154" xr3:uid="{38EFB2C7-FC7D-7F43-8D0E-F6F04BBDFC2C}" name="Column10136"/>
    <tableColumn id="10155" xr3:uid="{24ED05D7-2AC3-FF46-A171-FB27439BC0E7}" name="Column10137"/>
    <tableColumn id="10156" xr3:uid="{00189038-B477-B74C-8C93-F6D880EEEC8B}" name="Column10138"/>
    <tableColumn id="10157" xr3:uid="{9C3F90D6-31A8-514B-BA62-EC574F790187}" name="Column10139"/>
    <tableColumn id="10158" xr3:uid="{351A0094-9A44-144A-9C1C-53A8B91C7AF4}" name="Column10140"/>
    <tableColumn id="10159" xr3:uid="{2D949A60-78CC-FC49-ABF9-42169F09FB33}" name="Column10141"/>
    <tableColumn id="10160" xr3:uid="{13EFFED5-294E-3641-8916-023FF92AC8FA}" name="Column10142"/>
    <tableColumn id="10161" xr3:uid="{D00AD5B2-6907-D746-9FCB-CCF20D8A357A}" name="Column10143"/>
    <tableColumn id="10162" xr3:uid="{5A00AA26-5EE2-1940-A13C-897030DE43DB}" name="Column10144"/>
    <tableColumn id="10163" xr3:uid="{006700D5-579E-8945-9AD7-1AD119A62710}" name="Column10145"/>
    <tableColumn id="10164" xr3:uid="{04DDEBF4-5B83-F24D-B3C5-726BC40DB807}" name="Column10146"/>
    <tableColumn id="10165" xr3:uid="{D977B1B7-97F6-4D44-8C3A-27F90718EBA8}" name="Column10147"/>
    <tableColumn id="10166" xr3:uid="{95CF8560-B98B-2545-938F-A44DAF342407}" name="Column10148"/>
    <tableColumn id="10167" xr3:uid="{36A64B5C-6A80-0744-B521-78AFCF6D2B14}" name="Column10149"/>
    <tableColumn id="10168" xr3:uid="{F0BD7209-07C5-6F4B-93E4-FEBA6CFD379A}" name="Column10150"/>
    <tableColumn id="10169" xr3:uid="{2D52FBA6-97A3-4145-8113-FCB84E2FC7AD}" name="Column10151"/>
    <tableColumn id="10170" xr3:uid="{D59FAA3C-2B93-F340-AC92-F32B9C866622}" name="Column10152"/>
    <tableColumn id="10171" xr3:uid="{AA7107FF-F62F-1941-B376-20C0F6AB8003}" name="Column10153"/>
    <tableColumn id="10172" xr3:uid="{DF093E82-6830-3E45-8DD4-96B553BC208C}" name="Column10154"/>
    <tableColumn id="10173" xr3:uid="{ED1198F8-671A-6248-8FAE-E32928319D2C}" name="Column10155"/>
    <tableColumn id="10174" xr3:uid="{C9E251B3-42A9-FB48-8FCE-9687A2CF8196}" name="Column10156"/>
    <tableColumn id="10175" xr3:uid="{4CEFD8AF-B5CF-BA40-AB38-511C44CF6270}" name="Column10157"/>
    <tableColumn id="10176" xr3:uid="{22D25ABD-E7EB-684F-A7A7-91223B584332}" name="Column10158"/>
    <tableColumn id="10177" xr3:uid="{D0861F8A-94E3-5D44-8F0C-99BE785673B9}" name="Column10159"/>
    <tableColumn id="10178" xr3:uid="{A47DC181-EE4E-4C4F-84A6-817D7954D530}" name="Column10160"/>
    <tableColumn id="10179" xr3:uid="{43E9BC25-FEC1-764B-BEC2-40560E0CAF27}" name="Column10161"/>
    <tableColumn id="10180" xr3:uid="{23474678-3FFD-6849-A2FE-139669BA7FFC}" name="Column10162"/>
    <tableColumn id="10181" xr3:uid="{3B16F1B7-E6B1-004E-888F-7DBCE7E8BD22}" name="Column10163"/>
    <tableColumn id="10182" xr3:uid="{27E30254-3824-EC47-BF81-82EDC04144D7}" name="Column10164"/>
    <tableColumn id="10183" xr3:uid="{CC8CD489-0C9B-8C49-8624-F688B7D82352}" name="Column10165"/>
    <tableColumn id="10184" xr3:uid="{65F3A75A-9170-E54C-B74B-2BE494C1675B}" name="Column10166"/>
    <tableColumn id="10185" xr3:uid="{EEB78747-9A06-8043-93DE-A21612CF7CB5}" name="Column10167"/>
    <tableColumn id="10186" xr3:uid="{44CE0FDA-6F69-B040-BC9B-5BF1DE6C9962}" name="Column10168"/>
    <tableColumn id="10187" xr3:uid="{2B0C3958-6674-FB40-8BE8-5A31C1EAA55C}" name="Column10169"/>
    <tableColumn id="10188" xr3:uid="{333EBCCF-B3B9-2740-B943-D7BD5C9948E8}" name="Column10170"/>
    <tableColumn id="10189" xr3:uid="{3EB8DAF9-1D86-B440-AD4C-4F3F2AA55994}" name="Column10171"/>
    <tableColumn id="10190" xr3:uid="{488A9EE1-AB7F-D64C-817B-ADB30F27DEDD}" name="Column10172"/>
    <tableColumn id="10191" xr3:uid="{5C779D27-649C-8343-8752-10A226BEEEBD}" name="Column10173"/>
    <tableColumn id="10192" xr3:uid="{B342B837-C86B-FE49-BC8F-A64B4B2F25A7}" name="Column10174"/>
    <tableColumn id="10193" xr3:uid="{D340150A-B104-B042-81A9-2D9F3B97B104}" name="Column10175"/>
    <tableColumn id="10194" xr3:uid="{874EC642-B033-494B-9C99-19AAA26727CC}" name="Column10176"/>
    <tableColumn id="10195" xr3:uid="{1959A640-4184-1846-86F3-B3B2F2BC27BE}" name="Column10177"/>
    <tableColumn id="10196" xr3:uid="{C9900506-D0F2-0D4F-8D11-FBE426E530D9}" name="Column10178"/>
    <tableColumn id="10197" xr3:uid="{EECFFD17-20BE-004D-BAB3-62FBCF199ABB}" name="Column10179"/>
    <tableColumn id="10198" xr3:uid="{E9DBD9AB-2641-3B49-A517-CC9B8CB7CD98}" name="Column10180"/>
    <tableColumn id="10199" xr3:uid="{F9722B73-F57C-7B44-AAB5-0420B7242A11}" name="Column10181"/>
    <tableColumn id="10200" xr3:uid="{0B1D1A86-0230-7142-9FF7-A57489268356}" name="Column10182"/>
    <tableColumn id="10201" xr3:uid="{54E58256-1CB0-F64B-9024-CCC931683C9B}" name="Column10183"/>
    <tableColumn id="10202" xr3:uid="{2BDE9C06-B4BB-9E4D-BB41-E76D97A1DDAD}" name="Column10184"/>
    <tableColumn id="10203" xr3:uid="{7C44BC24-137F-6E45-A9C0-38745F8F2C97}" name="Column10185"/>
    <tableColumn id="10204" xr3:uid="{6C98E695-B16C-D44A-AED1-82741F3DE8A8}" name="Column10186"/>
    <tableColumn id="10205" xr3:uid="{02A38DAB-DEA5-004E-B4A2-6AB9429C91F4}" name="Column10187"/>
    <tableColumn id="10206" xr3:uid="{D82ECDB7-213C-0947-95A4-D299719D9090}" name="Column10188"/>
    <tableColumn id="10207" xr3:uid="{28B67FD9-FD85-6C4A-B892-6BBB90ABF3AA}" name="Column10189"/>
    <tableColumn id="10208" xr3:uid="{C4748ADF-668D-9849-AD5A-2DC17C9D5DA4}" name="Column10190"/>
    <tableColumn id="10209" xr3:uid="{50FCF40C-6931-3644-84AA-E7BF53FD6003}" name="Column10191"/>
    <tableColumn id="10210" xr3:uid="{6DA56EC4-B2DD-634C-AE1A-45E61AF14A00}" name="Column10192"/>
    <tableColumn id="10211" xr3:uid="{25FD87FA-CD6E-144B-B12D-53500C668B41}" name="Column10193"/>
    <tableColumn id="10212" xr3:uid="{E32013B8-4E08-3A46-BA35-63A3771B33FD}" name="Column10194"/>
    <tableColumn id="10213" xr3:uid="{8496CD0A-7ED1-6E46-A82F-6CC3002BD19D}" name="Column10195"/>
    <tableColumn id="10214" xr3:uid="{A35C19B4-1785-1D44-9A8A-783AFC6CE55D}" name="Column10196"/>
    <tableColumn id="10215" xr3:uid="{A18DFD24-EF82-3740-A722-9BA276B03414}" name="Column10197"/>
    <tableColumn id="10216" xr3:uid="{3E0FA7BE-278D-AE42-A81B-88BFF3E6288B}" name="Column10198"/>
    <tableColumn id="10217" xr3:uid="{500A280E-3F53-BA45-9BC3-579600F4A948}" name="Column10199"/>
    <tableColumn id="10218" xr3:uid="{D90CCC29-2BC4-0F4D-BEC7-831E30C47994}" name="Column10200"/>
    <tableColumn id="10219" xr3:uid="{9552E7BF-B506-6843-9554-A2979792B4E6}" name="Column10201"/>
    <tableColumn id="10220" xr3:uid="{4F809F5D-3EBE-3E42-8289-BE10E2038CA5}" name="Column10202"/>
    <tableColumn id="10221" xr3:uid="{45CC95A5-E906-E844-BD84-997A0E999762}" name="Column10203"/>
    <tableColumn id="10222" xr3:uid="{6E9BB666-3673-4747-96B3-AF1E8FE58B2A}" name="Column10204"/>
    <tableColumn id="10223" xr3:uid="{EF448514-1D69-F44F-87BF-BD8FE077AA15}" name="Column10205"/>
    <tableColumn id="10224" xr3:uid="{DD20BF0A-F670-EB42-8728-B9980024AC21}" name="Column10206"/>
    <tableColumn id="10225" xr3:uid="{D24C3E72-8BCA-A440-8F08-02AF2B6FC8C1}" name="Column10207"/>
    <tableColumn id="10226" xr3:uid="{67845A9A-CF4F-AD46-BB52-EECD0A0B71A1}" name="Column10208"/>
    <tableColumn id="10227" xr3:uid="{44BD220F-A76A-654C-A0F9-58353D9571D6}" name="Column10209"/>
    <tableColumn id="10228" xr3:uid="{B54E43C8-E8B9-9C44-A5E4-A9917E2E4DC5}" name="Column10210"/>
    <tableColumn id="10229" xr3:uid="{B6A8093D-743B-424F-8255-BB225975CE46}" name="Column10211"/>
    <tableColumn id="10230" xr3:uid="{1233C45F-ADB5-764C-8A81-F65ACDA7CB09}" name="Column10212"/>
    <tableColumn id="10231" xr3:uid="{10FFB929-399B-E34D-9B20-E7E4D8E58C73}" name="Column10213"/>
    <tableColumn id="10232" xr3:uid="{80D9D2EF-53D8-2A41-B9F7-8585DF5C6B5B}" name="Column10214"/>
    <tableColumn id="10233" xr3:uid="{8EE93038-AD73-DE40-91CE-0A2D83069F63}" name="Column10215"/>
    <tableColumn id="10234" xr3:uid="{D5682784-A4A6-D54F-A0E1-2EE5B414523B}" name="Column10216"/>
    <tableColumn id="10235" xr3:uid="{D73D5D1B-D149-AE43-9E67-1CEA6B33669C}" name="Column10217"/>
    <tableColumn id="10236" xr3:uid="{0AC4444F-410F-3D4D-8ACA-81DBE991BB7A}" name="Column10218"/>
    <tableColumn id="10237" xr3:uid="{8A4FB466-8A05-F44A-ABAC-664D915AA63E}" name="Column10219"/>
    <tableColumn id="10238" xr3:uid="{7002A487-07C1-C74C-9B7A-D51CE4F6AB1D}" name="Column10220"/>
    <tableColumn id="10239" xr3:uid="{CD4287A1-F48D-7C48-8213-96508B7D9C61}" name="Column10221"/>
    <tableColumn id="10240" xr3:uid="{8E12139A-5631-BE4D-966B-511767CD85C5}" name="Column10222"/>
    <tableColumn id="10241" xr3:uid="{50C7073D-C299-9447-9060-6C86DED3B670}" name="Column10223"/>
    <tableColumn id="10242" xr3:uid="{0248CFEB-EF85-5541-B623-2318B0C2D3A5}" name="Column10224"/>
    <tableColumn id="10243" xr3:uid="{F77119E0-EFED-5A4D-8B58-80B0A35ED726}" name="Column10225"/>
    <tableColumn id="10244" xr3:uid="{A6B78CE7-D8D4-3045-86B2-A1B541F98210}" name="Column10226"/>
    <tableColumn id="10245" xr3:uid="{DD1FA3C0-AEC8-7845-987F-9992616676CD}" name="Column10227"/>
    <tableColumn id="10246" xr3:uid="{F2E6708D-B2DC-1948-BE20-2A14F3A79558}" name="Column10228"/>
    <tableColumn id="10247" xr3:uid="{77CB9A24-C19E-2949-8253-F1E232DE3085}" name="Column10229"/>
    <tableColumn id="10248" xr3:uid="{CA646599-D7DC-C244-98EF-A011C1922D11}" name="Column10230"/>
    <tableColumn id="10249" xr3:uid="{097600DC-0E64-7D4A-9E68-5E623DE22959}" name="Column10231"/>
    <tableColumn id="10250" xr3:uid="{7BA1293D-2BA1-CA42-8569-852F2F3CE718}" name="Column10232"/>
    <tableColumn id="10251" xr3:uid="{F71F00D9-72C3-6A4A-B811-05BEF02AA86A}" name="Column10233"/>
    <tableColumn id="10252" xr3:uid="{97BF1DCF-8811-A945-B83F-6974F9D6CF41}" name="Column10234"/>
    <tableColumn id="10253" xr3:uid="{B8743908-5BCC-E04C-A6E8-5ADEF722BCE6}" name="Column10235"/>
    <tableColumn id="10254" xr3:uid="{3A21D04B-297A-6147-8BFB-5B93EFF99D71}" name="Column10236"/>
    <tableColumn id="10255" xr3:uid="{7F6B27F2-D972-8D4F-ADC0-2FB4C540CC41}" name="Column10237"/>
    <tableColumn id="10256" xr3:uid="{264ABD9E-F5D0-D047-B17A-3DDA43C0F326}" name="Column10238"/>
    <tableColumn id="10257" xr3:uid="{0872A859-B503-D04A-B361-2D930B28776E}" name="Column10239"/>
    <tableColumn id="10258" xr3:uid="{91DC934E-FA04-5F4B-A60F-059AE48B26AB}" name="Column10240"/>
    <tableColumn id="10259" xr3:uid="{D6C0E391-7C4C-2E4B-AEA0-F51EC1BC18DA}" name="Column10241"/>
    <tableColumn id="10260" xr3:uid="{713865F2-DDA2-4D4D-A16C-C35B53A31084}" name="Column10242"/>
    <tableColumn id="10261" xr3:uid="{7AF41502-4615-FA4A-AD31-FAB0D2097AFD}" name="Column10243"/>
    <tableColumn id="10262" xr3:uid="{DA03C8AF-FF2B-4041-B287-5C2BE8961E02}" name="Column10244"/>
    <tableColumn id="10263" xr3:uid="{4EAD4B08-2904-104C-9A96-6AFCC1F946B1}" name="Column10245"/>
    <tableColumn id="10264" xr3:uid="{AAE23B6B-9909-9D4C-82EC-0A0F917FE7D8}" name="Column10246"/>
    <tableColumn id="10265" xr3:uid="{ACFB18DD-270C-D34B-AB17-76F51CF77A19}" name="Column10247"/>
    <tableColumn id="10266" xr3:uid="{FFAFD25B-D2BA-0942-92DE-844CBF7F95C1}" name="Column10248"/>
    <tableColumn id="10267" xr3:uid="{72EEC22A-D049-4544-AC70-535F6D6E0FD5}" name="Column10249"/>
    <tableColumn id="10268" xr3:uid="{55506FE4-3140-1540-937D-4777EC48058E}" name="Column10250"/>
    <tableColumn id="10269" xr3:uid="{12E28F8D-55D0-784B-8768-1923C0E10AEE}" name="Column10251"/>
    <tableColumn id="10270" xr3:uid="{114BEC4D-80DE-3742-830E-AADA9E9B0D27}" name="Column10252"/>
    <tableColumn id="10271" xr3:uid="{03F59595-713F-8F4E-BCD1-458CDE284C7E}" name="Column10253"/>
    <tableColumn id="10272" xr3:uid="{205048BE-D64F-1841-A4FC-3D17678E8BCF}" name="Column10254"/>
    <tableColumn id="10273" xr3:uid="{4F147597-D94C-EF4F-846C-8AD27E0F1C41}" name="Column10255"/>
    <tableColumn id="10274" xr3:uid="{A38FAB47-8853-CE4D-BB6C-EC7043D8913C}" name="Column10256"/>
    <tableColumn id="10275" xr3:uid="{6FA21FE2-0193-0644-A678-E01CBCEBDA42}" name="Column10257"/>
    <tableColumn id="10276" xr3:uid="{E98ECAA9-DF73-D845-BFA2-81202661BAD0}" name="Column10258"/>
    <tableColumn id="10277" xr3:uid="{398F807A-B35C-B743-B591-20C458F71AB3}" name="Column10259"/>
    <tableColumn id="10278" xr3:uid="{9F6EB3F2-1FD2-FC42-AD01-CCC6FFCAF5E4}" name="Column10260"/>
    <tableColumn id="10279" xr3:uid="{41A3E32A-2266-0E4E-ABD6-63C4175FE16C}" name="Column10261"/>
    <tableColumn id="10280" xr3:uid="{A643266D-AA6B-A447-B845-A302B450E639}" name="Column10262"/>
    <tableColumn id="10281" xr3:uid="{5931EBCA-D815-C043-945C-CC0EB98310D5}" name="Column10263"/>
    <tableColumn id="10282" xr3:uid="{BB58622A-C4B6-264B-BCE6-7176604BF889}" name="Column10264"/>
    <tableColumn id="10283" xr3:uid="{1BE8A109-438A-EE48-8109-2BE98AEA0DC6}" name="Column10265"/>
    <tableColumn id="10284" xr3:uid="{670FC837-6E3D-D846-836A-2E9105AAB76F}" name="Column10266"/>
    <tableColumn id="10285" xr3:uid="{4944501C-3BA9-5F43-80E2-BC5A85E625D2}" name="Column10267"/>
    <tableColumn id="10286" xr3:uid="{6D078D82-19D6-6842-A4A7-6B5BFE1841B4}" name="Column10268"/>
    <tableColumn id="10287" xr3:uid="{B978664C-AFE7-384A-A678-CEEEB995567A}" name="Column10269"/>
    <tableColumn id="10288" xr3:uid="{C32B90F7-B183-404B-903C-708024712AE4}" name="Column10270"/>
    <tableColumn id="10289" xr3:uid="{BAA363F8-2A1C-1044-9788-112E507F55F2}" name="Column10271"/>
    <tableColumn id="10290" xr3:uid="{75AED99B-DF55-6C46-9D5E-2FED05E4CE42}" name="Column10272"/>
    <tableColumn id="10291" xr3:uid="{58D19601-5D96-0B46-A144-1FB4AB2D84FB}" name="Column10273"/>
    <tableColumn id="10292" xr3:uid="{FDD1F52E-3507-ED4E-BEB9-3FE173EAF8EA}" name="Column10274"/>
    <tableColumn id="10293" xr3:uid="{B7F4C23A-BE27-7844-807C-3EE4B453FE72}" name="Column10275"/>
    <tableColumn id="10294" xr3:uid="{F466DF10-8ACE-D743-8BF7-2904BE41F43F}" name="Column10276"/>
    <tableColumn id="10295" xr3:uid="{896857C7-4F73-224A-A490-7C15F76026DC}" name="Column10277"/>
    <tableColumn id="10296" xr3:uid="{2E5BE7FF-E75D-4F4C-8940-B2663F004F33}" name="Column10278"/>
    <tableColumn id="10297" xr3:uid="{828D62A8-499A-8142-BF02-49E8E6AE7BD7}" name="Column10279"/>
    <tableColumn id="10298" xr3:uid="{B71A0AF0-27F6-0149-9DD6-F4349AB45DE3}" name="Column10280"/>
    <tableColumn id="10299" xr3:uid="{C150031E-90B7-0444-937D-24005938DA83}" name="Column10281"/>
    <tableColumn id="10300" xr3:uid="{748856A5-D3C2-5C44-A65C-C641B56E738E}" name="Column10282"/>
    <tableColumn id="10301" xr3:uid="{4CB24DD2-094A-5841-9C8C-5A107B239BAC}" name="Column10283"/>
    <tableColumn id="10302" xr3:uid="{CB72664F-8103-004E-AC55-948C93E6D972}" name="Column10284"/>
    <tableColumn id="10303" xr3:uid="{BB388E3B-4FC7-B34F-80F5-90DEF7BDEB23}" name="Column10285"/>
    <tableColumn id="10304" xr3:uid="{21CBE0C6-63A0-454A-BD2D-9CB351C1F3D4}" name="Column10286"/>
    <tableColumn id="10305" xr3:uid="{859FFE04-F9D4-D342-8EF6-6944BB7B2F57}" name="Column10287"/>
    <tableColumn id="10306" xr3:uid="{E75E69D0-FE82-BA4F-8107-CBB44ACC01BA}" name="Column10288"/>
    <tableColumn id="10307" xr3:uid="{029B4A82-1706-AB44-8DF2-F581C0F6A97E}" name="Column10289"/>
    <tableColumn id="10308" xr3:uid="{CBB07437-8AA3-6946-A52A-20CF7184BEAF}" name="Column10290"/>
    <tableColumn id="10309" xr3:uid="{D6B5F973-BE9F-864C-9A1E-672A7001AE00}" name="Column10291"/>
    <tableColumn id="10310" xr3:uid="{AD42876E-6F6F-C541-B515-5F67109A6A72}" name="Column10292"/>
    <tableColumn id="10311" xr3:uid="{262B194D-DC1E-3443-A4A3-1E014F824C15}" name="Column10293"/>
    <tableColumn id="10312" xr3:uid="{4DDE38DF-7E6F-B047-9853-2B162C18ACB6}" name="Column10294"/>
    <tableColumn id="10313" xr3:uid="{5ABC589C-A4DC-CF4B-91BE-5D3C3FCE8446}" name="Column10295"/>
    <tableColumn id="10314" xr3:uid="{C0F66B8F-8B93-2442-B60A-4E6B94E4149F}" name="Column10296"/>
    <tableColumn id="10315" xr3:uid="{F0A0B2B7-B365-F54E-8A6B-2EACFAE4FBD5}" name="Column10297"/>
    <tableColumn id="10316" xr3:uid="{DA145DE8-DCFA-534B-B3DA-A02AC3DDD57B}" name="Column10298"/>
    <tableColumn id="10317" xr3:uid="{B9C4E948-BBF4-0C47-AD4F-F1EC944E306C}" name="Column10299"/>
    <tableColumn id="10318" xr3:uid="{914FA9AA-85CA-4347-9308-3DEF9ED2320C}" name="Column10300"/>
    <tableColumn id="10319" xr3:uid="{1D1FCF11-0A97-394C-9209-0678683841ED}" name="Column10301"/>
    <tableColumn id="10320" xr3:uid="{CC276241-61E2-DC46-815A-ADF0C7671E84}" name="Column10302"/>
    <tableColumn id="10321" xr3:uid="{62F1360C-700F-C44B-BFDA-C1E9B7535814}" name="Column10303"/>
    <tableColumn id="10322" xr3:uid="{AF3D9E9C-A051-9044-9DDC-97893D9B9280}" name="Column10304"/>
    <tableColumn id="10323" xr3:uid="{3A9F68F1-4444-2A43-BB9C-C63576CBAC85}" name="Column10305"/>
    <tableColumn id="10324" xr3:uid="{4DA16DCD-86ED-B247-8B43-F4E5AFD18B6F}" name="Column10306"/>
    <tableColumn id="10325" xr3:uid="{0D77F108-571B-C54E-8F81-55B665CA03B7}" name="Column10307"/>
    <tableColumn id="10326" xr3:uid="{554C95E3-623F-394C-A926-399392F5BDCE}" name="Column10308"/>
    <tableColumn id="10327" xr3:uid="{305ED71C-C584-FD4D-96B9-BE92ED839DDC}" name="Column10309"/>
    <tableColumn id="10328" xr3:uid="{B94C2565-FDAF-4D48-BA91-AF948E2A7BB0}" name="Column10310"/>
    <tableColumn id="10329" xr3:uid="{91C6A4CF-B8F7-254A-BF4D-F1BF9922F9BA}" name="Column10311"/>
    <tableColumn id="10330" xr3:uid="{AB1B5FF5-81B2-6D4E-80D2-50FEE9987229}" name="Column10312"/>
    <tableColumn id="10331" xr3:uid="{2FFC4CC0-25C6-7F42-B9D2-CA24C6E6AF92}" name="Column10313"/>
    <tableColumn id="10332" xr3:uid="{EF87C83D-A425-4F40-8D4F-4C5C11EBE63E}" name="Column10314"/>
    <tableColumn id="10333" xr3:uid="{99C5B343-5F0E-3E45-8586-916117702144}" name="Column10315"/>
    <tableColumn id="10334" xr3:uid="{3ADB1920-61DE-3044-97FE-F57EDF1B1324}" name="Column10316"/>
    <tableColumn id="10335" xr3:uid="{1DC05E08-B352-664C-874E-D6D8A578FABF}" name="Column10317"/>
    <tableColumn id="10336" xr3:uid="{1BDF32E7-0234-BE4C-80CF-A699674B53A3}" name="Column10318"/>
    <tableColumn id="10337" xr3:uid="{422E07FE-5067-984B-8A4A-2550C61A9A3F}" name="Column10319"/>
    <tableColumn id="10338" xr3:uid="{1548B7A3-CD94-8E4E-91EC-8E182D867784}" name="Column10320"/>
    <tableColumn id="10339" xr3:uid="{2441E106-1719-CF4E-B24C-EED273D9C90C}" name="Column10321"/>
    <tableColumn id="10340" xr3:uid="{BC4FE19E-CE23-904A-86BF-DE70489D46F3}" name="Column10322"/>
    <tableColumn id="10341" xr3:uid="{37670622-1F65-BB45-B485-C98D86129CD4}" name="Column10323"/>
    <tableColumn id="10342" xr3:uid="{C8370673-6A5C-AF46-BB41-534FD4AF6E42}" name="Column10324"/>
    <tableColumn id="10343" xr3:uid="{CAFF5571-CCB6-5446-8821-504F408F27F7}" name="Column10325"/>
    <tableColumn id="10344" xr3:uid="{EAB0DD1E-9890-6546-B7A7-FDE7AF87892D}" name="Column10326"/>
    <tableColumn id="10345" xr3:uid="{6DB9A0F1-5B18-B44C-8E81-28F6C1FBF4CC}" name="Column10327"/>
    <tableColumn id="10346" xr3:uid="{58548D0B-4061-2146-A047-25DCB84D2320}" name="Column10328"/>
    <tableColumn id="10347" xr3:uid="{8A6F6A01-74A0-C94A-8F88-293573B820E6}" name="Column10329"/>
    <tableColumn id="10348" xr3:uid="{6EB50518-44C1-3640-95FB-CE628069A46F}" name="Column10330"/>
    <tableColumn id="10349" xr3:uid="{C487E9AF-2663-1C4F-AAEB-82D1B4EA84AA}" name="Column10331"/>
    <tableColumn id="10350" xr3:uid="{828E1034-3F29-DF4A-A88F-D480A1263B32}" name="Column10332"/>
    <tableColumn id="10351" xr3:uid="{42F6095C-3164-9142-A789-8B2BFEA483D1}" name="Column10333"/>
    <tableColumn id="10352" xr3:uid="{AD005A8C-B6BA-9E4E-9074-25AA49010E11}" name="Column10334"/>
    <tableColumn id="10353" xr3:uid="{2180DC4C-F5FE-654F-B4D7-BB0B3A73017D}" name="Column10335"/>
    <tableColumn id="10354" xr3:uid="{0AF5A9CF-D8A6-E44F-9464-04D7093E614F}" name="Column10336"/>
    <tableColumn id="10355" xr3:uid="{65677137-E6D8-6444-8E8C-1122D9248C42}" name="Column10337"/>
    <tableColumn id="10356" xr3:uid="{ADE61002-FD4E-F241-A2D1-5C5F1DFAA838}" name="Column10338"/>
    <tableColumn id="10357" xr3:uid="{024CD738-059C-5F4D-9D80-665D04F26497}" name="Column10339"/>
    <tableColumn id="10358" xr3:uid="{07908E4E-B910-9847-952C-8A33E90EDDA8}" name="Column10340"/>
    <tableColumn id="10359" xr3:uid="{C32ABDB6-B41D-2449-95B9-FD2C06D7FB15}" name="Column10341"/>
    <tableColumn id="10360" xr3:uid="{4CA4CF2A-832B-8643-A321-E41C1681D77C}" name="Column10342"/>
    <tableColumn id="10361" xr3:uid="{E22C26B4-FA64-4649-B742-AEA8F5FD4B2F}" name="Column10343"/>
    <tableColumn id="10362" xr3:uid="{51CE993D-E1CB-E941-84A6-17AA51C20363}" name="Column10344"/>
    <tableColumn id="10363" xr3:uid="{5ADA1FE6-F4F0-7E4A-A384-6F58C41C8C28}" name="Column10345"/>
    <tableColumn id="10364" xr3:uid="{1B9C4737-556B-4442-B252-540B48336F2D}" name="Column10346"/>
    <tableColumn id="10365" xr3:uid="{B8EA76C9-7231-6A41-81D9-D1BE1B7C53F8}" name="Column10347"/>
    <tableColumn id="10366" xr3:uid="{FEDBF895-C2A2-DA43-8A84-983483FDE6A0}" name="Column10348"/>
    <tableColumn id="10367" xr3:uid="{5FFE78E4-CBF3-114C-9BBE-2C147818DE5C}" name="Column10349"/>
    <tableColumn id="10368" xr3:uid="{30777B12-0BEA-4543-A758-881ED0F22815}" name="Column10350"/>
    <tableColumn id="10369" xr3:uid="{70051F55-FBA1-A340-B7DB-4BF126DF6222}" name="Column10351"/>
    <tableColumn id="10370" xr3:uid="{9EBCF6ED-5179-C840-99F8-21B865FFA10B}" name="Column10352"/>
    <tableColumn id="10371" xr3:uid="{97F7F2DC-5EB7-FE4B-818A-79D8425B9041}" name="Column10353"/>
    <tableColumn id="10372" xr3:uid="{F9012B07-2490-A744-891C-147B9F5E44C6}" name="Column10354"/>
    <tableColumn id="10373" xr3:uid="{35C18BEA-EA25-7149-8499-5CE4FC0C72CD}" name="Column10355"/>
    <tableColumn id="10374" xr3:uid="{E0E2AE6C-1BCB-7945-BB29-1552ACC14F1A}" name="Column10356"/>
    <tableColumn id="10375" xr3:uid="{BE6462A7-7A8D-704A-9818-C8D0529E5D3D}" name="Column10357"/>
    <tableColumn id="10376" xr3:uid="{DC3F1184-E2B1-8D40-881D-187D08AFC7CB}" name="Column10358"/>
    <tableColumn id="10377" xr3:uid="{07723FAF-9AFE-F547-BDF4-7A3B48D90F80}" name="Column10359"/>
    <tableColumn id="10378" xr3:uid="{D0415F06-9464-7344-911F-4E259BE6D642}" name="Column10360"/>
    <tableColumn id="10379" xr3:uid="{16EE89C8-6C30-4348-921A-1BA0141267D4}" name="Column10361"/>
    <tableColumn id="10380" xr3:uid="{8FD67767-DA76-8446-AC7A-81A11C7765CC}" name="Column10362"/>
    <tableColumn id="10381" xr3:uid="{50D720AE-C8CB-CF49-9B61-38ACBCC4F0C6}" name="Column10363"/>
    <tableColumn id="10382" xr3:uid="{E932A3C2-BA09-6D48-82C8-3CB934D84464}" name="Column10364"/>
    <tableColumn id="10383" xr3:uid="{E022F731-F706-2E4A-AC28-DFACB2849A4F}" name="Column10365"/>
    <tableColumn id="10384" xr3:uid="{86B8FC89-A065-0046-8368-4BE4137B34E1}" name="Column10366"/>
    <tableColumn id="10385" xr3:uid="{DF4D70D3-2F6B-A049-B659-EE3C60256AE1}" name="Column10367"/>
    <tableColumn id="10386" xr3:uid="{82D5C407-09E5-C94F-8ED7-529827A8D9D6}" name="Column10368"/>
    <tableColumn id="10387" xr3:uid="{E97C1493-7D40-0344-B16E-7A5311132BCA}" name="Column10369"/>
    <tableColumn id="10388" xr3:uid="{BE30EE7E-92E8-F24B-845B-7A66B4B6716D}" name="Column10370"/>
    <tableColumn id="10389" xr3:uid="{E4361B0E-DB9F-8F4E-BD0F-B162AAE0994A}" name="Column10371"/>
    <tableColumn id="10390" xr3:uid="{71355758-8160-4D42-9ECD-28723E1F68BC}" name="Column10372"/>
    <tableColumn id="10391" xr3:uid="{77ADE4B4-EE02-864A-B19F-08F40E2D1643}" name="Column10373"/>
    <tableColumn id="10392" xr3:uid="{77CBA847-69EC-8F45-B0A0-0702EB90C2BC}" name="Column10374"/>
    <tableColumn id="10393" xr3:uid="{E29B7D9D-EE8A-CD4C-BB61-226372884A87}" name="Column10375"/>
    <tableColumn id="10394" xr3:uid="{EB5A250F-6EE0-EA4B-9AC9-C85C0C003528}" name="Column10376"/>
    <tableColumn id="10395" xr3:uid="{AFAF05AD-A9AF-F341-A633-EA1132AFB53E}" name="Column10377"/>
    <tableColumn id="10396" xr3:uid="{407CACD8-EF23-E049-B31E-A3606AD69491}" name="Column10378"/>
    <tableColumn id="10397" xr3:uid="{4731760D-9940-A248-876B-6CB4C826E960}" name="Column10379"/>
    <tableColumn id="10398" xr3:uid="{582360C8-6C7C-7841-8294-039B8177574C}" name="Column10380"/>
    <tableColumn id="10399" xr3:uid="{0C60E14D-3010-1E4C-A429-E6ECC7990193}" name="Column10381"/>
    <tableColumn id="10400" xr3:uid="{2BAAE47F-A7FF-6748-9FA9-7FF915699B5A}" name="Column10382"/>
    <tableColumn id="10401" xr3:uid="{4713C021-F2F4-7A47-A11B-F40A549BCE54}" name="Column10383"/>
    <tableColumn id="10402" xr3:uid="{CF329E8B-3A1D-BC4A-91A9-736EB4A0B911}" name="Column10384"/>
    <tableColumn id="10403" xr3:uid="{6951E891-D9A9-F84A-9A31-78758B344B81}" name="Column10385"/>
    <tableColumn id="10404" xr3:uid="{B2CB8E77-5001-6442-BC88-36F49B4D265D}" name="Column10386"/>
    <tableColumn id="10405" xr3:uid="{5D08FD6B-5AA6-1047-B553-92FA558CF484}" name="Column10387"/>
    <tableColumn id="10406" xr3:uid="{7F673D1C-1439-5043-9A4B-A7A2BFE43DDD}" name="Column10388"/>
    <tableColumn id="10407" xr3:uid="{98429DBE-EE6F-874A-9787-2416048B7E69}" name="Column10389"/>
    <tableColumn id="10408" xr3:uid="{B29C2520-6643-3841-B338-60719984B87E}" name="Column10390"/>
    <tableColumn id="10409" xr3:uid="{FF18651C-D245-9542-87C4-5867947D2C1F}" name="Column10391"/>
    <tableColumn id="10410" xr3:uid="{15309375-8C7E-B34D-AC88-38A5944A7928}" name="Column10392"/>
    <tableColumn id="10411" xr3:uid="{F9BE2E95-DE64-5E4E-A870-8BD2D2FB8608}" name="Column10393"/>
    <tableColumn id="10412" xr3:uid="{109615AB-56B3-924C-BC3B-82E3147334BB}" name="Column10394"/>
    <tableColumn id="10413" xr3:uid="{66C2537D-D51A-7A44-BA15-1582B4B3564E}" name="Column10395"/>
    <tableColumn id="10414" xr3:uid="{41026F6E-F65B-1140-9BB0-148B186F72FA}" name="Column10396"/>
    <tableColumn id="10415" xr3:uid="{AC9EF124-4C23-444C-BB56-E5EF20D7BBDF}" name="Column10397"/>
    <tableColumn id="10416" xr3:uid="{1CAA995F-C054-C847-B0C2-C97085D9ADD1}" name="Column10398"/>
    <tableColumn id="10417" xr3:uid="{6BC8D105-64EA-3F49-81C1-B4D53E29C47F}" name="Column10399"/>
    <tableColumn id="10418" xr3:uid="{CDF63381-5BF3-B14D-AD24-56D05166F2E6}" name="Column10400"/>
    <tableColumn id="10419" xr3:uid="{67540EA1-E505-944D-B07A-042A9CD3916E}" name="Column10401"/>
    <tableColumn id="10420" xr3:uid="{1A5F171E-1A2C-BC45-937D-D263A6A99AE1}" name="Column10402"/>
    <tableColumn id="10421" xr3:uid="{069EEF30-85ED-6047-A312-97207D16F505}" name="Column10403"/>
    <tableColumn id="10422" xr3:uid="{EEC9E768-42FC-E94C-9970-DC71AC744693}" name="Column10404"/>
    <tableColumn id="10423" xr3:uid="{16014F5D-9FD3-474B-AC09-E57AECE379C7}" name="Column10405"/>
    <tableColumn id="10424" xr3:uid="{A7A30BFE-DEF3-0A47-94AB-08C57CB42A04}" name="Column10406"/>
    <tableColumn id="10425" xr3:uid="{72ED718F-1717-874F-B423-B9C03944A424}" name="Column10407"/>
    <tableColumn id="10426" xr3:uid="{CB79C6F8-806C-F64C-941E-84C6EF47004F}" name="Column10408"/>
    <tableColumn id="10427" xr3:uid="{86E2DC8E-C66E-9843-BF7C-9C0EC0431BC0}" name="Column10409"/>
    <tableColumn id="10428" xr3:uid="{192F9FD7-E944-774B-8732-E90C9514029D}" name="Column10410"/>
    <tableColumn id="10429" xr3:uid="{957D33E9-46A6-B643-B96B-18FDFA5842AE}" name="Column10411"/>
    <tableColumn id="10430" xr3:uid="{4C5CA427-DD93-B948-A909-0897A4940277}" name="Column10412"/>
    <tableColumn id="10431" xr3:uid="{5DAEB91D-F053-3C45-A9DD-183E36251764}" name="Column10413"/>
    <tableColumn id="10432" xr3:uid="{D064727D-8864-2E46-A833-233550839035}" name="Column10414"/>
    <tableColumn id="10433" xr3:uid="{9285A8F8-6071-7743-949D-0C827659F308}" name="Column10415"/>
    <tableColumn id="10434" xr3:uid="{515CED81-6154-5341-8847-7A87CEA86692}" name="Column10416"/>
    <tableColumn id="10435" xr3:uid="{73B8E8BC-D6B7-DD48-8786-5D589FB0D010}" name="Column10417"/>
    <tableColumn id="10436" xr3:uid="{E2D5775A-911B-B046-B119-3D4E22EE56EE}" name="Column10418"/>
    <tableColumn id="10437" xr3:uid="{DFA5ABF4-2241-6343-9E1E-C60050273F44}" name="Column10419"/>
    <tableColumn id="10438" xr3:uid="{6F237C87-251F-1644-9890-983A8C9077DC}" name="Column10420"/>
    <tableColumn id="10439" xr3:uid="{F85D830A-9CBC-1B4E-A637-F537C87040E5}" name="Column10421"/>
    <tableColumn id="10440" xr3:uid="{148D5C59-E262-A948-A8CC-411F5AF17BD3}" name="Column10422"/>
    <tableColumn id="10441" xr3:uid="{7BE3787B-86EE-A548-A72B-2C0C59176AA9}" name="Column10423"/>
    <tableColumn id="10442" xr3:uid="{F06B440E-A07E-C147-9AA3-D6299D9D1744}" name="Column10424"/>
    <tableColumn id="10443" xr3:uid="{234C6DD6-0840-C54B-B5B5-89ADABE671EF}" name="Column10425"/>
    <tableColumn id="10444" xr3:uid="{138BDA43-2DBD-C340-98F1-9823950B9D6F}" name="Column10426"/>
    <tableColumn id="10445" xr3:uid="{B4124395-2A51-DB43-9CC6-E52EAB4912B7}" name="Column10427"/>
    <tableColumn id="10446" xr3:uid="{26F3CA32-4618-A049-9310-A58FD376BC83}" name="Column10428"/>
    <tableColumn id="10447" xr3:uid="{DFDE4AFF-04FA-934C-BAAD-E0B7B66AE674}" name="Column10429"/>
    <tableColumn id="10448" xr3:uid="{222A74EE-3FD4-B941-8C2D-35A7A0027798}" name="Column10430"/>
    <tableColumn id="10449" xr3:uid="{D7385CB3-5DD6-BD46-922E-625F9BE3AFEF}" name="Column10431"/>
    <tableColumn id="10450" xr3:uid="{2E0CBFDD-8C52-F740-BD3C-BBBF3F45D43E}" name="Column10432"/>
    <tableColumn id="10451" xr3:uid="{E07801C1-4D66-464C-9AE9-6A812799DE1F}" name="Column10433"/>
    <tableColumn id="10452" xr3:uid="{C79F2439-068F-6F40-A6EB-9C062B1153D3}" name="Column10434"/>
    <tableColumn id="10453" xr3:uid="{7E8391BD-771F-0145-B212-AE0BBA5775CA}" name="Column10435"/>
    <tableColumn id="10454" xr3:uid="{10B06B38-2B69-9A41-A221-DC4CFB4D8189}" name="Column10436"/>
    <tableColumn id="10455" xr3:uid="{DF4AC99F-96A0-CD43-97FE-690739C40393}" name="Column10437"/>
    <tableColumn id="10456" xr3:uid="{289D221E-EAB3-AB44-A7BC-304236263E7F}" name="Column10438"/>
    <tableColumn id="10457" xr3:uid="{1E7A15DD-C53F-1D48-BF3E-5508719362E6}" name="Column10439"/>
    <tableColumn id="10458" xr3:uid="{367341A7-E19E-EA4D-9262-F99A91BDDCFD}" name="Column10440"/>
    <tableColumn id="10459" xr3:uid="{8598776E-AB48-C945-B863-CD68AE3218AC}" name="Column10441"/>
    <tableColumn id="10460" xr3:uid="{3D47F7A2-137A-3C48-819D-DA3FB8E347F7}" name="Column10442"/>
    <tableColumn id="10461" xr3:uid="{C18EC9DB-AF51-E44D-B0F6-2C528FA519ED}" name="Column10443"/>
    <tableColumn id="10462" xr3:uid="{D8D75AA0-9C40-7F49-AC3B-B5597262DF73}" name="Column10444"/>
    <tableColumn id="10463" xr3:uid="{90E78FF9-A2A0-A64B-9BBF-7B0B1EAFFA66}" name="Column10445"/>
    <tableColumn id="10464" xr3:uid="{353C15DD-D54B-964A-918F-77FA120356F9}" name="Column10446"/>
    <tableColumn id="10465" xr3:uid="{0E5D3287-AB4C-D64D-8F04-828137E8C279}" name="Column10447"/>
    <tableColumn id="10466" xr3:uid="{237C828F-821D-E342-BE0E-3F71CDEBDEA1}" name="Column10448"/>
    <tableColumn id="10467" xr3:uid="{75C7E57D-D765-1C4E-8647-66440E6C2F19}" name="Column10449"/>
    <tableColumn id="10468" xr3:uid="{2E7377B5-5E54-9546-89DC-FA58EA75E874}" name="Column10450"/>
    <tableColumn id="10469" xr3:uid="{96C62579-8DDF-DC4E-9B2B-7A538F8199BC}" name="Column10451"/>
    <tableColumn id="10470" xr3:uid="{4191534A-D542-9D46-8C87-13E2BA1D49A9}" name="Column10452"/>
    <tableColumn id="10471" xr3:uid="{A56E2C2E-9EC4-A84E-9B6B-47808CC2E6B8}" name="Column10453"/>
    <tableColumn id="10472" xr3:uid="{5A12DF62-D53B-A54B-A46C-FD07B8830A69}" name="Column10454"/>
    <tableColumn id="10473" xr3:uid="{5CA1B446-9038-804F-B3E6-8F9E68159660}" name="Column10455"/>
    <tableColumn id="10474" xr3:uid="{E8700F18-A16C-C14B-8777-715D4AAAB5ED}" name="Column10456"/>
    <tableColumn id="10475" xr3:uid="{9CA93E10-768E-FA40-AB85-9E45774D3038}" name="Column10457"/>
    <tableColumn id="10476" xr3:uid="{87458359-0DF0-994C-AE58-77C41D2B639C}" name="Column10458"/>
    <tableColumn id="10477" xr3:uid="{3C4B604D-39BE-B54F-8868-E6E8E5A17D0A}" name="Column10459"/>
    <tableColumn id="10478" xr3:uid="{73A9BC92-FFA9-1040-B38E-BCE3022059CA}" name="Column10460"/>
    <tableColumn id="10479" xr3:uid="{31AEF10C-2047-D044-BD76-BEAF3F8FB88D}" name="Column10461"/>
    <tableColumn id="10480" xr3:uid="{71F9A768-48EA-B44C-9B03-3063FCD9C6E0}" name="Column10462"/>
    <tableColumn id="10481" xr3:uid="{E45BDB93-76BA-8245-9F6F-FB8A6750C552}" name="Column10463"/>
    <tableColumn id="10482" xr3:uid="{51C78419-A1AE-A94E-B92D-2A1239BDD925}" name="Column10464"/>
    <tableColumn id="10483" xr3:uid="{3409FCA2-B84E-1B4F-A922-6D0ABFF4B760}" name="Column10465"/>
    <tableColumn id="10484" xr3:uid="{370DC9C2-A36E-554B-A12D-61B0197F03F3}" name="Column10466"/>
    <tableColumn id="10485" xr3:uid="{5F67BFF7-A878-3F41-B150-2BD07660BF87}" name="Column10467"/>
    <tableColumn id="10486" xr3:uid="{0E5AAB1E-A8D3-7842-AB34-5B767EE64D2C}" name="Column10468"/>
    <tableColumn id="10487" xr3:uid="{999759FD-D6E9-5B44-903B-A4065E357674}" name="Column10469"/>
    <tableColumn id="10488" xr3:uid="{C734AAF4-8CD7-964E-A794-009A6448DAF1}" name="Column10470"/>
    <tableColumn id="10489" xr3:uid="{C754B77B-4EB3-C842-9BB7-7F6628F601F0}" name="Column10471"/>
    <tableColumn id="10490" xr3:uid="{D0F1F3A5-30D0-554B-9654-1A9A5D5B8D5A}" name="Column10472"/>
    <tableColumn id="10491" xr3:uid="{65E98B18-54BF-8645-A301-B27711AC9647}" name="Column10473"/>
    <tableColumn id="10492" xr3:uid="{BF74C250-CE80-6B40-B1D6-2F42C628A38F}" name="Column10474"/>
    <tableColumn id="10493" xr3:uid="{6E9C493D-7157-9046-854C-586C8C7E402F}" name="Column10475"/>
    <tableColumn id="10494" xr3:uid="{22CB81A3-AF9C-3948-BBB3-EE0DDF69DE9A}" name="Column10476"/>
    <tableColumn id="10495" xr3:uid="{041D44C4-EF61-1548-8EBD-E0E83F9184C4}" name="Column10477"/>
    <tableColumn id="10496" xr3:uid="{F05B62E0-50F8-DB4A-8E57-9757179CC76C}" name="Column10478"/>
    <tableColumn id="10497" xr3:uid="{7D58D661-7D1D-B440-9266-56719BCDDC69}" name="Column10479"/>
    <tableColumn id="10498" xr3:uid="{43AC284F-B225-E34C-B85C-22819B4AF904}" name="Column10480"/>
    <tableColumn id="10499" xr3:uid="{E00EE5C9-FDDD-6745-B1A6-DB890C586132}" name="Column10481"/>
    <tableColumn id="10500" xr3:uid="{5EF1AC01-6288-4E4D-AEEE-6AC8F43D7734}" name="Column10482"/>
    <tableColumn id="10501" xr3:uid="{461201B5-A358-6343-B085-68C415675178}" name="Column10483"/>
    <tableColumn id="10502" xr3:uid="{0BD9379E-636A-6B47-8EE5-ED04B691A5F7}" name="Column10484"/>
    <tableColumn id="10503" xr3:uid="{596B48AE-83EA-F44F-85B4-025336EFE933}" name="Column10485"/>
    <tableColumn id="10504" xr3:uid="{E726A4E4-F47E-BF4A-9C7F-5C0701957A9A}" name="Column10486"/>
    <tableColumn id="10505" xr3:uid="{92B71331-575F-CF43-855F-EBEE2017ACA2}" name="Column10487"/>
    <tableColumn id="10506" xr3:uid="{46C8D735-41CF-E34F-9464-D904EBD7F98C}" name="Column10488"/>
    <tableColumn id="10507" xr3:uid="{CC501FDE-9E00-3B45-B59B-9C331F70F5AA}" name="Column10489"/>
    <tableColumn id="10508" xr3:uid="{ACC2BB62-4283-494B-BC7E-E9F1400D8AE4}" name="Column10490"/>
    <tableColumn id="10509" xr3:uid="{2C647FE1-8B15-0445-A7A9-EB07E5C7ADC6}" name="Column10491"/>
    <tableColumn id="10510" xr3:uid="{3C6B5497-831E-084A-8A88-E98F3FB69F1A}" name="Column10492"/>
    <tableColumn id="10511" xr3:uid="{19FA4E02-0EF1-2C44-9945-A147683C257C}" name="Column10493"/>
    <tableColumn id="10512" xr3:uid="{EF064C4A-33B5-7543-8A15-AF3F6F5FB5D1}" name="Column10494"/>
    <tableColumn id="10513" xr3:uid="{2E747719-5799-4C41-9959-F05060ED93A7}" name="Column10495"/>
    <tableColumn id="10514" xr3:uid="{D05AF795-1DC0-BF45-BFFC-CBE65527D9FE}" name="Column10496"/>
    <tableColumn id="10515" xr3:uid="{9CB4962F-B273-BD4B-BD55-AF13958BD520}" name="Column10497"/>
    <tableColumn id="10516" xr3:uid="{2188C3D7-6C81-4047-9639-0350B73174D2}" name="Column10498"/>
    <tableColumn id="10517" xr3:uid="{34B730BE-D289-6147-ABE6-2BFEC3A749AC}" name="Column10499"/>
    <tableColumn id="10518" xr3:uid="{06EFA2D1-BD7F-8649-A74F-D990C8301337}" name="Column10500"/>
    <tableColumn id="10519" xr3:uid="{868D81C6-715C-A644-B2FE-B478303B610D}" name="Column10501"/>
    <tableColumn id="10520" xr3:uid="{77E22E23-A2F0-F641-B7F0-0F079EBA592B}" name="Column10502"/>
    <tableColumn id="10521" xr3:uid="{9A0ED192-78EE-804A-B1FC-7CE2D60FB856}" name="Column10503"/>
    <tableColumn id="10522" xr3:uid="{FEFACDC0-9E82-C042-92E5-7E06A2999A2F}" name="Column10504"/>
    <tableColumn id="10523" xr3:uid="{E74A6AD0-B7B7-7D4C-AE93-0732766423DD}" name="Column10505"/>
    <tableColumn id="10524" xr3:uid="{EA94AFED-2575-8C40-A49A-AD163D972130}" name="Column10506"/>
    <tableColumn id="10525" xr3:uid="{EFC80514-0BF2-DE4C-8598-18B741962DA6}" name="Column10507"/>
    <tableColumn id="10526" xr3:uid="{0ADAE4FC-971D-4A42-A250-CD0793F240A8}" name="Column10508"/>
    <tableColumn id="10527" xr3:uid="{5D6FF3CD-1F4A-B44C-8938-E0BDEAC2927B}" name="Column10509"/>
    <tableColumn id="10528" xr3:uid="{F4901881-91D6-CD4F-8D22-DB9DB2EF129F}" name="Column10510"/>
    <tableColumn id="10529" xr3:uid="{A7B24FD3-4B3E-174A-AC65-B17B20265202}" name="Column10511"/>
    <tableColumn id="10530" xr3:uid="{D902008C-7349-794A-85B4-E7B056986F1D}" name="Column10512"/>
    <tableColumn id="10531" xr3:uid="{03A10D53-6ED6-FB47-92A9-B072A7D76515}" name="Column10513"/>
    <tableColumn id="10532" xr3:uid="{9BB227E5-B0D8-0A4D-81EB-49A4CF8ACFCF}" name="Column10514"/>
    <tableColumn id="10533" xr3:uid="{70D1BAAD-E3E6-534A-813F-08E407C690E1}" name="Column10515"/>
    <tableColumn id="10534" xr3:uid="{4A4E04D2-5A86-2248-979E-DF10D0DB91BD}" name="Column10516"/>
    <tableColumn id="10535" xr3:uid="{E0F086E8-2EEB-CB4F-BA70-87B3084D2782}" name="Column10517"/>
    <tableColumn id="10536" xr3:uid="{E59D65B9-F74E-A841-BE5B-29DE26C2B9D5}" name="Column10518"/>
    <tableColumn id="10537" xr3:uid="{1E4AFA85-B95C-0C42-A79F-7C784C4BBFA3}" name="Column10519"/>
    <tableColumn id="10538" xr3:uid="{0DAEA2C8-889C-1A43-BD7F-1A3050B3BFF5}" name="Column10520"/>
    <tableColumn id="10539" xr3:uid="{C6ECEB4D-D3CA-B347-B2E3-EA5C7D8FDBD4}" name="Column10521"/>
    <tableColumn id="10540" xr3:uid="{274DCDB6-138E-634A-8FE4-0C112E9E3D92}" name="Column10522"/>
    <tableColumn id="10541" xr3:uid="{4780D6C6-DA31-D34C-B829-D8053740D1F5}" name="Column10523"/>
    <tableColumn id="10542" xr3:uid="{41F3CC63-8879-8A4C-8762-7F017CB59591}" name="Column10524"/>
    <tableColumn id="10543" xr3:uid="{39EC7364-BD7B-D542-9B69-F3F27A1CB430}" name="Column10525"/>
    <tableColumn id="10544" xr3:uid="{75C3ACD0-7EF0-C747-B568-BD5569969039}" name="Column10526"/>
    <tableColumn id="10545" xr3:uid="{10FE7748-C50A-5D48-A5C2-6D0EC55EE9BA}" name="Column10527"/>
    <tableColumn id="10546" xr3:uid="{67FB8D6B-9EC2-4E4B-A944-4C3855DDBA8B}" name="Column10528"/>
    <tableColumn id="10547" xr3:uid="{F2BE4BE7-8E80-B244-9380-1A83CFF5AE4E}" name="Column10529"/>
    <tableColumn id="10548" xr3:uid="{B3F0F102-E996-0743-8747-E67D39172CE8}" name="Column10530"/>
    <tableColumn id="10549" xr3:uid="{3B791497-3C88-F74E-B166-FC5EE0956889}" name="Column10531"/>
    <tableColumn id="10550" xr3:uid="{273ABCC7-9B92-A44D-B6D1-AB461555717F}" name="Column10532"/>
    <tableColumn id="10551" xr3:uid="{23C711C5-DB0D-0643-A844-FD2E47896EE0}" name="Column10533"/>
    <tableColumn id="10552" xr3:uid="{80B95569-189E-1444-8926-078BB3ED693B}" name="Column10534"/>
    <tableColumn id="10553" xr3:uid="{1720D260-A6C6-8542-8AB2-701A7A3E0C9B}" name="Column10535"/>
    <tableColumn id="10554" xr3:uid="{706A43DC-0065-304F-BC40-F049A9BCFD0B}" name="Column10536"/>
    <tableColumn id="10555" xr3:uid="{84E623D0-F4FF-7848-B4DB-F3535097581A}" name="Column10537"/>
    <tableColumn id="10556" xr3:uid="{20752A76-E6E0-154B-936A-F2326E7E4E8D}" name="Column10538"/>
    <tableColumn id="10557" xr3:uid="{38E7D19C-B17B-9348-8AB2-709D23E481DB}" name="Column10539"/>
    <tableColumn id="10558" xr3:uid="{B023586A-271C-5048-82A2-1030CB75C808}" name="Column10540"/>
    <tableColumn id="10559" xr3:uid="{20A37A36-7A68-E44E-AE31-9277F622E6A9}" name="Column10541"/>
    <tableColumn id="10560" xr3:uid="{6CE3AF0A-3882-AE43-9D7A-0CCCDED407D9}" name="Column10542"/>
    <tableColumn id="10561" xr3:uid="{28832B51-4881-FE49-8A37-3B171FBA0FDC}" name="Column10543"/>
    <tableColumn id="10562" xr3:uid="{55CE6D2F-C853-2D43-8F29-E219746C81F0}" name="Column10544"/>
    <tableColumn id="10563" xr3:uid="{3FA27AFF-84A1-C14A-A86E-AC636482C98E}" name="Column10545"/>
    <tableColumn id="10564" xr3:uid="{E1A69716-B352-1740-876F-09F9C1DD5721}" name="Column10546"/>
    <tableColumn id="10565" xr3:uid="{1CFD757C-807F-CC49-AB52-61C459B95EF3}" name="Column10547"/>
    <tableColumn id="10566" xr3:uid="{C08E1F1C-7A97-B943-AA14-99E9CF6A89DC}" name="Column10548"/>
    <tableColumn id="10567" xr3:uid="{28D6AEC6-A97A-2546-96C7-FBE2DF44ED31}" name="Column10549"/>
    <tableColumn id="10568" xr3:uid="{469162A4-98B2-9948-A7AA-AFAD21161F69}" name="Column10550"/>
    <tableColumn id="10569" xr3:uid="{BAB4126C-4C12-0348-9161-935BBF7354C1}" name="Column10551"/>
    <tableColumn id="10570" xr3:uid="{E78E4184-2966-A04F-8677-E4309A141CCA}" name="Column10552"/>
    <tableColumn id="10571" xr3:uid="{220DC073-2391-2C4E-A5EF-7A0D86F1554D}" name="Column10553"/>
    <tableColumn id="10572" xr3:uid="{7A1530C8-0F56-434D-B207-ADEBAD2C939F}" name="Column10554"/>
    <tableColumn id="10573" xr3:uid="{A33958C7-22E3-2D40-841A-B9C3FB2F2192}" name="Column10555"/>
    <tableColumn id="10574" xr3:uid="{B0E2CEF6-B1C4-FD4D-B314-BDA6F88DB075}" name="Column10556"/>
    <tableColumn id="10575" xr3:uid="{A2515022-2AAE-034A-A225-E17B905E2D3E}" name="Column10557"/>
    <tableColumn id="10576" xr3:uid="{24B13C31-5B4F-0C46-912C-AA6BE3E7DDAE}" name="Column10558"/>
    <tableColumn id="10577" xr3:uid="{0291B180-CDE5-BA4C-9A8B-B927C804E7C2}" name="Column10559"/>
    <tableColumn id="10578" xr3:uid="{9A927E77-FC7A-2341-B40B-D5FFACE26704}" name="Column10560"/>
    <tableColumn id="10579" xr3:uid="{59A2A8E0-887F-C54B-B06D-5C3EB1DB541A}" name="Column10561"/>
    <tableColumn id="10580" xr3:uid="{531EE6B5-8657-F441-AC52-7C3E69C62642}" name="Column10562"/>
    <tableColumn id="10581" xr3:uid="{719C28D9-5289-6D4E-844C-11319EB02FBA}" name="Column10563"/>
    <tableColumn id="10582" xr3:uid="{63CB86FF-88E4-F449-BF1F-C6C6CD8140FD}" name="Column10564"/>
    <tableColumn id="10583" xr3:uid="{B8E6CA73-C595-0140-9B53-961FAD7A5F74}" name="Column10565"/>
    <tableColumn id="10584" xr3:uid="{F485B581-EF77-9646-BFE8-7E0C1B95714E}" name="Column10566"/>
    <tableColumn id="10585" xr3:uid="{ECC15FBE-339D-5E49-9DD5-19707C2E19D8}" name="Column10567"/>
    <tableColumn id="10586" xr3:uid="{B62EDA24-8C6D-BD47-8C54-5847C2A80202}" name="Column10568"/>
    <tableColumn id="10587" xr3:uid="{ABCB2F88-7964-1E40-900C-3365DDF26403}" name="Column10569"/>
    <tableColumn id="10588" xr3:uid="{9644AC5A-9CA3-814A-AAF4-3FEEE6BAA262}" name="Column10570"/>
    <tableColumn id="10589" xr3:uid="{B4569511-A895-C840-A59B-007959A8F2E2}" name="Column10571"/>
    <tableColumn id="10590" xr3:uid="{AB7608B4-C99B-6F49-8501-F8E79B62B1BA}" name="Column10572"/>
    <tableColumn id="10591" xr3:uid="{74AEDAB7-9C42-9344-BC1A-25FEC0FB4F5A}" name="Column10573"/>
    <tableColumn id="10592" xr3:uid="{2789B347-1606-BA4A-8A6F-CF2AC2966417}" name="Column10574"/>
    <tableColumn id="10593" xr3:uid="{DD1C9601-741C-FA4A-9E7B-5EF6D0F804C3}" name="Column10575"/>
    <tableColumn id="10594" xr3:uid="{24532742-FD83-CB40-BE9A-BF5786548B55}" name="Column10576"/>
    <tableColumn id="10595" xr3:uid="{FAFA3B7A-38E6-0D47-AEEC-31568B69AD11}" name="Column10577"/>
    <tableColumn id="10596" xr3:uid="{145CC5EA-D7EF-944A-A1E9-A43EA63302A8}" name="Column10578"/>
    <tableColumn id="10597" xr3:uid="{0CE6CFE3-E903-9B48-9D15-895110EC45CA}" name="Column10579"/>
    <tableColumn id="10598" xr3:uid="{6C186D55-DCF7-6649-898E-031BEC078126}" name="Column10580"/>
    <tableColumn id="10599" xr3:uid="{1F463D36-C270-7F4E-A492-EC3DA8B4D580}" name="Column10581"/>
    <tableColumn id="10600" xr3:uid="{D86BF849-3BC8-EC4C-9B9D-07B9333D281F}" name="Column10582"/>
    <tableColumn id="10601" xr3:uid="{67395532-E21C-EA41-85C4-A97CBD6118F1}" name="Column10583"/>
    <tableColumn id="10602" xr3:uid="{BA62DD75-51B0-504B-9DFE-B97E5AF78838}" name="Column10584"/>
    <tableColumn id="10603" xr3:uid="{BB1C19E2-F4CC-7045-A661-E381A8B574A6}" name="Column10585"/>
    <tableColumn id="10604" xr3:uid="{A1883E05-4269-EF42-9F35-0CEA81C29365}" name="Column10586"/>
    <tableColumn id="10605" xr3:uid="{330193CA-E459-AB4D-8839-2F4A4B81D9AE}" name="Column10587"/>
    <tableColumn id="10606" xr3:uid="{8A5F70B3-339E-CC4E-9D83-18B78F79BC5C}" name="Column10588"/>
    <tableColumn id="10607" xr3:uid="{A8B035DF-FE6C-AE4A-90B4-04823DDD36B4}" name="Column10589"/>
    <tableColumn id="10608" xr3:uid="{0F279191-AC1A-E543-883C-9D6940267056}" name="Column10590"/>
    <tableColumn id="10609" xr3:uid="{11A467B4-8611-2044-9D44-61D4B422541E}" name="Column10591"/>
    <tableColumn id="10610" xr3:uid="{15AAEC28-C6AE-2C47-B0E3-E934CF7F242D}" name="Column10592"/>
    <tableColumn id="10611" xr3:uid="{15B594BE-0D93-7549-A6A7-48A6321848F3}" name="Column10593"/>
    <tableColumn id="10612" xr3:uid="{8E79B5B3-34B7-574A-80C2-0AB34D0859EE}" name="Column10594"/>
    <tableColumn id="10613" xr3:uid="{E787E04A-848F-3245-9E11-9072B0915C96}" name="Column10595"/>
    <tableColumn id="10614" xr3:uid="{711E4831-2B0C-244D-B481-5C2F1C2205D1}" name="Column10596"/>
    <tableColumn id="10615" xr3:uid="{FC278873-6D1F-C548-8728-32DAB57EDDFF}" name="Column10597"/>
    <tableColumn id="10616" xr3:uid="{FE4C3C0D-DC50-EE43-84D8-72489585BAA1}" name="Column10598"/>
    <tableColumn id="10617" xr3:uid="{60EAA6C3-AA3A-1A4B-ACE0-2595E26CFE8B}" name="Column10599"/>
    <tableColumn id="10618" xr3:uid="{450BBEAC-2C6A-194E-BD80-1B8B6003D136}" name="Column10600"/>
    <tableColumn id="10619" xr3:uid="{4FA80EA8-E955-EB47-8E2B-BF74A78F2C60}" name="Column10601"/>
    <tableColumn id="10620" xr3:uid="{E231DFA2-5587-B74C-B3E7-2BF4EAEB83A1}" name="Column10602"/>
    <tableColumn id="10621" xr3:uid="{1E1A54F9-E89C-ED44-8FFE-7A4BEB07921B}" name="Column10603"/>
    <tableColumn id="10622" xr3:uid="{BE120A20-7C78-AA47-B136-47D8E05F7B41}" name="Column10604"/>
    <tableColumn id="10623" xr3:uid="{020716BF-29B7-674B-BD0D-4D8C9238C533}" name="Column10605"/>
    <tableColumn id="10624" xr3:uid="{7346A5F5-8213-E34B-A149-C9FFCE4A0D1B}" name="Column10606"/>
    <tableColumn id="10625" xr3:uid="{5B250FB2-0FA4-644D-89D9-078560DFB1A4}" name="Column10607"/>
    <tableColumn id="10626" xr3:uid="{FC3E7EAE-A550-174A-A04A-CB15EFE9E08D}" name="Column10608"/>
    <tableColumn id="10627" xr3:uid="{74641DAC-99D7-6B4A-AA7C-5BD06C25BF4F}" name="Column10609"/>
    <tableColumn id="10628" xr3:uid="{D94E12FB-CDAB-5440-ADBC-A7AE47753182}" name="Column10610"/>
    <tableColumn id="10629" xr3:uid="{E8859A71-A214-C740-A201-5F7B54D1C940}" name="Column10611"/>
    <tableColumn id="10630" xr3:uid="{F29EC6DB-3CA0-9F4D-AF4F-4E8B5E8833D3}" name="Column10612"/>
    <tableColumn id="10631" xr3:uid="{D2F33CC2-125B-E94C-BAA1-1685788C58DD}" name="Column10613"/>
    <tableColumn id="10632" xr3:uid="{41B6FB1C-EE32-5844-8C8B-753246276A15}" name="Column10614"/>
    <tableColumn id="10633" xr3:uid="{9D388AFF-9F5C-8E4A-8809-37A12411D590}" name="Column10615"/>
    <tableColumn id="10634" xr3:uid="{2F5D0BB8-24E7-8643-A811-304811D196BF}" name="Column10616"/>
    <tableColumn id="10635" xr3:uid="{AE93CF75-380D-3A43-98B1-8BF4454DE5A7}" name="Column10617"/>
    <tableColumn id="10636" xr3:uid="{BDDBF889-EA85-5A43-AAF7-46CC50E810A0}" name="Column10618"/>
    <tableColumn id="10637" xr3:uid="{4FDD9EF2-27CF-CB41-9C02-5C85629DCE9B}" name="Column10619"/>
    <tableColumn id="10638" xr3:uid="{08E9DB9B-AACB-6F43-98AA-30FCDDB43477}" name="Column10620"/>
    <tableColumn id="10639" xr3:uid="{42E2DF8E-7245-984C-A828-2D916BB7E669}" name="Column10621"/>
    <tableColumn id="10640" xr3:uid="{83E2DC88-84E3-4241-8EC5-AEB9613B5CF2}" name="Column10622"/>
    <tableColumn id="10641" xr3:uid="{5EDE68EC-AE45-7842-9D4E-FF4D6AC7AE08}" name="Column10623"/>
    <tableColumn id="10642" xr3:uid="{8AF9838A-296F-A64E-AF3F-5D76D93D111C}" name="Column10624"/>
    <tableColumn id="10643" xr3:uid="{8C90602D-DD32-B649-9A24-23A2A0BE3A7E}" name="Column10625"/>
    <tableColumn id="10644" xr3:uid="{60921A54-90FF-BF46-A03E-1BF695642B6C}" name="Column10626"/>
    <tableColumn id="10645" xr3:uid="{8A992A6E-0DD3-8747-849C-FA59DCFCBD0F}" name="Column10627"/>
    <tableColumn id="10646" xr3:uid="{857C9657-22BF-B94E-8DD6-F88A075B4F9A}" name="Column10628"/>
    <tableColumn id="10647" xr3:uid="{7C88946C-D7AD-5541-B9A4-23EAAFA49077}" name="Column10629"/>
    <tableColumn id="10648" xr3:uid="{E63C7617-C3F8-A24B-BF05-979DA61F637D}" name="Column10630"/>
    <tableColumn id="10649" xr3:uid="{E0D7A1C0-D81F-7A4F-A9BE-70EAEEDB24FD}" name="Column10631"/>
    <tableColumn id="10650" xr3:uid="{5B567489-E15F-E64E-9DAB-BD91319581C8}" name="Column10632"/>
    <tableColumn id="10651" xr3:uid="{3B2FEA6D-B5DD-9E42-BCCF-E0BE7CFEC005}" name="Column10633"/>
    <tableColumn id="10652" xr3:uid="{68A4AC79-1177-7247-8103-84EB0DFF746E}" name="Column10634"/>
    <tableColumn id="10653" xr3:uid="{17920DA3-9D40-184B-A005-03C9DCAA44D9}" name="Column10635"/>
    <tableColumn id="10654" xr3:uid="{A383A222-D038-4E41-9ED4-82158173C075}" name="Column10636"/>
    <tableColumn id="10655" xr3:uid="{BF0FBA8F-30FA-F946-86AA-48CBA5F0C7E3}" name="Column10637"/>
    <tableColumn id="10656" xr3:uid="{465D3D95-3534-3A44-A80E-14B202EF3CF2}" name="Column10638"/>
    <tableColumn id="10657" xr3:uid="{2CFB0372-0CAA-7D44-A472-071611D81368}" name="Column10639"/>
    <tableColumn id="10658" xr3:uid="{85C978E5-ACF0-8F4C-893E-382B3ECFB830}" name="Column10640"/>
    <tableColumn id="10659" xr3:uid="{3C5D6BCD-E1E9-C140-B9EE-F8784A865864}" name="Column10641"/>
    <tableColumn id="10660" xr3:uid="{60D31FE1-95A1-1D4A-8CE4-BA001C023E59}" name="Column10642"/>
    <tableColumn id="10661" xr3:uid="{7FF4EBF1-9BE0-1C4E-82A5-F097A8768931}" name="Column10643"/>
    <tableColumn id="10662" xr3:uid="{7AE7D8C0-E776-4748-83FB-0C52BC485EA1}" name="Column10644"/>
    <tableColumn id="10663" xr3:uid="{E12B6902-0432-EA4D-BFFF-1AFA18FC6ED6}" name="Column10645"/>
    <tableColumn id="10664" xr3:uid="{4AE1A9DE-3E48-C244-AE2D-BB98514D2CDE}" name="Column10646"/>
    <tableColumn id="10665" xr3:uid="{11986301-009D-564B-A285-59FFB63F1D0B}" name="Column10647"/>
    <tableColumn id="10666" xr3:uid="{9ED9C724-2ADA-3F4A-88FF-C287725F76BE}" name="Column10648"/>
    <tableColumn id="10667" xr3:uid="{59BF74C7-9060-FF49-818E-A12EA2BA6C18}" name="Column10649"/>
    <tableColumn id="10668" xr3:uid="{58A063C5-BD59-B841-A10E-674C21AB2A0A}" name="Column10650"/>
    <tableColumn id="10669" xr3:uid="{3BABEAD4-3239-B74B-89EB-B3328131BFED}" name="Column10651"/>
    <tableColumn id="10670" xr3:uid="{39F76103-FC89-6B44-8AEE-AFE8D4719F77}" name="Column10652"/>
    <tableColumn id="10671" xr3:uid="{9CEFE1D6-8828-3C43-9ADF-EAC6580C8BF0}" name="Column10653"/>
    <tableColumn id="10672" xr3:uid="{8342E156-6246-A447-822D-9BD6333F158D}" name="Column10654"/>
    <tableColumn id="10673" xr3:uid="{6118C45E-CB04-D947-A3F0-12AB538D1BAD}" name="Column10655"/>
    <tableColumn id="10674" xr3:uid="{6E62A9A2-1F9F-1949-A92A-D857F92A99F4}" name="Column10656"/>
    <tableColumn id="10675" xr3:uid="{719CCAA7-3B36-F844-AA93-F9463EE49365}" name="Column10657"/>
    <tableColumn id="10676" xr3:uid="{8A9ADE03-2280-6B47-A378-C6F106D743F9}" name="Column10658"/>
    <tableColumn id="10677" xr3:uid="{60381C26-363C-2441-B9E5-1AA45E292817}" name="Column10659"/>
    <tableColumn id="10678" xr3:uid="{2C6F3EF7-2F74-E74D-9714-E6B13E9E2D5C}" name="Column10660"/>
    <tableColumn id="10679" xr3:uid="{6E9FDB5C-98DF-C740-A72C-C0ACE5A5E49C}" name="Column10661"/>
    <tableColumn id="10680" xr3:uid="{CF618286-7ABC-2349-80CC-6D454B503BCC}" name="Column10662"/>
    <tableColumn id="10681" xr3:uid="{78AEFF75-729B-964D-946E-8170BD357C4E}" name="Column10663"/>
    <tableColumn id="10682" xr3:uid="{86AF24BE-EB8D-314D-8FDA-1B634AF8EC82}" name="Column10664"/>
    <tableColumn id="10683" xr3:uid="{BB2D87EB-5043-8E42-8FCF-45708E244BF2}" name="Column10665"/>
    <tableColumn id="10684" xr3:uid="{486C8EE0-646C-6240-BF61-AFC7C7924BF1}" name="Column10666"/>
    <tableColumn id="10685" xr3:uid="{15EB0A75-86F2-3541-B005-5217568DBBAC}" name="Column10667"/>
    <tableColumn id="10686" xr3:uid="{FF5992BE-E212-2844-8955-32A9A3808A78}" name="Column10668"/>
    <tableColumn id="10687" xr3:uid="{2A67EE29-607F-934E-BDB9-44D470D3D8CA}" name="Column10669"/>
    <tableColumn id="10688" xr3:uid="{A5C7B2CA-53CC-904B-9ADC-A5D231094A0B}" name="Column10670"/>
    <tableColumn id="10689" xr3:uid="{1BD0BEBC-FA71-684E-915B-69EC7AC0EECC}" name="Column10671"/>
    <tableColumn id="10690" xr3:uid="{32862B65-3F24-4A4E-A7D8-6B66EFC33A28}" name="Column10672"/>
    <tableColumn id="10691" xr3:uid="{4F8A11BE-6535-6648-8405-40086E176E05}" name="Column10673"/>
    <tableColumn id="10692" xr3:uid="{7F8F03FB-F754-384B-A433-6654C41C39E8}" name="Column10674"/>
    <tableColumn id="10693" xr3:uid="{FEB050E9-9622-F745-90BA-7D033876A3C0}" name="Column10675"/>
    <tableColumn id="10694" xr3:uid="{654C05D4-E7A8-1B4C-9F04-4D61A6C53EAF}" name="Column10676"/>
    <tableColumn id="10695" xr3:uid="{2480CC41-0073-C744-9C16-23CBE1EB1ED8}" name="Column10677"/>
    <tableColumn id="10696" xr3:uid="{F9C91232-875E-564F-9F4F-98B54FCA7E36}" name="Column10678"/>
    <tableColumn id="10697" xr3:uid="{8E4B4140-B946-5F46-86A1-2466D8CCDD88}" name="Column10679"/>
    <tableColumn id="10698" xr3:uid="{E5775C53-C5CB-6341-94CE-4E3735ACF7FB}" name="Column10680"/>
    <tableColumn id="10699" xr3:uid="{E843B916-3B5A-E344-8107-6FAAB9F95BA1}" name="Column10681"/>
    <tableColumn id="10700" xr3:uid="{64C8CACE-8B66-D243-9C0F-FD44D5E7EA4C}" name="Column10682"/>
    <tableColumn id="10701" xr3:uid="{C796925D-107A-F34C-9E0F-B4B749721E7E}" name="Column10683"/>
    <tableColumn id="10702" xr3:uid="{94A419CE-522E-774A-8C28-D7830FCA6955}" name="Column10684"/>
    <tableColumn id="10703" xr3:uid="{1D60B52A-3E8C-2A48-8CB4-0934C08E4B47}" name="Column10685"/>
    <tableColumn id="10704" xr3:uid="{90FE8BEA-F403-BF43-A8D2-70615F944802}" name="Column10686"/>
    <tableColumn id="10705" xr3:uid="{DE34FB2A-80AE-C747-B7C2-C07006652169}" name="Column10687"/>
    <tableColumn id="10706" xr3:uid="{4073551D-166F-8447-ACC3-604CEBA08E82}" name="Column10688"/>
    <tableColumn id="10707" xr3:uid="{F0688EA7-CD35-3A43-B43B-E252720D7A74}" name="Column10689"/>
    <tableColumn id="10708" xr3:uid="{D5053242-758D-8F49-A85B-AEEDFACA6148}" name="Column10690"/>
    <tableColumn id="10709" xr3:uid="{3589967C-22F0-A049-B3D4-C3FF4CD526D5}" name="Column10691"/>
    <tableColumn id="10710" xr3:uid="{F5FE8A13-A65C-3D4E-B57F-558860C4DE69}" name="Column10692"/>
    <tableColumn id="10711" xr3:uid="{2C760911-DE48-9E4B-9154-EA844876FBA5}" name="Column10693"/>
    <tableColumn id="10712" xr3:uid="{DDB22D74-53A0-BC48-8C69-AA2B07D54C8D}" name="Column10694"/>
    <tableColumn id="10713" xr3:uid="{600699DC-0DCF-454E-9A29-2AAFCEA24BB4}" name="Column10695"/>
    <tableColumn id="10714" xr3:uid="{D4160605-A854-7E49-899B-408FA3ECC17E}" name="Column10696"/>
    <tableColumn id="10715" xr3:uid="{27DCE1EB-E362-5F43-BE6E-7D192C22E8BB}" name="Column10697"/>
    <tableColumn id="10716" xr3:uid="{B0646A24-64CA-A842-8E0E-58E6D99C7C20}" name="Column10698"/>
    <tableColumn id="10717" xr3:uid="{D83F2175-F5ED-2844-ACB8-926DCD8F6D59}" name="Column10699"/>
    <tableColumn id="10718" xr3:uid="{1958C3A6-50DC-BA42-AE85-ECB69EEA77CE}" name="Column10700"/>
    <tableColumn id="10719" xr3:uid="{CF0AD578-AB3C-064B-971E-64C586A9D660}" name="Column10701"/>
    <tableColumn id="10720" xr3:uid="{5C6A42CD-F0E2-D343-83DC-0C4A3EFBCCA5}" name="Column10702"/>
    <tableColumn id="10721" xr3:uid="{ECB0C04F-4171-5149-AAE5-329D8F85CEBF}" name="Column10703"/>
    <tableColumn id="10722" xr3:uid="{5F5F7F50-9DB9-7143-BEE1-EDE1530403F0}" name="Column10704"/>
    <tableColumn id="10723" xr3:uid="{B5534DD0-31FD-9848-ACB2-91C4029645B4}" name="Column10705"/>
    <tableColumn id="10724" xr3:uid="{27075796-A6C7-C243-9CA6-570AB3A50A67}" name="Column10706"/>
    <tableColumn id="10725" xr3:uid="{69B0C88E-99DA-D64D-893D-C5DF1AD856A1}" name="Column10707"/>
    <tableColumn id="10726" xr3:uid="{BBDC6C0A-8A1B-3D46-8EB4-789C57925C22}" name="Column10708"/>
    <tableColumn id="10727" xr3:uid="{A406466C-82CD-544A-8CB2-DFB33B4EDAF6}" name="Column10709"/>
    <tableColumn id="10728" xr3:uid="{551854B5-AE2A-E247-B703-251D6837E646}" name="Column10710"/>
    <tableColumn id="10729" xr3:uid="{6C92FEC2-203E-024D-B760-69A3F8304C7F}" name="Column10711"/>
    <tableColumn id="10730" xr3:uid="{E1261E39-7352-C94F-BAC4-26E29C7790B9}" name="Column10712"/>
    <tableColumn id="10731" xr3:uid="{818529C4-EBA8-8E4C-B488-2BF7DB22D445}" name="Column10713"/>
    <tableColumn id="10732" xr3:uid="{5B3497DA-FD03-9E47-A248-99FB96EF07BA}" name="Column10714"/>
    <tableColumn id="10733" xr3:uid="{BA26D20C-1DE1-A54C-9531-58768EE88AD8}" name="Column10715"/>
    <tableColumn id="10734" xr3:uid="{B67469DE-065C-6344-A246-4E784C725A6E}" name="Column10716"/>
    <tableColumn id="10735" xr3:uid="{C7B22551-04FD-ED45-A31B-6D78494A6148}" name="Column10717"/>
    <tableColumn id="10736" xr3:uid="{A1EA300B-781F-674F-B934-A03457F6742B}" name="Column10718"/>
    <tableColumn id="10737" xr3:uid="{B403DEEA-65C7-304D-9D67-79F6C0F6A964}" name="Column10719"/>
    <tableColumn id="10738" xr3:uid="{7F473656-A294-D84F-809B-977C97DA1F3A}" name="Column10720"/>
    <tableColumn id="10739" xr3:uid="{D12A4C5C-3B27-FF40-8651-DFC06B2C1A55}" name="Column10721"/>
    <tableColumn id="10740" xr3:uid="{D5F7A670-8840-F242-A5F2-A81C3C8139FB}" name="Column10722"/>
    <tableColumn id="10741" xr3:uid="{B7C2FC66-E702-554D-BA74-796914CA4D83}" name="Column10723"/>
    <tableColumn id="10742" xr3:uid="{F72D7CAE-DE2C-4E41-A288-1C75AD7719E7}" name="Column10724"/>
    <tableColumn id="10743" xr3:uid="{301C8DAC-5C84-F14B-968C-70003EFD3A1B}" name="Column10725"/>
    <tableColumn id="10744" xr3:uid="{AAB21DFE-8924-884F-849B-A1CF31E81C91}" name="Column10726"/>
    <tableColumn id="10745" xr3:uid="{D05B5478-DB30-6142-9A21-162C3E465095}" name="Column10727"/>
    <tableColumn id="10746" xr3:uid="{A2B144E9-97A8-BF46-9225-12DC5436BCEB}" name="Column10728"/>
    <tableColumn id="10747" xr3:uid="{EA041636-51E2-2D43-9A55-BC6124D5E9AD}" name="Column10729"/>
    <tableColumn id="10748" xr3:uid="{A59DF5C7-59CD-E34E-829D-785CCC27F4F1}" name="Column10730"/>
    <tableColumn id="10749" xr3:uid="{EF69C381-1DD6-D34A-8FA2-DDE40B0E0DE7}" name="Column10731"/>
    <tableColumn id="10750" xr3:uid="{6BDE699A-1703-1A46-8560-1C76C4DC533A}" name="Column10732"/>
    <tableColumn id="10751" xr3:uid="{3D8E92B4-5B96-8646-A2C5-8E1DE69B8F51}" name="Column10733"/>
    <tableColumn id="10752" xr3:uid="{124920F2-DB40-4741-A082-CDC86BD6EB36}" name="Column10734"/>
    <tableColumn id="10753" xr3:uid="{8E00CD51-356C-1D49-B302-B2565DC0059D}" name="Column10735"/>
    <tableColumn id="10754" xr3:uid="{700ACD35-A103-CD43-9B3D-4CEEE8E72B21}" name="Column10736"/>
    <tableColumn id="10755" xr3:uid="{EC9BA80D-6924-404B-B4EE-BC24D213F42E}" name="Column10737"/>
    <tableColumn id="10756" xr3:uid="{CE0CB91B-D5A1-C249-AB69-B2B8D4C39CCD}" name="Column10738"/>
    <tableColumn id="10757" xr3:uid="{FF02E04B-9015-094D-BC05-BAFA1251F745}" name="Column10739"/>
    <tableColumn id="10758" xr3:uid="{2BCCF2AA-8A9E-234A-8124-66903C875260}" name="Column10740"/>
    <tableColumn id="10759" xr3:uid="{79891283-8AE6-C940-A299-BC24572A1658}" name="Column10741"/>
    <tableColumn id="10760" xr3:uid="{E23AE387-04E9-8E44-ADC6-26C0ACC02AC2}" name="Column10742"/>
    <tableColumn id="10761" xr3:uid="{64AAC979-D1B5-CC41-9ACD-83464ACD322C}" name="Column10743"/>
    <tableColumn id="10762" xr3:uid="{0EBD96B5-16CB-DB47-A7B7-D916C191764B}" name="Column10744"/>
    <tableColumn id="10763" xr3:uid="{C69DE985-6478-E042-9F78-8E482F1D875B}" name="Column10745"/>
    <tableColumn id="10764" xr3:uid="{38F86F5E-5BEA-064A-B99E-7B44E1F0E7AF}" name="Column10746"/>
    <tableColumn id="10765" xr3:uid="{FC68789F-05EC-7241-82AA-B64B6891FD6D}" name="Column10747"/>
    <tableColumn id="10766" xr3:uid="{6C0CEC7B-F359-8B45-B08C-20D7E0749C19}" name="Column10748"/>
    <tableColumn id="10767" xr3:uid="{B7760EBD-9FD6-334B-A6F4-2404C8E26F06}" name="Column10749"/>
    <tableColumn id="10768" xr3:uid="{1C91FA7A-CCB1-0741-AE32-0C5904E9B687}" name="Column10750"/>
    <tableColumn id="10769" xr3:uid="{137E1B80-C70B-6648-8EE5-DF78EFA6A22E}" name="Column10751"/>
    <tableColumn id="10770" xr3:uid="{C9B8BCCF-7150-AC43-9489-D721149FB306}" name="Column10752"/>
    <tableColumn id="10771" xr3:uid="{ADAC70CC-9BBE-6944-8206-D71FE68BF802}" name="Column10753"/>
    <tableColumn id="10772" xr3:uid="{EF8BF63A-9D54-5E46-95FA-E746AC086049}" name="Column10754"/>
    <tableColumn id="10773" xr3:uid="{D93E024B-BE61-3845-9647-43794683B3D8}" name="Column10755"/>
    <tableColumn id="10774" xr3:uid="{D23E6C8B-BCF1-2A4D-AB2B-E0B9097CF411}" name="Column10756"/>
    <tableColumn id="10775" xr3:uid="{476101DB-A10D-C94A-BA4E-8EEE221C2485}" name="Column10757"/>
    <tableColumn id="10776" xr3:uid="{A82F6D47-6E83-D945-AC18-5F0000636E43}" name="Column10758"/>
    <tableColumn id="10777" xr3:uid="{657FBACD-125F-7B43-9909-199AC8FB33FC}" name="Column10759"/>
    <tableColumn id="10778" xr3:uid="{A402DCDB-CFA8-5E44-A103-62FD6CBE8387}" name="Column10760"/>
    <tableColumn id="10779" xr3:uid="{AA3CC0D2-24F2-9643-9C60-EABB2E4AC59A}" name="Column10761"/>
    <tableColumn id="10780" xr3:uid="{BC5870B1-208A-E14F-865E-31555D956796}" name="Column10762"/>
    <tableColumn id="10781" xr3:uid="{A53F14EC-C4E5-2843-8835-627885109E82}" name="Column10763"/>
    <tableColumn id="10782" xr3:uid="{301F73E4-EA7D-BF48-8D75-FCBF3473DC75}" name="Column10764"/>
    <tableColumn id="10783" xr3:uid="{1666F713-8F5D-A649-B92A-2330B5BEEC36}" name="Column10765"/>
    <tableColumn id="10784" xr3:uid="{4901998C-569B-6146-9DF8-0345A90BDE78}" name="Column10766"/>
    <tableColumn id="10785" xr3:uid="{7172ADED-ABF0-B444-94A2-56156FBF8E32}" name="Column10767"/>
    <tableColumn id="10786" xr3:uid="{B699F3C9-A791-944F-8136-950BE0EE8F56}" name="Column10768"/>
    <tableColumn id="10787" xr3:uid="{88BF37F3-F102-CF46-B0F9-611402BB00ED}" name="Column10769"/>
    <tableColumn id="10788" xr3:uid="{CBF115EA-0734-174F-8A8B-FE0100C89909}" name="Column10770"/>
    <tableColumn id="10789" xr3:uid="{BB5F8608-73AD-A140-BE0A-05738BA116D3}" name="Column10771"/>
    <tableColumn id="10790" xr3:uid="{763E67E4-289D-5648-86F2-B6A7D28A7845}" name="Column10772"/>
    <tableColumn id="10791" xr3:uid="{6133D49C-9105-2548-B795-6DE3EA6E17D1}" name="Column10773"/>
    <tableColumn id="10792" xr3:uid="{EAC95024-5D23-774E-BF30-1EB580F36CE6}" name="Column10774"/>
    <tableColumn id="10793" xr3:uid="{2FC20239-0549-7743-A865-F3372ED03F79}" name="Column10775"/>
    <tableColumn id="10794" xr3:uid="{EFDE0156-0D33-B342-87F5-77A4FEF863E5}" name="Column10776"/>
    <tableColumn id="10795" xr3:uid="{FC3DADA6-D304-A94D-8479-D4FD702C2036}" name="Column10777"/>
    <tableColumn id="10796" xr3:uid="{2A10312F-55C5-9344-BB85-081791AFCFFE}" name="Column10778"/>
    <tableColumn id="10797" xr3:uid="{5193293D-ADF8-3D4C-BA5C-94C4E2B7FD6F}" name="Column10779"/>
    <tableColumn id="10798" xr3:uid="{FF74B798-89B4-E343-9E24-CB264C9D0BBC}" name="Column10780"/>
    <tableColumn id="10799" xr3:uid="{9131610B-063A-994D-A2CD-C9426B6E88C4}" name="Column10781"/>
    <tableColumn id="10800" xr3:uid="{9887AFC2-FA6F-F24B-99E9-0BFA23F5E0A3}" name="Column10782"/>
    <tableColumn id="10801" xr3:uid="{12CDCC46-7A4D-224B-9735-DAA0C2416562}" name="Column10783"/>
    <tableColumn id="10802" xr3:uid="{0625BD11-BB22-8144-B3EC-369C811C936B}" name="Column10784"/>
    <tableColumn id="10803" xr3:uid="{9BC8D6D5-275F-C246-9533-F350A3E546AB}" name="Column10785"/>
    <tableColumn id="10804" xr3:uid="{27246B23-A94C-D647-B2E0-526D25929304}" name="Column10786"/>
    <tableColumn id="10805" xr3:uid="{72723DC3-C7CD-0642-A931-7899B8BE2496}" name="Column10787"/>
    <tableColumn id="10806" xr3:uid="{C325C42A-1D35-384A-A89B-A78E90BA1C73}" name="Column10788"/>
    <tableColumn id="10807" xr3:uid="{719DDB63-2721-3142-8011-1FD3EC38C286}" name="Column10789"/>
    <tableColumn id="10808" xr3:uid="{5C093D70-F6F9-FA43-8CAF-7D7ECAD1DC00}" name="Column10790"/>
    <tableColumn id="10809" xr3:uid="{D0C4B10E-5295-B545-B17F-16E82385E350}" name="Column10791"/>
    <tableColumn id="10810" xr3:uid="{BA8C40F7-1D40-1646-9989-2C67EA6660FB}" name="Column10792"/>
    <tableColumn id="10811" xr3:uid="{E7A3F30E-A861-9A4A-8A05-C91D014281DF}" name="Column10793"/>
    <tableColumn id="10812" xr3:uid="{43EA1D3B-0007-1743-9A65-D1DF8563FDE5}" name="Column10794"/>
    <tableColumn id="10813" xr3:uid="{C422BA9B-F5D6-A747-A32C-1CF1F10037AA}" name="Column10795"/>
    <tableColumn id="10814" xr3:uid="{2AEAE8DC-CF23-EC40-B807-3B44627A7814}" name="Column10796"/>
    <tableColumn id="10815" xr3:uid="{0498628F-A04A-A444-89AB-03D7FC8B92D6}" name="Column10797"/>
    <tableColumn id="10816" xr3:uid="{5C9EF132-1B4D-B249-BBAC-AE1D04F916DB}" name="Column10798"/>
    <tableColumn id="10817" xr3:uid="{AA108A69-5A40-EE42-A8FF-2268341B4A9E}" name="Column10799"/>
    <tableColumn id="10818" xr3:uid="{5A891BF7-0988-3B4E-92F4-698C12F3DDCE}" name="Column10800"/>
    <tableColumn id="10819" xr3:uid="{DCE2377A-D41A-4B44-A8AC-CEECF928BD6C}" name="Column10801"/>
    <tableColumn id="10820" xr3:uid="{63CE897A-C3E4-0B4B-ADA4-45659D9B14FD}" name="Column10802"/>
    <tableColumn id="10821" xr3:uid="{C897D170-AD14-CE4B-8300-78CB5CEEB9C4}" name="Column10803"/>
    <tableColumn id="10822" xr3:uid="{F4303A4E-A353-9D42-B7CF-92EAF7CB292D}" name="Column10804"/>
    <tableColumn id="10823" xr3:uid="{5BF14BEE-407E-2E4A-A1C0-0A1F79C8C48B}" name="Column10805"/>
    <tableColumn id="10824" xr3:uid="{AF965B81-90AB-564F-B316-EDB47FE3FB13}" name="Column10806"/>
    <tableColumn id="10825" xr3:uid="{C23DA7A6-40F3-F243-B1F4-9F5A241364B3}" name="Column10807"/>
    <tableColumn id="10826" xr3:uid="{A4EE68A8-1D18-2E41-9EFE-14C49D7FCA24}" name="Column10808"/>
    <tableColumn id="10827" xr3:uid="{68164AB9-BD97-CD47-9F07-B41196D9FC52}" name="Column10809"/>
    <tableColumn id="10828" xr3:uid="{DE4A7766-249A-264D-ABC2-DC7A0DE87107}" name="Column10810"/>
    <tableColumn id="10829" xr3:uid="{ED11F0CD-20A6-1A45-A34B-A808C6C8D91A}" name="Column10811"/>
    <tableColumn id="10830" xr3:uid="{26471469-6E7C-6D4C-AA21-9CBFCEBFBAD3}" name="Column10812"/>
    <tableColumn id="10831" xr3:uid="{966EE88E-69B3-B14D-8B3D-9413A45CA71A}" name="Column10813"/>
    <tableColumn id="10832" xr3:uid="{C41B4712-4601-7F40-84DB-61F19E4D545B}" name="Column10814"/>
    <tableColumn id="10833" xr3:uid="{653DE577-D2FE-E440-B5DA-C5C33537D29F}" name="Column10815"/>
    <tableColumn id="10834" xr3:uid="{8AA29DF9-8CB6-F14F-8C6A-62537767580E}" name="Column10816"/>
    <tableColumn id="10835" xr3:uid="{B11AACB5-6E35-6745-BD5E-2019AEA597A3}" name="Column10817"/>
    <tableColumn id="10836" xr3:uid="{BAAA9233-543F-0B40-9FED-245FB72D3937}" name="Column10818"/>
    <tableColumn id="10837" xr3:uid="{6C14C96A-0A4E-F947-985B-0B90B11E3C8C}" name="Column10819"/>
    <tableColumn id="10838" xr3:uid="{26C6CC31-3C86-8E4F-9F71-671CBEB9D672}" name="Column10820"/>
    <tableColumn id="10839" xr3:uid="{80E8DD4B-9F5F-2642-B14A-04B072B579C1}" name="Column10821"/>
    <tableColumn id="10840" xr3:uid="{EEC8F75F-0371-484A-8300-06001937FF73}" name="Column10822"/>
    <tableColumn id="10841" xr3:uid="{A3C4D5F8-609C-C644-B142-FD95EBFB5C21}" name="Column10823"/>
    <tableColumn id="10842" xr3:uid="{9BA74E51-F74D-A74E-A010-FCAD167D2AFA}" name="Column10824"/>
    <tableColumn id="10843" xr3:uid="{4E4D520D-54AC-7E45-AE40-FAB45CE2A34D}" name="Column10825"/>
    <tableColumn id="10844" xr3:uid="{E9DBAA50-B7BE-4C4C-881C-3CBAE26F3582}" name="Column10826"/>
    <tableColumn id="10845" xr3:uid="{0A28947C-1BF3-2244-962C-8461FE6C3488}" name="Column10827"/>
    <tableColumn id="10846" xr3:uid="{45CBAF72-74E6-E642-8DE6-B040DE50D20B}" name="Column10828"/>
    <tableColumn id="10847" xr3:uid="{C8DA46A5-4693-7C40-B87A-0A0286154E00}" name="Column10829"/>
    <tableColumn id="10848" xr3:uid="{81724BF3-5486-2442-A8A2-09A0D4F3B69A}" name="Column10830"/>
    <tableColumn id="10849" xr3:uid="{9E0FA2E6-E2DD-3D46-B5BE-E8BA94ECB1E8}" name="Column10831"/>
    <tableColumn id="10850" xr3:uid="{24558D7B-67F6-4F4A-B076-59EAA1676BCB}" name="Column10832"/>
    <tableColumn id="10851" xr3:uid="{48552156-FFFE-4042-94B4-B1ED8D409C4C}" name="Column10833"/>
    <tableColumn id="10852" xr3:uid="{452015B0-DC8B-E644-8E08-8DA72F9739E8}" name="Column10834"/>
    <tableColumn id="10853" xr3:uid="{8FFC9FED-9E64-F045-BA5D-822112FDCD6F}" name="Column10835"/>
    <tableColumn id="10854" xr3:uid="{FEB27750-1C8B-3748-8BF7-C29170F60B19}" name="Column10836"/>
    <tableColumn id="10855" xr3:uid="{1EF2C81E-3FE6-A64A-8733-807E93C1F076}" name="Column10837"/>
    <tableColumn id="10856" xr3:uid="{04F22439-ED8E-6046-988A-58808677E955}" name="Column10838"/>
    <tableColumn id="10857" xr3:uid="{BC81E99C-7FC2-8A4D-B0B4-CD7884305CDB}" name="Column10839"/>
    <tableColumn id="10858" xr3:uid="{A950393A-C468-134B-9487-C60725140EA3}" name="Column10840"/>
    <tableColumn id="10859" xr3:uid="{A6B02E02-90BE-234A-A1A1-5A2F0F173D26}" name="Column10841"/>
    <tableColumn id="10860" xr3:uid="{60556308-944E-1048-8613-A7B26AFACDF1}" name="Column10842"/>
    <tableColumn id="10861" xr3:uid="{5C1BEA81-9E1B-DC40-A64C-5F11846FD8DC}" name="Column10843"/>
    <tableColumn id="10862" xr3:uid="{9EF0A585-D04A-6141-A1CD-C7EF736A3F2C}" name="Column10844"/>
    <tableColumn id="10863" xr3:uid="{FCE42BFF-5747-5C43-9A15-5E3982BB6349}" name="Column10845"/>
    <tableColumn id="10864" xr3:uid="{66DFB4AE-3BA9-5946-A77E-DF82EEFAF793}" name="Column10846"/>
    <tableColumn id="10865" xr3:uid="{51CFA197-ABA3-D243-8AD1-60E0FADDDCB0}" name="Column10847"/>
    <tableColumn id="10866" xr3:uid="{24F634D5-1883-6B45-A526-95778CD7C032}" name="Column10848"/>
    <tableColumn id="10867" xr3:uid="{389516A7-F7E3-F545-BBD0-0E4E70330468}" name="Column10849"/>
    <tableColumn id="10868" xr3:uid="{7104CB09-351D-B844-B259-72365806BA09}" name="Column10850"/>
    <tableColumn id="10869" xr3:uid="{A7C4859E-8B9B-B64B-8F2F-BD81C7AFE6B9}" name="Column10851"/>
    <tableColumn id="10870" xr3:uid="{A629B87B-444E-9843-82ED-D55E4B7EBAC4}" name="Column10852"/>
    <tableColumn id="10871" xr3:uid="{982B3D17-73CF-464D-8B3F-31F016BB8349}" name="Column10853"/>
    <tableColumn id="10872" xr3:uid="{E7B69178-8D1B-F742-90A0-3E9ACF1716B5}" name="Column10854"/>
    <tableColumn id="10873" xr3:uid="{3AC99C2F-113E-E947-953C-F3E21867D7EF}" name="Column10855"/>
    <tableColumn id="10874" xr3:uid="{FF70B7D9-A7E2-1445-B201-1B753FF89F36}" name="Column10856"/>
    <tableColumn id="10875" xr3:uid="{2A703AC9-E3C3-D942-B8C8-2E901350941D}" name="Column10857"/>
    <tableColumn id="10876" xr3:uid="{9AF79A2B-9046-CA4C-A7D6-D2981DADD840}" name="Column10858"/>
    <tableColumn id="10877" xr3:uid="{16703F1E-32F3-274A-AA2F-29548C171568}" name="Column10859"/>
    <tableColumn id="10878" xr3:uid="{5DBBA616-1016-5B48-B77F-74228AB1FEC6}" name="Column10860"/>
    <tableColumn id="10879" xr3:uid="{FEA5C690-1411-A74D-9C8D-2387AF7A3D49}" name="Column10861"/>
    <tableColumn id="10880" xr3:uid="{F7E22E89-2A14-1B4C-9025-3E6064D8E97A}" name="Column10862"/>
    <tableColumn id="10881" xr3:uid="{FDC31784-35E9-AB4E-85D1-4B0363BCE0FB}" name="Column10863"/>
    <tableColumn id="10882" xr3:uid="{877C7B16-6C05-1649-9F94-62C87CAE72E1}" name="Column10864"/>
    <tableColumn id="10883" xr3:uid="{6FF6AC1D-4095-F84D-BC24-7A0153334996}" name="Column10865"/>
    <tableColumn id="10884" xr3:uid="{C9B16115-0CDE-FC44-824C-F7046B4D8EA8}" name="Column10866"/>
    <tableColumn id="10885" xr3:uid="{D3969205-1C5C-094B-9B59-61719B50A822}" name="Column10867"/>
    <tableColumn id="10886" xr3:uid="{83C6AADA-8CFA-C84E-AAAC-43C6925E03E8}" name="Column10868"/>
    <tableColumn id="10887" xr3:uid="{F6BB3903-2242-5D4F-B2A4-B3C41388EBCB}" name="Column10869"/>
    <tableColumn id="10888" xr3:uid="{A9BACD44-6E45-3144-8CDD-98526CC3EA6F}" name="Column10870"/>
    <tableColumn id="10889" xr3:uid="{0E1D3B75-17E1-C842-982C-71E2BD24CEE4}" name="Column10871"/>
    <tableColumn id="10890" xr3:uid="{2499A639-F4A6-3840-8F1D-4D45D29016E4}" name="Column10872"/>
    <tableColumn id="10891" xr3:uid="{30919DB1-F772-D248-BB7E-847663CADD66}" name="Column10873"/>
    <tableColumn id="10892" xr3:uid="{22FC368B-EEA7-0046-A292-22853B14300E}" name="Column10874"/>
    <tableColumn id="10893" xr3:uid="{CDD5239A-6050-7544-8CF4-994163DF95AC}" name="Column10875"/>
    <tableColumn id="10894" xr3:uid="{A9615A51-BF64-254D-BADB-E3280EE07D28}" name="Column10876"/>
    <tableColumn id="10895" xr3:uid="{9A07E6DB-C049-FC4B-866D-9067C2EEEBAE}" name="Column10877"/>
    <tableColumn id="10896" xr3:uid="{8C3F9B01-E9AB-0E46-BC87-9AD75192A0BD}" name="Column10878"/>
    <tableColumn id="10897" xr3:uid="{727494C9-5F72-8646-95BC-F43D7862697F}" name="Column10879"/>
    <tableColumn id="10898" xr3:uid="{BAA4DCDE-3C82-FB42-AED2-FF29D652AED7}" name="Column10880"/>
    <tableColumn id="10899" xr3:uid="{90F4A30E-4E68-E44C-ACA8-0CC13E872FB5}" name="Column10881"/>
    <tableColumn id="10900" xr3:uid="{DEF40B60-F924-DD44-B700-D39604F7A127}" name="Column10882"/>
    <tableColumn id="10901" xr3:uid="{F6514519-B65C-3E47-A5CD-0BD36332CCF2}" name="Column10883"/>
    <tableColumn id="10902" xr3:uid="{36080B1B-1ADD-7348-9EC9-7763628AECF6}" name="Column10884"/>
    <tableColumn id="10903" xr3:uid="{57B11548-3915-2D48-A481-934DFED90176}" name="Column10885"/>
    <tableColumn id="10904" xr3:uid="{F45EB85C-F6ED-2947-8DAB-1FC2BB650B97}" name="Column10886"/>
    <tableColumn id="10905" xr3:uid="{562AE22D-05D7-2E48-87BD-287ACE3AE26D}" name="Column10887"/>
    <tableColumn id="10906" xr3:uid="{85D03B8A-B94C-294B-B00A-DFD0CE408A9C}" name="Column10888"/>
    <tableColumn id="10907" xr3:uid="{E4E37F14-DD8B-F54E-9FAF-CCD8BC0FA5AE}" name="Column10889"/>
    <tableColumn id="10908" xr3:uid="{646BB4CD-2963-8D47-8F4A-B2F1B625E3E6}" name="Column10890"/>
    <tableColumn id="10909" xr3:uid="{149F5C0B-FD1A-6549-BCC9-2430E19BE66C}" name="Column10891"/>
    <tableColumn id="10910" xr3:uid="{E96EF59D-AA5E-B341-AEA6-B5346E9A1CDD}" name="Column10892"/>
    <tableColumn id="10911" xr3:uid="{32FC2D98-46CA-E54A-B648-EA06836D7112}" name="Column10893"/>
    <tableColumn id="10912" xr3:uid="{B1D23BF4-AB89-5E42-9F51-2BEAB7F9064F}" name="Column10894"/>
    <tableColumn id="10913" xr3:uid="{0F4E7CE7-9748-0B40-AABF-2098F4CFAB35}" name="Column10895"/>
    <tableColumn id="10914" xr3:uid="{E866D3F4-E543-AB49-A9E3-4D1DD02C3FB0}" name="Column10896"/>
    <tableColumn id="10915" xr3:uid="{71978F0D-4057-DF4C-84EE-58532D220689}" name="Column10897"/>
    <tableColumn id="10916" xr3:uid="{71082E49-F167-F142-950C-AF0887EDEAAC}" name="Column10898"/>
    <tableColumn id="10917" xr3:uid="{357BA831-5294-7F45-B22F-D598CAB54078}" name="Column10899"/>
    <tableColumn id="10918" xr3:uid="{3DF8A590-73A5-3648-90D0-A28BDE298F2A}" name="Column10900"/>
    <tableColumn id="10919" xr3:uid="{1660E55F-51D2-4442-B618-D9D92271EECB}" name="Column10901"/>
    <tableColumn id="10920" xr3:uid="{CB3CC267-B251-C247-A4D1-8201C9FD58E4}" name="Column10902"/>
    <tableColumn id="10921" xr3:uid="{87F24C4C-4B20-5045-B485-F048A33EF872}" name="Column10903"/>
    <tableColumn id="10922" xr3:uid="{D5DABA9E-CF2D-3A42-BF2B-23CBB538FB33}" name="Column10904"/>
    <tableColumn id="10923" xr3:uid="{A2F94686-F819-B149-9A21-6A88F52EE5CB}" name="Column10905"/>
    <tableColumn id="10924" xr3:uid="{36FE1105-3184-C646-BEB6-88A1B87DAA35}" name="Column10906"/>
    <tableColumn id="10925" xr3:uid="{421BB9B6-312D-9D4F-8A28-F6619EC668AD}" name="Column10907"/>
    <tableColumn id="10926" xr3:uid="{DEE9B933-92E5-B441-A479-042E7BBB4C68}" name="Column10908"/>
    <tableColumn id="10927" xr3:uid="{C9AADE01-0945-FA45-A24E-858F665DF750}" name="Column10909"/>
    <tableColumn id="10928" xr3:uid="{F4639F3A-63AC-D347-87A5-949B1551AD0A}" name="Column10910"/>
    <tableColumn id="10929" xr3:uid="{990E6355-6EEB-F74C-AA8E-9BECEE0EBE57}" name="Column10911"/>
    <tableColumn id="10930" xr3:uid="{0BEEB8F8-F06B-1C44-B547-37AA6E9D7EC7}" name="Column10912"/>
    <tableColumn id="10931" xr3:uid="{D3FA0ED2-6504-974C-B8DC-6CDD0D9FFA6F}" name="Column10913"/>
    <tableColumn id="10932" xr3:uid="{FFF57323-84AF-0447-AB2D-3B2AC38611EA}" name="Column10914"/>
    <tableColumn id="10933" xr3:uid="{57A525F6-21D9-0344-B14A-CC1F233CB3FE}" name="Column10915"/>
    <tableColumn id="10934" xr3:uid="{E0BA57CD-6530-3E47-A8F2-E0561CAB5474}" name="Column10916"/>
    <tableColumn id="10935" xr3:uid="{325DB292-3969-8643-9EC8-B5A39D03D6F2}" name="Column10917"/>
    <tableColumn id="10936" xr3:uid="{3197C5EF-168B-3342-8C48-AF27030F2C79}" name="Column10918"/>
    <tableColumn id="10937" xr3:uid="{8520F703-D267-C04F-A4AC-BDBD30309A0E}" name="Column10919"/>
    <tableColumn id="10938" xr3:uid="{A6936CBF-FB35-FF4C-B921-D6EE1CD54721}" name="Column10920"/>
    <tableColumn id="10939" xr3:uid="{32BF7185-CFF3-5243-ACA7-5D8CEBCF17FE}" name="Column10921"/>
    <tableColumn id="10940" xr3:uid="{B23E33DC-3A0F-3345-A4B1-94F57DC6F7DD}" name="Column10922"/>
    <tableColumn id="10941" xr3:uid="{FE463614-4C82-5244-9396-3A2D03103C27}" name="Column10923"/>
    <tableColumn id="10942" xr3:uid="{AAA07E80-C597-854A-A2F1-4441AA6B386A}" name="Column10924"/>
    <tableColumn id="10943" xr3:uid="{346EB7FE-71A1-AF4D-AA17-226A5D2FFD31}" name="Column10925"/>
    <tableColumn id="10944" xr3:uid="{A068DB81-8C62-D840-8FD3-E6298DDB12AF}" name="Column10926"/>
    <tableColumn id="10945" xr3:uid="{16CBDF09-E9A5-9E49-848A-9451366889F6}" name="Column10927"/>
    <tableColumn id="10946" xr3:uid="{1D09F4FC-0FA5-394C-80CE-982097EEFC86}" name="Column10928"/>
    <tableColumn id="10947" xr3:uid="{A0043240-3E6B-3249-9880-0A411FFDF581}" name="Column10929"/>
    <tableColumn id="10948" xr3:uid="{2BE5BAE9-8603-8340-B904-28C325802D2D}" name="Column10930"/>
    <tableColumn id="10949" xr3:uid="{7F7ED059-FD4D-B145-8D11-8088821267EB}" name="Column10931"/>
    <tableColumn id="10950" xr3:uid="{3EAA1F12-4AC4-7648-A0D9-497C7AA61928}" name="Column10932"/>
    <tableColumn id="10951" xr3:uid="{FCEA593E-C953-B54D-AA61-14BE8A381094}" name="Column10933"/>
    <tableColumn id="10952" xr3:uid="{F03E4F4E-BED6-F648-B408-5B0578FF2973}" name="Column10934"/>
    <tableColumn id="10953" xr3:uid="{15BBD503-2BD6-DB40-82C7-0739F3C449A9}" name="Column10935"/>
    <tableColumn id="10954" xr3:uid="{8701D98E-8E7E-B84C-A948-78312384CCA4}" name="Column10936"/>
    <tableColumn id="10955" xr3:uid="{A5922F71-05C0-0742-B62F-8931D9BCA642}" name="Column10937"/>
    <tableColumn id="10956" xr3:uid="{B049B120-C12A-B44D-8D40-92913CF20E67}" name="Column10938"/>
    <tableColumn id="10957" xr3:uid="{04C6461D-76F7-F642-B06A-290B09A04C21}" name="Column10939"/>
    <tableColumn id="10958" xr3:uid="{1D3CC34E-0EEB-8041-BE38-AAF310813A6C}" name="Column10940"/>
    <tableColumn id="10959" xr3:uid="{DD1C4BF8-5748-CE41-98DC-FB7B8BEBB5B7}" name="Column10941"/>
    <tableColumn id="10960" xr3:uid="{7A6C0064-7794-574A-B33B-A49A336A8D77}" name="Column10942"/>
    <tableColumn id="10961" xr3:uid="{1377429F-FD28-FC48-A192-AD20B3EE90C1}" name="Column10943"/>
    <tableColumn id="10962" xr3:uid="{740539A8-E5A5-E147-BB5D-9F8A62EC253A}" name="Column10944"/>
    <tableColumn id="10963" xr3:uid="{39EA4E67-850F-EB4E-80CC-4500D4E51969}" name="Column10945"/>
    <tableColumn id="10964" xr3:uid="{74A0B960-B0FF-7B4E-9ADA-48BFBF88A618}" name="Column10946"/>
    <tableColumn id="10965" xr3:uid="{804FB82E-C835-8D40-B3C8-0A5E5E92C370}" name="Column10947"/>
    <tableColumn id="10966" xr3:uid="{71B7F761-C059-6C43-B009-8A9550181A64}" name="Column10948"/>
    <tableColumn id="10967" xr3:uid="{BD585BD6-1813-D340-ADAC-1D661A953958}" name="Column10949"/>
    <tableColumn id="10968" xr3:uid="{B6327388-4272-574E-8ADC-0564183519F2}" name="Column10950"/>
    <tableColumn id="10969" xr3:uid="{E1342128-DFE2-A845-89EC-51BF32F10C01}" name="Column10951"/>
    <tableColumn id="10970" xr3:uid="{C48DA895-ECE5-F242-9553-FD1DEB3DDA5A}" name="Column10952"/>
    <tableColumn id="10971" xr3:uid="{5D253266-2FC8-0947-9ECA-8696AE40A468}" name="Column10953"/>
    <tableColumn id="10972" xr3:uid="{E26504CC-5879-DF42-A1C4-FAAB7B01EB8A}" name="Column10954"/>
    <tableColumn id="10973" xr3:uid="{4FC175F8-0CC5-584D-8238-B8027272E7E3}" name="Column10955"/>
    <tableColumn id="10974" xr3:uid="{272918DA-15E8-044C-80DB-C9C0D65397CD}" name="Column10956"/>
    <tableColumn id="10975" xr3:uid="{75FEA404-6689-D146-9025-6B24421A8157}" name="Column10957"/>
    <tableColumn id="10976" xr3:uid="{82C0A8EC-8077-FA4A-8C5A-9C1A31B0E5A0}" name="Column10958"/>
    <tableColumn id="10977" xr3:uid="{6FDF4C90-D6CA-E546-95C0-00CEA1CEA777}" name="Column10959"/>
    <tableColumn id="10978" xr3:uid="{FCDDE7A6-B0D6-3348-A1DA-A82F5E735E42}" name="Column10960"/>
    <tableColumn id="10979" xr3:uid="{2A62F1A7-F588-5145-9AFB-F47D4B034981}" name="Column10961"/>
    <tableColumn id="10980" xr3:uid="{0D2BBC6C-D21D-A24D-BF05-830275337993}" name="Column10962"/>
    <tableColumn id="10981" xr3:uid="{562C59E7-25E1-6E4A-83D4-BD2D5D3B78EF}" name="Column10963"/>
    <tableColumn id="10982" xr3:uid="{2B9DFF5C-EE66-A145-9DD3-D868C54F9066}" name="Column10964"/>
    <tableColumn id="10983" xr3:uid="{E45AC009-9424-E543-BF5C-169FDF2B43CA}" name="Column10965"/>
    <tableColumn id="10984" xr3:uid="{45A8AC6A-462C-FB45-8E83-EFCE34CD81CD}" name="Column10966"/>
    <tableColumn id="10985" xr3:uid="{9E3287C3-B96C-2944-89A4-2813FCFBC8C7}" name="Column10967"/>
    <tableColumn id="10986" xr3:uid="{670993EE-4AFB-1149-A659-1077DD81BE0B}" name="Column10968"/>
    <tableColumn id="10987" xr3:uid="{A009E742-807F-DD40-B17A-D26BF5A77221}" name="Column10969"/>
    <tableColumn id="10988" xr3:uid="{EF3FC951-2F68-8A46-B538-E3EF1FFB6D80}" name="Column10970"/>
    <tableColumn id="10989" xr3:uid="{3C8CE1E8-3BFE-3D4B-A56A-9B6CCF3BBE0E}" name="Column10971"/>
    <tableColumn id="10990" xr3:uid="{76A03D4A-1F6C-0B42-AAB6-EAEF1C3CD09F}" name="Column10972"/>
    <tableColumn id="10991" xr3:uid="{239AD908-7022-B847-9015-D0AC08D61C8F}" name="Column10973"/>
    <tableColumn id="10992" xr3:uid="{786A4905-A54E-C143-9DA1-4ED5E5C116E5}" name="Column10974"/>
    <tableColumn id="10993" xr3:uid="{2C89A06D-ECC8-494B-9BC5-FD7863041CB8}" name="Column10975"/>
    <tableColumn id="10994" xr3:uid="{400C9B33-9F42-1B40-9D86-DB055F30A890}" name="Column10976"/>
    <tableColumn id="10995" xr3:uid="{3E5B6611-1074-DB45-A242-C2F794FA9F68}" name="Column10977"/>
    <tableColumn id="10996" xr3:uid="{284F09D4-A291-7F49-81E5-99DBB6A21195}" name="Column10978"/>
    <tableColumn id="10997" xr3:uid="{AF5A7764-DB31-3243-88E3-8FB5DC0285B9}" name="Column10979"/>
    <tableColumn id="10998" xr3:uid="{878B73D1-6264-C948-906F-C10FF79A79C8}" name="Column10980"/>
    <tableColumn id="10999" xr3:uid="{4AC28AA6-7C55-074D-BBE6-F120E13B832C}" name="Column10981"/>
    <tableColumn id="11000" xr3:uid="{38DAB646-A52B-F749-A74B-11FA3C3379DA}" name="Column10982"/>
    <tableColumn id="11001" xr3:uid="{24D001CF-10C6-4B49-BF2E-9BE51043CC36}" name="Column10983"/>
    <tableColumn id="11002" xr3:uid="{DD6E5E59-8A6D-C843-B577-3C7DA026B42C}" name="Column10984"/>
    <tableColumn id="11003" xr3:uid="{8279785A-A4D9-C042-A450-CFFF06221244}" name="Column10985"/>
    <tableColumn id="11004" xr3:uid="{BFAB25A2-9744-FF46-B9DC-4848E69701C8}" name="Column10986"/>
    <tableColumn id="11005" xr3:uid="{C8BA25D8-90CE-E344-B888-B338CD68A583}" name="Column10987"/>
    <tableColumn id="11006" xr3:uid="{B4A7FE17-B7A2-7F46-88D4-3B3CBBF44C17}" name="Column10988"/>
    <tableColumn id="11007" xr3:uid="{7D83B54F-22C5-D245-9ABB-6A3B3F5E718E}" name="Column10989"/>
    <tableColumn id="11008" xr3:uid="{5A3CCC11-5F64-1C47-820E-1F3A69137150}" name="Column10990"/>
    <tableColumn id="11009" xr3:uid="{6AD42E88-595A-2E44-8B65-737D6591D012}" name="Column10991"/>
    <tableColumn id="11010" xr3:uid="{6125A5E8-D70A-804B-BE6F-15C0DD050C73}" name="Column10992"/>
    <tableColumn id="11011" xr3:uid="{7AF44A25-6D92-614C-955B-2290482ACEA2}" name="Column10993"/>
    <tableColumn id="11012" xr3:uid="{524D6C79-9E51-1C45-A1FC-CE82862CAC8A}" name="Column10994"/>
    <tableColumn id="11013" xr3:uid="{C5BCC4D2-2B59-C84F-8241-AE4D9848F6AC}" name="Column10995"/>
    <tableColumn id="11014" xr3:uid="{FA91C5B0-D4A8-FE4F-9182-FEAB1439140D}" name="Column10996"/>
    <tableColumn id="11015" xr3:uid="{2B6FB358-2FB7-484B-A1D9-702854B71111}" name="Column10997"/>
    <tableColumn id="11016" xr3:uid="{C106E78B-BF6B-8940-AB5D-7AA47E70ABFE}" name="Column10998"/>
    <tableColumn id="11017" xr3:uid="{43FA5438-FE2E-A84F-9CAC-E8CAD9CBDDD9}" name="Column10999"/>
    <tableColumn id="11018" xr3:uid="{6EF72C60-4FE7-224E-B72A-2F1B0055EC6C}" name="Column11000"/>
    <tableColumn id="11019" xr3:uid="{A774AEE5-0929-864D-B6BC-4FC36AAC4799}" name="Column11001"/>
    <tableColumn id="11020" xr3:uid="{D285898F-656F-8E44-A3E5-4F5372CE422A}" name="Column11002"/>
    <tableColumn id="11021" xr3:uid="{2A842794-A8A0-E445-A1EF-98C3E15FB630}" name="Column11003"/>
    <tableColumn id="11022" xr3:uid="{277A65F8-4411-2D44-94F2-CCC6E1331137}" name="Column11004"/>
    <tableColumn id="11023" xr3:uid="{8BF1611D-25C2-3642-8382-4CA03D752075}" name="Column11005"/>
    <tableColumn id="11024" xr3:uid="{506A9CFF-BC29-1145-B764-9A5B508D1F9D}" name="Column11006"/>
    <tableColumn id="11025" xr3:uid="{607591A4-7DEF-0142-AA59-45C9439EFD2A}" name="Column11007"/>
    <tableColumn id="11026" xr3:uid="{F0F49E9A-E1D0-614E-AF76-1A21B5F4581C}" name="Column11008"/>
    <tableColumn id="11027" xr3:uid="{BE8C3530-6088-554E-9D17-937EAAB3FB8F}" name="Column11009"/>
    <tableColumn id="11028" xr3:uid="{478FE3C1-F0E7-AD4C-A278-416DF0A2823D}" name="Column11010"/>
    <tableColumn id="11029" xr3:uid="{86168B43-08D9-2649-8C48-4120BCCE9CED}" name="Column11011"/>
    <tableColumn id="11030" xr3:uid="{140C7D32-63B8-2A4A-AEC4-E58E3BB7EB96}" name="Column11012"/>
    <tableColumn id="11031" xr3:uid="{9099FDB8-AEFB-4C4B-A957-D5E6DB7C9053}" name="Column11013"/>
    <tableColumn id="11032" xr3:uid="{45305DD5-28BF-DE46-A383-3053BB1511BF}" name="Column11014"/>
    <tableColumn id="11033" xr3:uid="{F6817169-5A41-8645-8DF9-BC27EAD6AEBA}" name="Column11015"/>
    <tableColumn id="11034" xr3:uid="{8FBECACB-E5B3-074E-AA2C-E9B50E4AEDF0}" name="Column11016"/>
    <tableColumn id="11035" xr3:uid="{8BB9F389-0C79-6148-AEBA-D5E285A60145}" name="Column11017"/>
    <tableColumn id="11036" xr3:uid="{FDA3CA13-2530-944A-99BA-DF0329983A44}" name="Column11018"/>
    <tableColumn id="11037" xr3:uid="{7AE7B2FF-6BBE-BD44-B9D3-C18AE7FBEE32}" name="Column11019"/>
    <tableColumn id="11038" xr3:uid="{587F82BB-90A7-C94B-9BCC-BF6426B8F76D}" name="Column11020"/>
    <tableColumn id="11039" xr3:uid="{304A26B8-7649-E243-974F-ACEC468B6FE6}" name="Column11021"/>
    <tableColumn id="11040" xr3:uid="{6AEAE9C4-8B3C-A243-9CBB-9F6F26C42E02}" name="Column11022"/>
    <tableColumn id="11041" xr3:uid="{C926DF66-FC94-F247-9281-875AAA375D80}" name="Column11023"/>
    <tableColumn id="11042" xr3:uid="{2EC48978-C83F-DA4C-9B30-E2851E8F97A0}" name="Column11024"/>
    <tableColumn id="11043" xr3:uid="{F566078C-ADD1-C24C-8ECA-BA0EB077D5E7}" name="Column11025"/>
    <tableColumn id="11044" xr3:uid="{AB5E83DD-22A5-7445-BBE7-CE365A464A07}" name="Column11026"/>
    <tableColumn id="11045" xr3:uid="{7606CA47-3B8F-E547-A25C-2EE90A38FF6D}" name="Column11027"/>
    <tableColumn id="11046" xr3:uid="{07C03C10-0C0C-984A-8716-29D1CD0F7DD5}" name="Column11028"/>
    <tableColumn id="11047" xr3:uid="{B7CFEA13-33A4-A44D-B8E3-EFAB7A4DC5BA}" name="Column11029"/>
    <tableColumn id="11048" xr3:uid="{1A6A6097-C2DF-6D40-94FD-C6B6C40306E2}" name="Column11030"/>
    <tableColumn id="11049" xr3:uid="{246816CC-AF53-3742-A5D7-50A75D6322BD}" name="Column11031"/>
    <tableColumn id="11050" xr3:uid="{F6B7DFB4-66C5-6643-922D-7D9EBC9E2BD8}" name="Column11032"/>
    <tableColumn id="11051" xr3:uid="{A18AEDE4-5308-6846-8605-6C1841CD3D32}" name="Column11033"/>
    <tableColumn id="11052" xr3:uid="{DD7D891D-828E-9B45-B891-C720B3F33B68}" name="Column11034"/>
    <tableColumn id="11053" xr3:uid="{2CDC5BAC-A903-2244-ABD9-0803DF590228}" name="Column11035"/>
    <tableColumn id="11054" xr3:uid="{48DA9978-1D3B-A247-9773-D253DDD4C209}" name="Column11036"/>
    <tableColumn id="11055" xr3:uid="{AA2A2C3E-E447-D74B-9C53-BBAA43CD4E6A}" name="Column11037"/>
    <tableColumn id="11056" xr3:uid="{F09681B8-1B89-6B4E-A94D-26CD3627EDE8}" name="Column11038"/>
    <tableColumn id="11057" xr3:uid="{93764565-978A-0C4A-9B1D-94C300E285F4}" name="Column11039"/>
    <tableColumn id="11058" xr3:uid="{04F16D5B-46A0-7548-B1E7-35A803F77D32}" name="Column11040"/>
    <tableColumn id="11059" xr3:uid="{48792818-1E64-EB49-877D-6F7957EBFE07}" name="Column11041"/>
    <tableColumn id="11060" xr3:uid="{9E5CDB0E-0F54-4D49-A826-43770E17FD7A}" name="Column11042"/>
    <tableColumn id="11061" xr3:uid="{725524A9-FC30-BE44-AE26-F84DBD414BF4}" name="Column11043"/>
    <tableColumn id="11062" xr3:uid="{A43A759B-CCB2-6D45-A30E-E7B27F56F5D9}" name="Column11044"/>
    <tableColumn id="11063" xr3:uid="{F0B88B6B-5B2B-5943-BC98-BF832FFD404C}" name="Column11045"/>
    <tableColumn id="11064" xr3:uid="{BC7D8135-F3C5-A547-942D-5E7C95CB44B5}" name="Column11046"/>
    <tableColumn id="11065" xr3:uid="{13D4D601-183C-0045-BFB3-43ABCDC9A775}" name="Column11047"/>
    <tableColumn id="11066" xr3:uid="{E6311C54-D8AF-C94E-8BEC-6183308181B5}" name="Column11048"/>
    <tableColumn id="11067" xr3:uid="{B0E88D2E-F2E9-CF4D-A62B-50CFD38D031A}" name="Column11049"/>
    <tableColumn id="11068" xr3:uid="{4D1CB88C-5E9B-264F-A7FF-FE281EE34B5A}" name="Column11050"/>
    <tableColumn id="11069" xr3:uid="{D420A56A-1C18-B342-85FA-9B08EE9A0529}" name="Column11051"/>
    <tableColumn id="11070" xr3:uid="{04933665-ADE9-1241-B0C2-A2EBC8E0A240}" name="Column11052"/>
    <tableColumn id="11071" xr3:uid="{49AFB6FA-01A8-234F-8B6C-BD2A6E0E839A}" name="Column11053"/>
    <tableColumn id="11072" xr3:uid="{FE3524DC-CC99-3846-9A5B-CFAEC2A4541D}" name="Column11054"/>
    <tableColumn id="11073" xr3:uid="{64F41061-9E92-9247-BB3F-184F84FC7264}" name="Column11055"/>
    <tableColumn id="11074" xr3:uid="{0ABF142B-44C0-8C40-8611-FF6E549A3CED}" name="Column11056"/>
    <tableColumn id="11075" xr3:uid="{FE0CAFE1-4420-8F42-B231-8B50ACA73218}" name="Column11057"/>
    <tableColumn id="11076" xr3:uid="{ECC3D4F2-E442-D442-BB24-0805AF00D02F}" name="Column11058"/>
    <tableColumn id="11077" xr3:uid="{4526A203-805C-D44A-ADA7-4869F6F23384}" name="Column11059"/>
    <tableColumn id="11078" xr3:uid="{00ACE5A1-01B9-1041-A74B-41BD7E9B00C6}" name="Column11060"/>
    <tableColumn id="11079" xr3:uid="{03328DF2-C121-ED4A-B987-CE198AF7DE91}" name="Column11061"/>
    <tableColumn id="11080" xr3:uid="{D74F3490-44BD-5642-AA81-D73EE9E98B6A}" name="Column11062"/>
    <tableColumn id="11081" xr3:uid="{DB46CA71-6DC8-4640-BFF9-61540698908E}" name="Column11063"/>
    <tableColumn id="11082" xr3:uid="{3D552937-38F8-7F46-B172-C15DAE35918D}" name="Column11064"/>
    <tableColumn id="11083" xr3:uid="{4BCA7BF1-5694-9847-945C-A942FB765DD7}" name="Column11065"/>
    <tableColumn id="11084" xr3:uid="{44C3B4BC-2174-9D42-A66C-F9556712A890}" name="Column11066"/>
    <tableColumn id="11085" xr3:uid="{2CBD1C60-5664-1343-A513-B6ED214720E1}" name="Column11067"/>
    <tableColumn id="11086" xr3:uid="{A916A76D-C2F5-BF40-8A46-FF16E456A804}" name="Column11068"/>
    <tableColumn id="11087" xr3:uid="{3E3B3022-99E8-C44F-A1B3-3E2EBDB5D127}" name="Column11069"/>
    <tableColumn id="11088" xr3:uid="{9E3DAECC-3B49-394E-A615-954C845E628D}" name="Column11070"/>
    <tableColumn id="11089" xr3:uid="{E2FFB659-7753-1F47-9B41-55BAE5585CF1}" name="Column11071"/>
    <tableColumn id="11090" xr3:uid="{85A04117-017D-884E-881B-666BAC2ED71F}" name="Column11072"/>
    <tableColumn id="11091" xr3:uid="{F9C2C0B5-EA0A-AA41-92B2-D2C2A7A47E86}" name="Column11073"/>
    <tableColumn id="11092" xr3:uid="{A8013D0B-78CD-2A49-8CE0-C425F208A795}" name="Column11074"/>
    <tableColumn id="11093" xr3:uid="{F6CAD8AD-AA85-714D-BAD2-A80EED5A4808}" name="Column11075"/>
    <tableColumn id="11094" xr3:uid="{DC67A99F-BFED-F446-9A5B-4DE49F889C21}" name="Column11076"/>
    <tableColumn id="11095" xr3:uid="{DBD70986-36C3-BD43-A367-6A03BC8ECA10}" name="Column11077"/>
    <tableColumn id="11096" xr3:uid="{CAA718E5-BAFD-D049-800D-B626494E08DF}" name="Column11078"/>
    <tableColumn id="11097" xr3:uid="{4603DC52-2C71-E54F-A309-AB3705BAEA9A}" name="Column11079"/>
    <tableColumn id="11098" xr3:uid="{E7ACA6CD-A8F6-3046-BA52-FD844EBC9732}" name="Column11080"/>
    <tableColumn id="11099" xr3:uid="{9BE520E9-B2AF-B245-A5E9-DB9BE8795D50}" name="Column11081"/>
    <tableColumn id="11100" xr3:uid="{70241F00-3EE0-0346-8B23-E49CF6B51B98}" name="Column11082"/>
    <tableColumn id="11101" xr3:uid="{D419CAC0-3858-7C43-90AC-86D99A45441C}" name="Column11083"/>
    <tableColumn id="11102" xr3:uid="{EE187E0D-E4D3-5241-A5DB-35B506D6F577}" name="Column11084"/>
    <tableColumn id="11103" xr3:uid="{89FA72D8-8331-254E-8459-B1CC97577D02}" name="Column11085"/>
    <tableColumn id="11104" xr3:uid="{AA49B76A-5591-E048-B3A7-572618CA37DE}" name="Column11086"/>
    <tableColumn id="11105" xr3:uid="{99DC1DA6-534C-EF4C-A138-12D328BFE620}" name="Column11087"/>
    <tableColumn id="11106" xr3:uid="{4EAE138B-5908-1F46-9E15-22B976451CEB}" name="Column11088"/>
    <tableColumn id="11107" xr3:uid="{112C6D5F-E947-5447-9DAB-D0FDD0FB4B12}" name="Column11089"/>
    <tableColumn id="11108" xr3:uid="{4C5DC2A6-5A24-DE4E-8821-BA5E205D02F0}" name="Column11090"/>
    <tableColumn id="11109" xr3:uid="{ADF3B7FD-6DBE-EA48-9428-6BCB50D36AAC}" name="Column11091"/>
    <tableColumn id="11110" xr3:uid="{F18879B4-5CD3-D54C-9415-E21E55566A03}" name="Column11092"/>
    <tableColumn id="11111" xr3:uid="{22289D75-0D12-5149-9213-B61A0C2157EF}" name="Column11093"/>
    <tableColumn id="11112" xr3:uid="{D3C2757A-B70A-B64A-9AC6-E80D50636022}" name="Column11094"/>
    <tableColumn id="11113" xr3:uid="{D3904843-409D-AA4C-93C6-7700A912B597}" name="Column11095"/>
    <tableColumn id="11114" xr3:uid="{1F740543-CF9E-DF42-BA24-E486C4714022}" name="Column11096"/>
    <tableColumn id="11115" xr3:uid="{8A569C51-C445-F547-85A5-5CC3AAC01881}" name="Column11097"/>
    <tableColumn id="11116" xr3:uid="{5361CB63-6CF3-9B40-8E8B-7B1C9FFC3D46}" name="Column11098"/>
    <tableColumn id="11117" xr3:uid="{5B0A7DF9-7500-8A4C-BD42-1C4E10921F9F}" name="Column11099"/>
    <tableColumn id="11118" xr3:uid="{6AC5BC37-9A1A-6F46-8988-17AB050C0159}" name="Column11100"/>
    <tableColumn id="11119" xr3:uid="{B085362C-F19A-9444-987C-7DD62853DC10}" name="Column11101"/>
    <tableColumn id="11120" xr3:uid="{A902FC45-7F42-2645-90DF-C2AB5BD47E6A}" name="Column11102"/>
    <tableColumn id="11121" xr3:uid="{37B09174-9157-274B-A770-BDDE7DA21922}" name="Column11103"/>
    <tableColumn id="11122" xr3:uid="{15460543-9B07-5646-842F-6A39A059C19D}" name="Column11104"/>
    <tableColumn id="11123" xr3:uid="{3073E69D-8280-634B-A65A-F33AC0F047E1}" name="Column11105"/>
    <tableColumn id="11124" xr3:uid="{270FF294-0077-484A-ADBA-F5A0C5188459}" name="Column11106"/>
    <tableColumn id="11125" xr3:uid="{F592111A-1ED1-F848-8707-01CF1C3BC3EE}" name="Column11107"/>
    <tableColumn id="11126" xr3:uid="{DF9DAB49-51C3-1A44-B82C-7D4B7E8B63AB}" name="Column11108"/>
    <tableColumn id="11127" xr3:uid="{ADFB228D-6704-7A4B-B02E-D49B387F2564}" name="Column11109"/>
    <tableColumn id="11128" xr3:uid="{6AC37B53-6CF0-F448-8A98-B5396028707E}" name="Column11110"/>
    <tableColumn id="11129" xr3:uid="{0DC43AF6-D970-F641-A967-9C48B2B5D0C1}" name="Column11111"/>
    <tableColumn id="11130" xr3:uid="{EF351102-8012-9041-847E-12276C59331A}" name="Column11112"/>
    <tableColumn id="11131" xr3:uid="{8B12D174-2591-1741-B098-7603ED4E4498}" name="Column11113"/>
    <tableColumn id="11132" xr3:uid="{4478AFEC-73CE-7E49-9D67-0FA5297F32BC}" name="Column11114"/>
    <tableColumn id="11133" xr3:uid="{A835D1A2-8620-A840-8A5C-FF136E2E8397}" name="Column11115"/>
    <tableColumn id="11134" xr3:uid="{A53617E1-AF4A-DB41-8705-AE4A0CF68ADD}" name="Column11116"/>
    <tableColumn id="11135" xr3:uid="{FC815767-1698-4343-BBAF-5ED5F8842F65}" name="Column11117"/>
    <tableColumn id="11136" xr3:uid="{D88A491A-5532-C145-8AF6-4A8DA7438F08}" name="Column11118"/>
    <tableColumn id="11137" xr3:uid="{C8E3B6AC-4479-F84D-9C1C-E67CF38C0E0A}" name="Column11119"/>
    <tableColumn id="11138" xr3:uid="{C31B211F-4E2C-C644-80A7-FB4007B899A6}" name="Column11120"/>
    <tableColumn id="11139" xr3:uid="{52A2CD27-3F92-BB43-B4D0-38C98EA84BC5}" name="Column11121"/>
    <tableColumn id="11140" xr3:uid="{EF15A01F-75CC-674B-9465-5DBBC939A10F}" name="Column11122"/>
    <tableColumn id="11141" xr3:uid="{55012463-373B-1A4E-BBDA-522D0C7DAE7C}" name="Column11123"/>
    <tableColumn id="11142" xr3:uid="{B585E646-5238-D84B-A056-AFC64AD9E4C3}" name="Column11124"/>
    <tableColumn id="11143" xr3:uid="{EF6E41E0-9465-A24C-91F3-FE6CCB8CD22F}" name="Column11125"/>
    <tableColumn id="11144" xr3:uid="{42A2F941-91C1-C34F-86D2-409752D36B9E}" name="Column11126"/>
    <tableColumn id="11145" xr3:uid="{F45E0B23-6E75-A846-8BF0-346667489872}" name="Column11127"/>
    <tableColumn id="11146" xr3:uid="{AFDD814F-18BB-154A-BAA5-DEF2A120B7CE}" name="Column11128"/>
    <tableColumn id="11147" xr3:uid="{A340CD37-D9B8-9246-A6B6-9A2ABAAFE8F0}" name="Column11129"/>
    <tableColumn id="11148" xr3:uid="{A57133FE-5B26-C04C-BA05-4D0EDA65CDE3}" name="Column11130"/>
    <tableColumn id="11149" xr3:uid="{663E7827-BEB3-6C41-8DCF-6694483D81B6}" name="Column11131"/>
    <tableColumn id="11150" xr3:uid="{0CB705F4-4F51-0141-B1C8-ED58D79D48E0}" name="Column11132"/>
    <tableColumn id="11151" xr3:uid="{02CE1FE3-126E-D84D-875D-3F9EABA1259B}" name="Column11133"/>
    <tableColumn id="11152" xr3:uid="{46A92702-63A9-324C-BA6D-6BE8180B1E17}" name="Column11134"/>
    <tableColumn id="11153" xr3:uid="{FF7F7174-D859-4140-B709-A9FFECA67967}" name="Column11135"/>
    <tableColumn id="11154" xr3:uid="{82A75344-4440-F340-96A1-F23915BAC864}" name="Column11136"/>
    <tableColumn id="11155" xr3:uid="{89945C41-F50D-8143-82D0-11EB263976C2}" name="Column11137"/>
    <tableColumn id="11156" xr3:uid="{65CA4083-3C15-8248-AA87-D2CEB19592E3}" name="Column11138"/>
    <tableColumn id="11157" xr3:uid="{C80BDC89-3A2E-0445-8127-7B64281478A3}" name="Column11139"/>
    <tableColumn id="11158" xr3:uid="{06D244C2-2E6D-8F43-86CA-B26D24C78C08}" name="Column11140"/>
    <tableColumn id="11159" xr3:uid="{14F42283-1C26-B349-8B94-483DE96BA446}" name="Column11141"/>
    <tableColumn id="11160" xr3:uid="{8F583C04-71F8-F343-B789-CC177E9186BA}" name="Column11142"/>
    <tableColumn id="11161" xr3:uid="{DB22B772-D66F-0746-ADBA-4E242833AA58}" name="Column11143"/>
    <tableColumn id="11162" xr3:uid="{3ED8A135-5A8F-9F42-AF6B-D501BA9CAE66}" name="Column11144"/>
    <tableColumn id="11163" xr3:uid="{C2FC2C37-422B-A345-A048-ADE1DA38820B}" name="Column11145"/>
    <tableColumn id="11164" xr3:uid="{D1CFAEF9-7F01-584C-960D-6FD967C85AE0}" name="Column11146"/>
    <tableColumn id="11165" xr3:uid="{E390C08F-2910-A44F-A8DA-F2E42FC48D12}" name="Column11147"/>
    <tableColumn id="11166" xr3:uid="{888970C7-D8EB-2E40-88C5-1B6DC85EBE83}" name="Column11148"/>
    <tableColumn id="11167" xr3:uid="{C3AF8269-1B58-A44C-B9DC-E0E6C58F0951}" name="Column11149"/>
    <tableColumn id="11168" xr3:uid="{178B80C2-C245-3547-8D35-AFE37591A1A8}" name="Column11150"/>
    <tableColumn id="11169" xr3:uid="{B7F860F6-48FF-E44C-AF7C-C2AE30E41C3C}" name="Column11151"/>
    <tableColumn id="11170" xr3:uid="{F0A04D66-1825-5948-9491-B00D6F12674B}" name="Column11152"/>
    <tableColumn id="11171" xr3:uid="{E5EAB708-1CF3-2349-BB6A-57947959CE99}" name="Column11153"/>
    <tableColumn id="11172" xr3:uid="{D7126EE1-10EC-DF41-8687-016886B7EA4F}" name="Column11154"/>
    <tableColumn id="11173" xr3:uid="{B8D21F93-8F3F-A446-83EA-7692D6CA32AC}" name="Column11155"/>
    <tableColumn id="11174" xr3:uid="{22D5C042-0020-3347-9670-019C7112D3B5}" name="Column11156"/>
    <tableColumn id="11175" xr3:uid="{7F74AAB7-BBCF-7241-BCCE-E021817A5B3D}" name="Column11157"/>
    <tableColumn id="11176" xr3:uid="{587C1AD6-41D0-8441-9C4F-5F87267CFDC3}" name="Column11158"/>
    <tableColumn id="11177" xr3:uid="{3AE1A6D7-5FB2-9640-A0C7-9FED70BB2569}" name="Column11159"/>
    <tableColumn id="11178" xr3:uid="{40DBC80B-9E2D-6746-A345-9DBF461F41AA}" name="Column11160"/>
    <tableColumn id="11179" xr3:uid="{2B871874-5EC5-2B4A-AC41-8A7660110633}" name="Column11161"/>
    <tableColumn id="11180" xr3:uid="{C7671EFD-1DCC-EC42-B0B5-6B772300E68B}" name="Column11162"/>
    <tableColumn id="11181" xr3:uid="{620206F3-C5DF-A24A-8475-A50FB199A790}" name="Column11163"/>
    <tableColumn id="11182" xr3:uid="{C5AF5EAE-BD02-5240-AB64-49D20A6CD1B5}" name="Column11164"/>
    <tableColumn id="11183" xr3:uid="{0AD59A52-592E-9242-8283-1E0195B05784}" name="Column11165"/>
    <tableColumn id="11184" xr3:uid="{2A371082-3B2A-3D4F-B688-6C09DE3AD4C0}" name="Column11166"/>
    <tableColumn id="11185" xr3:uid="{1940C710-ACE0-E344-ADF6-25DBC46BCFB5}" name="Column11167"/>
    <tableColumn id="11186" xr3:uid="{70D7C1B8-E875-CF47-93D0-1E276C86EEFF}" name="Column11168"/>
    <tableColumn id="11187" xr3:uid="{D9FE9FAB-EB31-E840-BC42-D8B515F1D8B4}" name="Column11169"/>
    <tableColumn id="11188" xr3:uid="{03E729F7-34A2-3147-AF6A-91B0708743CC}" name="Column11170"/>
    <tableColumn id="11189" xr3:uid="{D5A9E671-5F92-A243-ADB5-C59BFB6463BE}" name="Column11171"/>
    <tableColumn id="11190" xr3:uid="{90C46BAF-285D-2B41-928E-88AB6743F96A}" name="Column11172"/>
    <tableColumn id="11191" xr3:uid="{51E143B1-B046-EC40-815B-161FF26F412E}" name="Column11173"/>
    <tableColumn id="11192" xr3:uid="{84996B0C-4E5A-264D-964F-D32E71694563}" name="Column11174"/>
    <tableColumn id="11193" xr3:uid="{60F013E7-C936-A44A-977D-BF8FE55BD311}" name="Column11175"/>
    <tableColumn id="11194" xr3:uid="{B758F4E4-5CCF-8449-A43B-1C115B9688BA}" name="Column11176"/>
    <tableColumn id="11195" xr3:uid="{52E4C982-1A6A-FD47-ADBB-E105BED85B16}" name="Column11177"/>
    <tableColumn id="11196" xr3:uid="{1455D645-1020-7F4A-AC5F-D98D71142F71}" name="Column11178"/>
    <tableColumn id="11197" xr3:uid="{8F002E9C-8D28-5F43-8016-5A900C0E3F14}" name="Column11179"/>
    <tableColumn id="11198" xr3:uid="{2D5A9759-CEB1-F741-930A-01FE22E0F93C}" name="Column11180"/>
    <tableColumn id="11199" xr3:uid="{EBFE3958-A37B-5D49-933A-F641239113B2}" name="Column11181"/>
    <tableColumn id="11200" xr3:uid="{A1B85B5A-8159-F942-949A-A388958762CE}" name="Column11182"/>
    <tableColumn id="11201" xr3:uid="{D703309E-2A04-1545-B0FF-5524795D3BB4}" name="Column11183"/>
    <tableColumn id="11202" xr3:uid="{CA64BCA2-D8E8-794A-ABB2-BCB65DDB0B12}" name="Column11184"/>
    <tableColumn id="11203" xr3:uid="{34944C24-05CB-634B-AF88-0E6648D19CB5}" name="Column11185"/>
    <tableColumn id="11204" xr3:uid="{0D7024C1-553D-5744-BDC9-37FC05E287DC}" name="Column11186"/>
    <tableColumn id="11205" xr3:uid="{AC4F96B9-F4BE-FC47-A096-D942AD46B522}" name="Column11187"/>
    <tableColumn id="11206" xr3:uid="{00C192C7-80D5-4F4E-AB8A-D2011AA52877}" name="Column11188"/>
    <tableColumn id="11207" xr3:uid="{38D610A8-6CF8-C74A-A45F-7B96284E96BA}" name="Column11189"/>
    <tableColumn id="11208" xr3:uid="{56D17312-130B-DD4A-B796-D17B6DFA3EFF}" name="Column11190"/>
    <tableColumn id="11209" xr3:uid="{4B999185-07AD-3544-A71B-18E98D6C0149}" name="Column11191"/>
    <tableColumn id="11210" xr3:uid="{2E7C4C1F-F272-A54D-986A-D81FD92E58EE}" name="Column11192"/>
    <tableColumn id="11211" xr3:uid="{7F101E4C-F602-F245-A8C0-5FC0CBB7BE3F}" name="Column11193"/>
    <tableColumn id="11212" xr3:uid="{27497FFE-A521-A94A-B939-15F07528CD12}" name="Column11194"/>
    <tableColumn id="11213" xr3:uid="{AD331F23-2F48-DC43-9152-F325F4978A53}" name="Column11195"/>
    <tableColumn id="11214" xr3:uid="{6ADDFC52-C059-B748-BFE6-2C3C9F2B98B1}" name="Column11196"/>
    <tableColumn id="11215" xr3:uid="{58786BA9-14A9-4A4C-ABCE-9746B0BE2282}" name="Column11197"/>
    <tableColumn id="11216" xr3:uid="{1796545E-C717-9C4F-BA2A-7F6C93B85898}" name="Column11198"/>
    <tableColumn id="11217" xr3:uid="{D61C8297-1C17-4F49-9C83-3277E31740D7}" name="Column11199"/>
    <tableColumn id="11218" xr3:uid="{450D85CC-162B-664C-BDCE-0879BB223175}" name="Column11200"/>
    <tableColumn id="11219" xr3:uid="{163F03A8-4CE0-1A43-B9D6-7954117C10B2}" name="Column11201"/>
    <tableColumn id="11220" xr3:uid="{85C6D924-0D90-C24B-BAAA-298B99A0E2B6}" name="Column11202"/>
    <tableColumn id="11221" xr3:uid="{46D36141-FC81-5941-A10B-D4D06E296348}" name="Column11203"/>
    <tableColumn id="11222" xr3:uid="{59B6BD52-9524-C047-A7DB-FFF9DCE72028}" name="Column11204"/>
    <tableColumn id="11223" xr3:uid="{56EC9B33-AD55-5A4E-A00B-DD92455CBE41}" name="Column11205"/>
    <tableColumn id="11224" xr3:uid="{81DFA97C-517B-B44E-91F8-BD36954A23E1}" name="Column11206"/>
    <tableColumn id="11225" xr3:uid="{F6D7FB23-9742-CB44-8EEF-D23CC746AD92}" name="Column11207"/>
    <tableColumn id="11226" xr3:uid="{9C6E7BB6-8FA8-DC4F-8D3B-A472B450002D}" name="Column11208"/>
    <tableColumn id="11227" xr3:uid="{FE40F4CC-F50C-0C46-A6EB-213D7FBD789F}" name="Column11209"/>
    <tableColumn id="11228" xr3:uid="{181BCD4F-6EAF-434C-A120-040516FE8807}" name="Column11210"/>
    <tableColumn id="11229" xr3:uid="{D8260407-F1E7-964B-8202-61C6645DAFA9}" name="Column11211"/>
    <tableColumn id="11230" xr3:uid="{F28DA2AD-C47B-384C-A5E4-5464EA416C23}" name="Column11212"/>
    <tableColumn id="11231" xr3:uid="{C21C0C48-2DF7-D643-99E5-077BBEABFEA8}" name="Column11213"/>
    <tableColumn id="11232" xr3:uid="{60D5CB3D-D17E-9A42-8CEC-79227FF38C94}" name="Column11214"/>
    <tableColumn id="11233" xr3:uid="{5DC79511-6F45-994F-A976-9FC667A2F70B}" name="Column11215"/>
    <tableColumn id="11234" xr3:uid="{EA758FA9-F7A2-204F-8023-4BB74C322407}" name="Column11216"/>
    <tableColumn id="11235" xr3:uid="{E3069673-38EE-FD40-8610-94E8D15DD63E}" name="Column11217"/>
    <tableColumn id="11236" xr3:uid="{1A07A887-12E5-4F46-89DA-F5407C66917D}" name="Column11218"/>
    <tableColumn id="11237" xr3:uid="{CB49166F-F783-DD4C-87B9-26D8E809CFED}" name="Column11219"/>
    <tableColumn id="11238" xr3:uid="{2DA4B229-8FE5-9B49-9253-9EE8629F4011}" name="Column11220"/>
    <tableColumn id="11239" xr3:uid="{639AB14A-5CA6-6F41-A047-46014D3981C5}" name="Column11221"/>
    <tableColumn id="11240" xr3:uid="{055B9CBA-D6B4-4A45-BA2C-DA3449CFABA4}" name="Column11222"/>
    <tableColumn id="11241" xr3:uid="{8AC625D7-279B-C544-B1C9-167C08D11457}" name="Column11223"/>
    <tableColumn id="11242" xr3:uid="{3BD87CA8-D223-E040-9406-8C6AFFAE18C1}" name="Column11224"/>
    <tableColumn id="11243" xr3:uid="{B42E731D-AE05-F545-ABCA-4078E2EC021E}" name="Column11225"/>
    <tableColumn id="11244" xr3:uid="{A59FCC5F-C5FB-214B-BF0F-89FF4D8830E8}" name="Column11226"/>
    <tableColumn id="11245" xr3:uid="{B42A2DB6-6383-4C46-8BC7-4E6DDE3E4A24}" name="Column11227"/>
    <tableColumn id="11246" xr3:uid="{276B4E35-50A1-0C4A-9887-16C94E1BA94E}" name="Column11228"/>
    <tableColumn id="11247" xr3:uid="{3BC9E493-D5CE-2E4D-9615-BE186090E8A1}" name="Column11229"/>
    <tableColumn id="11248" xr3:uid="{EFE42649-F4D2-464E-A1F2-F4F9011DD5A4}" name="Column11230"/>
    <tableColumn id="11249" xr3:uid="{FB3D418D-EBD2-BE42-86B7-C78F5D2308D8}" name="Column11231"/>
    <tableColumn id="11250" xr3:uid="{CCAA4101-2CBB-1241-A409-C8024182CFB7}" name="Column11232"/>
    <tableColumn id="11251" xr3:uid="{758F7A67-B680-6042-9635-BF84AFC87A95}" name="Column11233"/>
    <tableColumn id="11252" xr3:uid="{FB2763A3-6E3C-5B4E-A07A-74B14476D318}" name="Column11234"/>
    <tableColumn id="11253" xr3:uid="{E1263D14-6BC7-8D40-9B11-FDB1C42A5548}" name="Column11235"/>
    <tableColumn id="11254" xr3:uid="{CB1E48CB-5305-FB49-8AFD-86036BABC030}" name="Column11236"/>
    <tableColumn id="11255" xr3:uid="{E01593F4-06F6-2745-BECE-FE96D1DB87EB}" name="Column11237"/>
    <tableColumn id="11256" xr3:uid="{A312D799-8693-1840-B1FA-3D37F9097893}" name="Column11238"/>
    <tableColumn id="11257" xr3:uid="{A55F36E5-E956-564B-972A-E4A129DEAB7C}" name="Column11239"/>
    <tableColumn id="11258" xr3:uid="{4BA27D79-6145-EE42-B688-AA755DF73348}" name="Column11240"/>
    <tableColumn id="11259" xr3:uid="{C2671A37-E90B-EF43-805C-F27B024E2430}" name="Column11241"/>
    <tableColumn id="11260" xr3:uid="{B354D480-7248-4F49-A5AC-4B093112C1E2}" name="Column11242"/>
    <tableColumn id="11261" xr3:uid="{FBA7E9ED-05D2-4C44-B633-E63D917BE358}" name="Column11243"/>
    <tableColumn id="11262" xr3:uid="{DFB903FE-2801-6841-8C97-80D2BE402924}" name="Column11244"/>
    <tableColumn id="11263" xr3:uid="{4EDA1A8C-EB63-5D4A-8547-20576E2522DE}" name="Column11245"/>
    <tableColumn id="11264" xr3:uid="{73AA5D1D-9B5B-4243-B815-3929F0FC4495}" name="Column11246"/>
    <tableColumn id="11265" xr3:uid="{DA262C2F-1321-F848-AC05-E4E65A78A649}" name="Column11247"/>
    <tableColumn id="11266" xr3:uid="{3685D24F-B416-BA42-A0C4-C44C487CDBC1}" name="Column11248"/>
    <tableColumn id="11267" xr3:uid="{D78E5597-C1CD-CC49-AC6B-759B0D4FB389}" name="Column11249"/>
    <tableColumn id="11268" xr3:uid="{FDE0A62E-64D3-CC42-ADC4-7B391DA37A48}" name="Column11250"/>
    <tableColumn id="11269" xr3:uid="{63BF51AF-8C88-BE4A-A0B6-005F87659E2F}" name="Column11251"/>
    <tableColumn id="11270" xr3:uid="{F2E3C1A8-276B-5140-97D1-DC6C5E4B8CAC}" name="Column11252"/>
    <tableColumn id="11271" xr3:uid="{3F9D6DA6-13D3-F245-B730-AAB66E7A5D2C}" name="Column11253"/>
    <tableColumn id="11272" xr3:uid="{2247DAA2-FE8D-3043-A6E3-DED0D28DBE14}" name="Column11254"/>
    <tableColumn id="11273" xr3:uid="{355AB31D-C9F1-064F-844A-1BB3B2CB9B2C}" name="Column11255"/>
    <tableColumn id="11274" xr3:uid="{6FE80E80-7B24-8945-A3BB-EB2607692B6D}" name="Column11256"/>
    <tableColumn id="11275" xr3:uid="{650D8537-94F6-954F-883F-D940EFE7C3D4}" name="Column11257"/>
    <tableColumn id="11276" xr3:uid="{2DDEAF84-48BE-184B-A777-D7638420036F}" name="Column11258"/>
    <tableColumn id="11277" xr3:uid="{27B29EBE-5866-A342-B50D-6CA010ABE746}" name="Column11259"/>
    <tableColumn id="11278" xr3:uid="{3248C738-C5A1-CB41-87C9-BFF322D46171}" name="Column11260"/>
    <tableColumn id="11279" xr3:uid="{FBA6B73D-B883-2A44-B75F-931BA6F3C626}" name="Column11261"/>
    <tableColumn id="11280" xr3:uid="{882125E9-BE80-EC49-AFE7-EC44F3B0DBC7}" name="Column11262"/>
    <tableColumn id="11281" xr3:uid="{5A4CBE40-58B3-2D42-BD0C-5AA53A14AC3B}" name="Column11263"/>
    <tableColumn id="11282" xr3:uid="{96C3AE58-95C7-434C-98EB-4E6657EE2E89}" name="Column11264"/>
    <tableColumn id="11283" xr3:uid="{9967DF91-A8EA-FD40-B33F-A7048805F697}" name="Column11265"/>
    <tableColumn id="11284" xr3:uid="{275BD89C-A5E6-8E45-B415-1E6AAC5FB8DD}" name="Column11266"/>
    <tableColumn id="11285" xr3:uid="{E5F0E4F5-D283-9447-9725-74263616B004}" name="Column11267"/>
    <tableColumn id="11286" xr3:uid="{6CD9D36E-25E0-A34B-8496-B8F595ADBC65}" name="Column11268"/>
    <tableColumn id="11287" xr3:uid="{1B384AE6-33BD-8848-B570-8CEA21A5B0A1}" name="Column11269"/>
    <tableColumn id="11288" xr3:uid="{B9B0AD00-A811-D64D-BEFD-421B53E91372}" name="Column11270"/>
    <tableColumn id="11289" xr3:uid="{B77DCA65-7D34-0643-8386-627C76EEB7A4}" name="Column11271"/>
    <tableColumn id="11290" xr3:uid="{F3E277F7-D33A-554D-81A4-73DCD693DAD7}" name="Column11272"/>
    <tableColumn id="11291" xr3:uid="{B551CEEC-7FE1-714F-A890-D470ED84BB91}" name="Column11273"/>
    <tableColumn id="11292" xr3:uid="{FF7293FD-C696-1A44-9F51-A94AA451C80F}" name="Column11274"/>
    <tableColumn id="11293" xr3:uid="{87757CB9-E538-6040-A3E5-954D231E6002}" name="Column11275"/>
    <tableColumn id="11294" xr3:uid="{6627A7AD-310C-BB4B-AF01-73334D0C67EE}" name="Column11276"/>
    <tableColumn id="11295" xr3:uid="{AE666BF7-D46C-B343-9E47-DB7BFFCC4230}" name="Column11277"/>
    <tableColumn id="11296" xr3:uid="{F37D8E9C-2C8F-C34F-8538-AFA8CEBD4806}" name="Column11278"/>
    <tableColumn id="11297" xr3:uid="{E41B185C-13E7-E541-8FE6-922E8FDFA8E0}" name="Column11279"/>
    <tableColumn id="11298" xr3:uid="{F61EBC0C-43DE-F34F-B363-BF969C49A649}" name="Column11280"/>
    <tableColumn id="11299" xr3:uid="{ED8DDFEC-11A3-044E-8B3D-AEEDD23BFF68}" name="Column11281"/>
    <tableColumn id="11300" xr3:uid="{B1D16DB5-DD67-5649-B278-5660B10B89A1}" name="Column11282"/>
    <tableColumn id="11301" xr3:uid="{A54C4AEA-198E-384B-B2EE-EC6D4C429417}" name="Column11283"/>
    <tableColumn id="11302" xr3:uid="{74A1A407-4EDC-F740-B164-7256D960DCC2}" name="Column11284"/>
    <tableColumn id="11303" xr3:uid="{B692422F-C136-D448-89ED-582B3E49EE12}" name="Column11285"/>
    <tableColumn id="11304" xr3:uid="{B78998FB-04D2-964C-B552-A31E6E184F6B}" name="Column11286"/>
    <tableColumn id="11305" xr3:uid="{5DCF3F9A-48AB-9F40-BEBC-9BBC46DE9920}" name="Column11287"/>
    <tableColumn id="11306" xr3:uid="{F7372182-BF36-554A-B829-A9E45B280EC3}" name="Column11288"/>
    <tableColumn id="11307" xr3:uid="{0DD4F1C8-E845-C343-957D-B3943B90CC77}" name="Column11289"/>
    <tableColumn id="11308" xr3:uid="{9DC8F4C3-ACD6-0A4E-970F-D9B469ADB817}" name="Column11290"/>
    <tableColumn id="11309" xr3:uid="{7F85B255-D5D5-CD4C-9E07-A669E79D81AC}" name="Column11291"/>
    <tableColumn id="11310" xr3:uid="{4F2E03B5-5DAB-E844-9BB9-BEC924212BCA}" name="Column11292"/>
    <tableColumn id="11311" xr3:uid="{23AA4413-C183-504D-9747-FC3C793B56DD}" name="Column11293"/>
    <tableColumn id="11312" xr3:uid="{F630746E-3E60-B14D-A15B-20C725B3AD69}" name="Column11294"/>
    <tableColumn id="11313" xr3:uid="{67477FBF-9F13-4B49-8CE7-77A392AC5D12}" name="Column11295"/>
    <tableColumn id="11314" xr3:uid="{5E0517FD-C11A-A84C-9A0B-13343E3EE018}" name="Column11296"/>
    <tableColumn id="11315" xr3:uid="{8F12E8FA-85D0-1044-BC1A-15F58FE0F07D}" name="Column11297"/>
    <tableColumn id="11316" xr3:uid="{B64A6C84-BBE5-5E44-A317-B39778161DDB}" name="Column11298"/>
    <tableColumn id="11317" xr3:uid="{E52C7AF2-BBA7-DB4F-AFA3-366F6AB6134C}" name="Column11299"/>
    <tableColumn id="11318" xr3:uid="{3209C748-1873-5E40-B37D-258429D479CA}" name="Column11300"/>
    <tableColumn id="11319" xr3:uid="{9FFF5CD8-2F5B-5A4C-B9C7-F4BB505F6C20}" name="Column11301"/>
    <tableColumn id="11320" xr3:uid="{4CA78B9E-8451-204B-A810-EF371D50EF83}" name="Column11302"/>
    <tableColumn id="11321" xr3:uid="{B679C19C-B844-2243-8C16-126A4A199D35}" name="Column11303"/>
    <tableColumn id="11322" xr3:uid="{DCE2ACF9-683F-EE4C-AF2F-17C99C5FECB2}" name="Column11304"/>
    <tableColumn id="11323" xr3:uid="{75AEE3F5-C45F-0546-9F95-4A416454C7B6}" name="Column11305"/>
    <tableColumn id="11324" xr3:uid="{B00BF6BB-0623-5C47-AB58-100C043A4198}" name="Column11306"/>
    <tableColumn id="11325" xr3:uid="{DC15A42B-E86B-F54B-9050-1F1B9420F495}" name="Column11307"/>
    <tableColumn id="11326" xr3:uid="{478218FE-1484-D447-8683-7A01B775959A}" name="Column11308"/>
    <tableColumn id="11327" xr3:uid="{5B980FBE-50EC-A843-A276-D556A94D1DEF}" name="Column11309"/>
    <tableColumn id="11328" xr3:uid="{97981B4D-14BA-5840-B3C4-2DDD6353CA5D}" name="Column11310"/>
    <tableColumn id="11329" xr3:uid="{FF33A071-8201-5146-BA31-05F690A180BA}" name="Column11311"/>
    <tableColumn id="11330" xr3:uid="{4447E487-680D-5C48-8330-48B414278465}" name="Column11312"/>
    <tableColumn id="11331" xr3:uid="{0B3F9E23-C4E1-5D48-BD0B-7AADC75A38B8}" name="Column11313"/>
    <tableColumn id="11332" xr3:uid="{D0A98B7E-76D5-6E4D-B192-009BCE8677F0}" name="Column11314"/>
    <tableColumn id="11333" xr3:uid="{6075FD69-92D5-644C-9613-BB458492C3CA}" name="Column11315"/>
    <tableColumn id="11334" xr3:uid="{FC4A9DB3-DB15-764D-AA1E-7BB525F39C67}" name="Column11316"/>
    <tableColumn id="11335" xr3:uid="{BA048ABF-5919-2649-97E3-F36C96EB8B14}" name="Column11317"/>
    <tableColumn id="11336" xr3:uid="{039772F6-FF6E-8C41-A1D5-9780EC600962}" name="Column11318"/>
    <tableColumn id="11337" xr3:uid="{DDFA0E46-7E34-D743-94E2-55C82B5AF379}" name="Column11319"/>
    <tableColumn id="11338" xr3:uid="{0783856C-BA91-5745-8E2E-C2B94D6D10C6}" name="Column11320"/>
    <tableColumn id="11339" xr3:uid="{F3549F66-5479-4343-B787-C0214DF78475}" name="Column11321"/>
    <tableColumn id="11340" xr3:uid="{A502DD60-1A20-4748-98FF-41D746468632}" name="Column11322"/>
    <tableColumn id="11341" xr3:uid="{3CC7337E-0E9F-1647-8C83-FB2D9B586BFC}" name="Column11323"/>
    <tableColumn id="11342" xr3:uid="{16EC7EB5-069B-F249-8F57-7DE9FBED0F21}" name="Column11324"/>
    <tableColumn id="11343" xr3:uid="{D3FC613D-365D-0A46-A39A-27CC45829913}" name="Column11325"/>
    <tableColumn id="11344" xr3:uid="{DB5CA8D2-C82B-9E4C-84D4-1A0FD1EC3E8B}" name="Column11326"/>
    <tableColumn id="11345" xr3:uid="{8E85CB0E-9EA6-A144-ADB1-936535EADD8E}" name="Column11327"/>
    <tableColumn id="11346" xr3:uid="{BC80B33E-97BA-B844-B7B9-1051385705F1}" name="Column11328"/>
    <tableColumn id="11347" xr3:uid="{0F4C45BD-3131-654C-B545-05C388403F3B}" name="Column11329"/>
    <tableColumn id="11348" xr3:uid="{CC7270E0-132E-EF45-BA26-523CDEC5D9E8}" name="Column11330"/>
    <tableColumn id="11349" xr3:uid="{E0D8F027-AD55-274C-A115-9BA58DA59BFC}" name="Column11331"/>
    <tableColumn id="11350" xr3:uid="{3CB908D5-747B-A248-B711-AC0715666772}" name="Column11332"/>
    <tableColumn id="11351" xr3:uid="{97D6D74F-01E9-EB49-A59D-17C293501AAB}" name="Column11333"/>
    <tableColumn id="11352" xr3:uid="{3CE8DE8A-E88F-A34A-887E-67AB642A2655}" name="Column11334"/>
    <tableColumn id="11353" xr3:uid="{A809E4F4-BF32-0A4A-961A-BD35F001D63D}" name="Column11335"/>
    <tableColumn id="11354" xr3:uid="{3C777626-3088-1647-B437-F92FCC9914E5}" name="Column11336"/>
    <tableColumn id="11355" xr3:uid="{92E9E8E9-ED76-1147-87AF-4DA69FF88B89}" name="Column11337"/>
    <tableColumn id="11356" xr3:uid="{27A4EB5D-C3A4-D44A-B875-D7F8688679B6}" name="Column11338"/>
    <tableColumn id="11357" xr3:uid="{5A2CC3A1-B574-DC49-9974-2B7073D62939}" name="Column11339"/>
    <tableColumn id="11358" xr3:uid="{F4E71335-09FF-B346-A307-400DB22AD4EE}" name="Column11340"/>
    <tableColumn id="11359" xr3:uid="{C1544CFA-40C5-B54C-8643-A12678B04416}" name="Column11341"/>
    <tableColumn id="11360" xr3:uid="{2BBDC91E-37C4-5D44-B2E1-1C41911D821F}" name="Column11342"/>
    <tableColumn id="11361" xr3:uid="{034AF158-1765-894A-932A-2D7885191E97}" name="Column11343"/>
    <tableColumn id="11362" xr3:uid="{65972BBF-545E-A348-93C0-BCA0199822A7}" name="Column11344"/>
    <tableColumn id="11363" xr3:uid="{0FF903AC-7EC3-8C42-B69E-517C4F8AD43A}" name="Column11345"/>
    <tableColumn id="11364" xr3:uid="{0A2B3FEF-9AC1-584C-BD9B-058C86C68C06}" name="Column11346"/>
    <tableColumn id="11365" xr3:uid="{DA4DAB94-0FF3-6844-9C38-C85292220CAB}" name="Column11347"/>
    <tableColumn id="11366" xr3:uid="{B2332385-68AC-564A-8AFA-4815F86552D8}" name="Column11348"/>
    <tableColumn id="11367" xr3:uid="{D9D457D5-816B-674E-BB2D-ABD98C643703}" name="Column11349"/>
    <tableColumn id="11368" xr3:uid="{D3AA0CE0-F5E4-1E43-9A0D-BA21E21BEA4C}" name="Column11350"/>
    <tableColumn id="11369" xr3:uid="{817EAC18-AB04-A944-AF68-A3FF4816DD12}" name="Column11351"/>
    <tableColumn id="11370" xr3:uid="{BFD2B7D4-4AB2-E64E-A36E-3ABA5450E25B}" name="Column11352"/>
    <tableColumn id="11371" xr3:uid="{DE61AC15-3DC6-9F4D-863C-845C7C092EDA}" name="Column11353"/>
    <tableColumn id="11372" xr3:uid="{AEAB9D62-1C01-A84E-8832-3FD04492010F}" name="Column11354"/>
    <tableColumn id="11373" xr3:uid="{5C663BD2-2E52-0F4F-A491-0E8817246EEB}" name="Column11355"/>
    <tableColumn id="11374" xr3:uid="{4F33BF79-06EA-6243-8830-AE9D53C2C599}" name="Column11356"/>
    <tableColumn id="11375" xr3:uid="{AD403276-B904-114C-8B63-92060DD66661}" name="Column11357"/>
    <tableColumn id="11376" xr3:uid="{715F023E-B91F-CB41-B8D2-6315FDA2BDFB}" name="Column11358"/>
    <tableColumn id="11377" xr3:uid="{722246E8-A305-3946-B115-DA647D06D5B8}" name="Column11359"/>
    <tableColumn id="11378" xr3:uid="{A917482D-B3BB-F448-96E7-A89023D84861}" name="Column11360"/>
    <tableColumn id="11379" xr3:uid="{675D31E4-BAF9-2344-9038-B1DC6CF43DD0}" name="Column11361"/>
    <tableColumn id="11380" xr3:uid="{DED21F91-89C2-B648-88DF-2163410190DC}" name="Column11362"/>
    <tableColumn id="11381" xr3:uid="{A0FBB5A6-8E44-564B-A374-5A80EDF91506}" name="Column11363"/>
    <tableColumn id="11382" xr3:uid="{5088A688-EA61-0544-87F7-C8F82E04D1C6}" name="Column11364"/>
    <tableColumn id="11383" xr3:uid="{9E5549FE-CE9F-7A47-8358-D190EC4FC803}" name="Column11365"/>
    <tableColumn id="11384" xr3:uid="{EDC0811B-24E2-6549-8ED2-BF86E0C5053E}" name="Column11366"/>
    <tableColumn id="11385" xr3:uid="{BA0239D1-63AD-F843-92C6-8671E1F5B29D}" name="Column11367"/>
    <tableColumn id="11386" xr3:uid="{16EC5F4D-2D86-334F-93E9-ECC17256A72B}" name="Column11368"/>
    <tableColumn id="11387" xr3:uid="{353F7312-5DCA-8B49-8BFD-409E604EC635}" name="Column11369"/>
    <tableColumn id="11388" xr3:uid="{85746619-BC62-CC42-B99B-222A1B4EF763}" name="Column11370"/>
    <tableColumn id="11389" xr3:uid="{5927411D-5840-A441-9412-17D4D5174B32}" name="Column11371"/>
    <tableColumn id="11390" xr3:uid="{367D0AFA-E262-A744-9E51-267E36DF786A}" name="Column11372"/>
    <tableColumn id="11391" xr3:uid="{FCE8E4F7-2C98-B741-8E74-18DD2E39F66A}" name="Column11373"/>
    <tableColumn id="11392" xr3:uid="{1356F4CD-3960-234C-9A1D-2FAD324C80D0}" name="Column11374"/>
    <tableColumn id="11393" xr3:uid="{8FB4AA9B-5A84-4E41-B9EF-93B44AA28C6A}" name="Column11375"/>
    <tableColumn id="11394" xr3:uid="{8DA3CE7D-59BE-E945-AB27-D833137744CD}" name="Column11376"/>
    <tableColumn id="11395" xr3:uid="{F378FB18-C2B6-9D45-86BC-6BDE6E48F940}" name="Column11377"/>
    <tableColumn id="11396" xr3:uid="{4769A542-3D4E-9E4D-9FA3-EFC5A6B0B258}" name="Column11378"/>
    <tableColumn id="11397" xr3:uid="{E0B0FE63-FB02-3B4D-B205-D011BB4DD619}" name="Column11379"/>
    <tableColumn id="11398" xr3:uid="{76940C68-FC77-4049-A9B9-86CA61CE8BF8}" name="Column11380"/>
    <tableColumn id="11399" xr3:uid="{DC3DB8BA-816E-B54C-9BE9-1ECC0309F42D}" name="Column11381"/>
    <tableColumn id="11400" xr3:uid="{1236B447-B94C-A142-8860-24A8E05768F9}" name="Column11382"/>
    <tableColumn id="11401" xr3:uid="{9430118D-722D-4A4B-89AF-568B2FE6BA45}" name="Column11383"/>
    <tableColumn id="11402" xr3:uid="{2A97272A-DCB9-6F47-B559-0BE293BA6705}" name="Column11384"/>
    <tableColumn id="11403" xr3:uid="{A2F1B62E-F0D4-9D4E-9EBE-53B2DBAE2A68}" name="Column11385"/>
    <tableColumn id="11404" xr3:uid="{6DB1CEC0-310B-7447-9E20-F312E3E561E1}" name="Column11386"/>
    <tableColumn id="11405" xr3:uid="{6A706EEF-AD6D-2D43-8773-945AA03588D7}" name="Column11387"/>
    <tableColumn id="11406" xr3:uid="{57303E16-DB16-0548-8DF3-0A7EFE9CF5AC}" name="Column11388"/>
    <tableColumn id="11407" xr3:uid="{09528CD2-5C9A-394D-A1CF-0D5229288D61}" name="Column11389"/>
    <tableColumn id="11408" xr3:uid="{67C0298B-A450-5241-BB39-D0D4E11173FB}" name="Column11390"/>
    <tableColumn id="11409" xr3:uid="{1ACBCFE7-AA5A-8E45-9708-E91991B5CA8E}" name="Column11391"/>
    <tableColumn id="11410" xr3:uid="{A0FCB9E0-E4ED-8F4E-9DA1-DA0BD8E03936}" name="Column11392"/>
    <tableColumn id="11411" xr3:uid="{3EA8EDA1-C433-8C4F-BCBE-20DCEC2661B9}" name="Column11393"/>
    <tableColumn id="11412" xr3:uid="{E5F95216-E503-D54A-A478-D72674CA2172}" name="Column11394"/>
    <tableColumn id="11413" xr3:uid="{B65C2EAA-5FA8-364E-8F7A-93B904C224DD}" name="Column11395"/>
    <tableColumn id="11414" xr3:uid="{FF85A4AF-9CDB-A84E-A0BF-164066D15B48}" name="Column11396"/>
    <tableColumn id="11415" xr3:uid="{8A0E9018-735B-9A4F-9741-FD9DF39E0839}" name="Column11397"/>
    <tableColumn id="11416" xr3:uid="{DCFD6AF8-F61A-854B-B61F-F680423A86AA}" name="Column11398"/>
    <tableColumn id="11417" xr3:uid="{82311954-40DE-5B4A-BD84-EACD2868FB13}" name="Column11399"/>
    <tableColumn id="11418" xr3:uid="{92944ABD-FD64-0941-B99E-B0B756C6F18B}" name="Column11400"/>
    <tableColumn id="11419" xr3:uid="{8EBE0B16-6E9C-044F-82B2-B63FDD458FCF}" name="Column11401"/>
    <tableColumn id="11420" xr3:uid="{8E1098B6-771A-5741-93AA-51BF56A27DEF}" name="Column11402"/>
    <tableColumn id="11421" xr3:uid="{BE516FE3-3DBC-C249-B0E1-958C87493CF6}" name="Column11403"/>
    <tableColumn id="11422" xr3:uid="{3FFCA561-DEED-6D4B-A575-F12D08EEE973}" name="Column11404"/>
    <tableColumn id="11423" xr3:uid="{55E6BE2B-2468-444D-94D0-9099B3EBE707}" name="Column11405"/>
    <tableColumn id="11424" xr3:uid="{A5915285-B52D-FF47-8BAE-BC036B54169A}" name="Column11406"/>
    <tableColumn id="11425" xr3:uid="{2D48EAC7-C8EC-DD4F-BEC2-C20BC0FD1B77}" name="Column11407"/>
    <tableColumn id="11426" xr3:uid="{91A76F98-7243-394B-805C-6F3D1FB686D3}" name="Column11408"/>
    <tableColumn id="11427" xr3:uid="{9A958EED-6F01-A74C-91AD-13B3F431CE44}" name="Column11409"/>
    <tableColumn id="11428" xr3:uid="{C530ECDE-0857-684C-B715-B1BB2B3FB843}" name="Column11410"/>
    <tableColumn id="11429" xr3:uid="{9ADBF191-AFDA-E444-816F-493049C02919}" name="Column11411"/>
    <tableColumn id="11430" xr3:uid="{0A69DB6C-E22D-6B4D-98A7-16A69A878763}" name="Column11412"/>
    <tableColumn id="11431" xr3:uid="{9B939F71-04D9-574F-8C84-4B4569D1AA8B}" name="Column11413"/>
    <tableColumn id="11432" xr3:uid="{3315C547-4DD3-9A44-A238-96F59F334E01}" name="Column11414"/>
    <tableColumn id="11433" xr3:uid="{28D2CDF8-7A8F-AA44-9AE3-D6E20E30D6CB}" name="Column11415"/>
    <tableColumn id="11434" xr3:uid="{C710718C-4B7C-874A-8031-74345FB2D45D}" name="Column11416"/>
    <tableColumn id="11435" xr3:uid="{639768DE-E101-F942-9257-2C4B65835BB6}" name="Column11417"/>
    <tableColumn id="11436" xr3:uid="{7355298B-22BF-D34A-9DBE-6586362023C0}" name="Column11418"/>
    <tableColumn id="11437" xr3:uid="{4F8B6FD5-1068-2B43-ADEE-C349DB25A949}" name="Column11419"/>
    <tableColumn id="11438" xr3:uid="{54A85E65-C72D-1D4A-83DE-2E394BEE7F36}" name="Column11420"/>
    <tableColumn id="11439" xr3:uid="{99AAF6F3-9BE8-E145-9DB3-53199C47A4A0}" name="Column11421"/>
    <tableColumn id="11440" xr3:uid="{3633142E-B5CD-614E-BFE5-08AB62CE2237}" name="Column11422"/>
    <tableColumn id="11441" xr3:uid="{1126B62F-5A75-2447-BCA7-750BB4FDF8F2}" name="Column11423"/>
    <tableColumn id="11442" xr3:uid="{475B8010-FADB-EB40-8211-88F09F90A0AF}" name="Column11424"/>
    <tableColumn id="11443" xr3:uid="{A80B34ED-7052-9D4D-B9DE-9237C3DBA480}" name="Column11425"/>
    <tableColumn id="11444" xr3:uid="{58CEBC1D-5340-0D4A-B125-18D321B5EDE9}" name="Column11426"/>
    <tableColumn id="11445" xr3:uid="{C718CFF9-3C14-8E46-B89D-4BDC96118F37}" name="Column11427"/>
    <tableColumn id="11446" xr3:uid="{0C142EAA-F3EC-9D4C-9207-776CD08A1275}" name="Column11428"/>
    <tableColumn id="11447" xr3:uid="{00375799-C0BB-F84E-B7CC-F0E815A9935D}" name="Column11429"/>
    <tableColumn id="11448" xr3:uid="{3FA06D7E-061C-2B44-A26E-D129E1D44A1E}" name="Column11430"/>
    <tableColumn id="11449" xr3:uid="{DD1AAF01-544C-454D-813F-6D5BB614F68F}" name="Column11431"/>
    <tableColumn id="11450" xr3:uid="{3CECC653-B478-534D-959F-CAA266EF2366}" name="Column11432"/>
    <tableColumn id="11451" xr3:uid="{0518204E-052B-3B41-9992-428359ACD1A2}" name="Column11433"/>
    <tableColumn id="11452" xr3:uid="{295A7160-EF19-C04D-BDB3-B3D1AB6F286C}" name="Column11434"/>
    <tableColumn id="11453" xr3:uid="{EFCDE009-328B-B442-81F0-CB8C05D54432}" name="Column11435"/>
    <tableColumn id="11454" xr3:uid="{A94D9B59-2C48-1C4D-9695-EB4A30CE7B13}" name="Column11436"/>
    <tableColumn id="11455" xr3:uid="{4EA5179F-3D18-5D43-9A8A-FEAFA1BBE371}" name="Column11437"/>
    <tableColumn id="11456" xr3:uid="{B757EB42-DF47-2D44-9281-EB90A2F97E75}" name="Column11438"/>
    <tableColumn id="11457" xr3:uid="{0C0F8C63-2698-D946-9953-7A3F5789D04A}" name="Column11439"/>
    <tableColumn id="11458" xr3:uid="{52A0871F-95C3-E549-93F3-7773DD37FC51}" name="Column11440"/>
    <tableColumn id="11459" xr3:uid="{AB75C193-5D01-F447-AFE3-B9DA6C48D806}" name="Column11441"/>
    <tableColumn id="11460" xr3:uid="{1B449F9E-1963-E84D-A6A3-43B2CF290E3D}" name="Column11442"/>
    <tableColumn id="11461" xr3:uid="{98127838-DBF9-0740-97AB-7D05DB63D63D}" name="Column11443"/>
    <tableColumn id="11462" xr3:uid="{83EFAB68-6D82-4447-8E4C-A37FD1E16BF8}" name="Column11444"/>
    <tableColumn id="11463" xr3:uid="{D1A697AE-52F1-5F4A-BBB8-70AA0B80EE21}" name="Column11445"/>
    <tableColumn id="11464" xr3:uid="{5E78D72B-0F8D-5E45-9092-D5CB091ADFB3}" name="Column11446"/>
    <tableColumn id="11465" xr3:uid="{825DDA28-510A-194F-B406-9BB272F64DDA}" name="Column11447"/>
    <tableColumn id="11466" xr3:uid="{8F48D6C4-0301-1040-96AC-1D8BACF888D2}" name="Column11448"/>
    <tableColumn id="11467" xr3:uid="{4FB802CF-3BBB-F746-A362-F1BE8ECFCA9E}" name="Column11449"/>
    <tableColumn id="11468" xr3:uid="{CCD61ECF-51B7-C148-AB2B-0B09EFF1555D}" name="Column11450"/>
    <tableColumn id="11469" xr3:uid="{F4E266F2-5691-A143-A32E-CF40B61DDFAB}" name="Column11451"/>
    <tableColumn id="11470" xr3:uid="{13EBDBEC-5B30-F24C-99CD-F226A375C3AA}" name="Column11452"/>
    <tableColumn id="11471" xr3:uid="{1B4825EB-912B-874C-BE9F-6710D76BB99D}" name="Column11453"/>
    <tableColumn id="11472" xr3:uid="{5B6EADE7-CCF8-0A46-B180-25F8A4187FFF}" name="Column11454"/>
    <tableColumn id="11473" xr3:uid="{0C59CEDC-2084-4842-9C69-6665E3E42FA4}" name="Column11455"/>
    <tableColumn id="11474" xr3:uid="{7BF81E6E-5053-4942-940D-15C5EB3BAAAF}" name="Column11456"/>
    <tableColumn id="11475" xr3:uid="{3A0285F0-DC7C-554F-B553-215E15BB9F0E}" name="Column11457"/>
    <tableColumn id="11476" xr3:uid="{00E9B3AC-61B0-8841-9802-EBA26093713A}" name="Column11458"/>
    <tableColumn id="11477" xr3:uid="{FBA25920-A403-374C-A5F6-97FAC7BBDFCD}" name="Column11459"/>
    <tableColumn id="11478" xr3:uid="{BE82B99A-DB19-9345-87FD-FFEF9666F5C8}" name="Column11460"/>
    <tableColumn id="11479" xr3:uid="{D0BF8F19-2B25-D742-ACEF-46DD6EF77972}" name="Column11461"/>
    <tableColumn id="11480" xr3:uid="{10E8741D-E22F-364F-A51C-B1BAECFA6787}" name="Column11462"/>
    <tableColumn id="11481" xr3:uid="{E3613750-7470-5D4C-89D2-245F801BC243}" name="Column11463"/>
    <tableColumn id="11482" xr3:uid="{D002DAA6-3EC9-C24C-8A99-D8AF70025707}" name="Column11464"/>
    <tableColumn id="11483" xr3:uid="{7AE83464-4934-554F-B0D1-470B152DAFBA}" name="Column11465"/>
    <tableColumn id="11484" xr3:uid="{FA135FC9-0044-DC49-BD21-1DC1644C095F}" name="Column11466"/>
    <tableColumn id="11485" xr3:uid="{39FA4BED-32BF-A94F-A160-71EDCC6D6DEE}" name="Column11467"/>
    <tableColumn id="11486" xr3:uid="{8672F0FE-2A82-4F4B-9390-D85F6061CF69}" name="Column11468"/>
    <tableColumn id="11487" xr3:uid="{861C008D-9E4A-8848-8138-696A8F7EE185}" name="Column11469"/>
    <tableColumn id="11488" xr3:uid="{BE8A8D44-4650-874C-8A0B-24513A4A8483}" name="Column11470"/>
    <tableColumn id="11489" xr3:uid="{6C3AB7D2-D197-9342-A005-72C51E7A17E4}" name="Column11471"/>
    <tableColumn id="11490" xr3:uid="{7E59DB03-CC8E-0B4A-A16F-83D129DFD6D9}" name="Column11472"/>
    <tableColumn id="11491" xr3:uid="{6BEB68AC-0A46-C840-8F86-64605F86C103}" name="Column11473"/>
    <tableColumn id="11492" xr3:uid="{6556E478-3FD5-2E48-B15B-EEC07DA57111}" name="Column11474"/>
    <tableColumn id="11493" xr3:uid="{101E6885-D753-7D4B-8108-4FF6041CDD4B}" name="Column11475"/>
    <tableColumn id="11494" xr3:uid="{6B786A80-E914-3648-8287-477598D68707}" name="Column11476"/>
    <tableColumn id="11495" xr3:uid="{D055A320-3075-B24B-8040-4D7FBC7F5D48}" name="Column11477"/>
    <tableColumn id="11496" xr3:uid="{EB223248-B4C0-1D47-897F-887F67106B06}" name="Column11478"/>
    <tableColumn id="11497" xr3:uid="{E2B05BE1-94B0-3548-95D3-A393E6099500}" name="Column11479"/>
    <tableColumn id="11498" xr3:uid="{31CFAC28-7278-D447-B9BD-CD43F18FA081}" name="Column11480"/>
    <tableColumn id="11499" xr3:uid="{43E5032D-E256-304C-B062-1B74848EE01C}" name="Column11481"/>
    <tableColumn id="11500" xr3:uid="{A01A87C9-F1B9-7A42-B536-526E8CF87CB7}" name="Column11482"/>
    <tableColumn id="11501" xr3:uid="{A019711B-AD6C-7F4C-B155-E6A55F77A5BB}" name="Column11483"/>
    <tableColumn id="11502" xr3:uid="{8A0B3424-EF0A-5F47-B5DE-A9977DEB0C91}" name="Column11484"/>
    <tableColumn id="11503" xr3:uid="{347369B1-D498-7542-BF93-E1925A7DB660}" name="Column11485"/>
    <tableColumn id="11504" xr3:uid="{459B6606-5D29-B744-B9EA-22266B18F242}" name="Column11486"/>
    <tableColumn id="11505" xr3:uid="{C8AB978D-A5AE-CA47-9F56-67A10C0113CF}" name="Column11487"/>
    <tableColumn id="11506" xr3:uid="{5611C6E9-8A78-1043-AF0D-1CFA4D8921A7}" name="Column11488"/>
    <tableColumn id="11507" xr3:uid="{CA0F0CC0-5CDE-CD41-9793-E024712D7E7D}" name="Column11489"/>
    <tableColumn id="11508" xr3:uid="{6219B8BA-46A2-C64B-A445-D2D68B8D7ABE}" name="Column11490"/>
    <tableColumn id="11509" xr3:uid="{71EBE1D0-BCA2-A047-86AF-8A74D2A367FC}" name="Column11491"/>
    <tableColumn id="11510" xr3:uid="{D7FE5D31-93BD-4145-B4CB-492252E85D96}" name="Column11492"/>
    <tableColumn id="11511" xr3:uid="{00ED49FD-30B8-9748-97AC-B2BC57913B60}" name="Column11493"/>
    <tableColumn id="11512" xr3:uid="{DD64F751-DB34-F74F-A892-64AF11551A7B}" name="Column11494"/>
    <tableColumn id="11513" xr3:uid="{768220E9-DAB4-E545-A15F-2162F0BC8D1B}" name="Column11495"/>
    <tableColumn id="11514" xr3:uid="{B4C44586-13C6-1846-B494-B3FA63B9ABDA}" name="Column11496"/>
    <tableColumn id="11515" xr3:uid="{6D2E6D37-DD4F-D94E-ABF6-9A55DA90F766}" name="Column11497"/>
    <tableColumn id="11516" xr3:uid="{70272093-591D-5944-80B5-90CC2A1A89B1}" name="Column11498"/>
    <tableColumn id="11517" xr3:uid="{C76C72B9-98BB-464D-BA93-350D557171C3}" name="Column11499"/>
    <tableColumn id="11518" xr3:uid="{25B115A5-78C2-3043-A2F0-4B649AEC980A}" name="Column11500"/>
    <tableColumn id="11519" xr3:uid="{8F9D1712-41AD-DA4F-BCA7-8553F6064AAF}" name="Column11501"/>
    <tableColumn id="11520" xr3:uid="{77D9F37C-1FDC-3E49-B37E-697352A06300}" name="Column11502"/>
    <tableColumn id="11521" xr3:uid="{8F5F5A57-4427-6640-8EC9-CBF22AD86237}" name="Column11503"/>
    <tableColumn id="11522" xr3:uid="{31FEE0EE-B9B8-DE44-B221-E32FC529BE60}" name="Column11504"/>
    <tableColumn id="11523" xr3:uid="{52F0FF99-645F-3F4B-A325-76C9774E7813}" name="Column11505"/>
    <tableColumn id="11524" xr3:uid="{820F793F-E9AE-E146-8701-5FA18CB44F3C}" name="Column11506"/>
    <tableColumn id="11525" xr3:uid="{34C2FA3B-FD21-DD4E-81C3-BDE8C4D8C113}" name="Column11507"/>
    <tableColumn id="11526" xr3:uid="{D89961A6-93EA-B44C-BCC8-0ADE293EF4D1}" name="Column11508"/>
    <tableColumn id="11527" xr3:uid="{B76AA107-3FB2-6747-B75C-77025629D177}" name="Column11509"/>
    <tableColumn id="11528" xr3:uid="{828FD325-A346-2944-B9A0-2DE2AA72E32B}" name="Column11510"/>
    <tableColumn id="11529" xr3:uid="{83F0D58A-2294-9741-BF8A-5E361A53BE18}" name="Column11511"/>
    <tableColumn id="11530" xr3:uid="{7A8F71C5-9891-5445-9F5D-F7B9A4BABEF9}" name="Column11512"/>
    <tableColumn id="11531" xr3:uid="{CE3C4089-3A76-404F-B54E-B7998BDBFDF9}" name="Column11513"/>
    <tableColumn id="11532" xr3:uid="{4BF962CE-8D88-FF4C-8D14-E4EDAB9E0BCF}" name="Column11514"/>
    <tableColumn id="11533" xr3:uid="{33115928-E1F1-0744-AA42-4122374ED591}" name="Column11515"/>
    <tableColumn id="11534" xr3:uid="{E585C915-E6B6-8348-BB8D-15C90550C583}" name="Column11516"/>
    <tableColumn id="11535" xr3:uid="{2C05962A-C9D9-5F4C-9BAB-9A735E646826}" name="Column11517"/>
    <tableColumn id="11536" xr3:uid="{ADB74B02-95C3-3D4E-966B-D2CC08611D35}" name="Column11518"/>
    <tableColumn id="11537" xr3:uid="{66EEC5E1-73A9-C84C-BB21-CB4FF68825C8}" name="Column11519"/>
    <tableColumn id="11538" xr3:uid="{885FE570-A78C-2B42-80FC-BBFDE7DC5C5B}" name="Column11520"/>
    <tableColumn id="11539" xr3:uid="{5DFE75F4-923B-D44D-BDAC-347ED0EBD8AA}" name="Column11521"/>
    <tableColumn id="11540" xr3:uid="{66F38F3E-4C53-9440-B1ED-B2F3FC03934D}" name="Column11522"/>
    <tableColumn id="11541" xr3:uid="{1027BD74-4F37-1F4D-BA76-3172373EC6DC}" name="Column11523"/>
    <tableColumn id="11542" xr3:uid="{40DB2C3B-1183-C744-9977-033F08D6B442}" name="Column11524"/>
    <tableColumn id="11543" xr3:uid="{B9E4C53A-9BAC-6248-A369-14F052B275F6}" name="Column11525"/>
    <tableColumn id="11544" xr3:uid="{89A65F8B-B8D9-694A-BF0E-2E050C60E320}" name="Column11526"/>
    <tableColumn id="11545" xr3:uid="{80230E52-7C80-D045-A23B-E60A1FD81DE4}" name="Column11527"/>
    <tableColumn id="11546" xr3:uid="{AD468296-47E8-D746-B474-0787CE4B34F2}" name="Column11528"/>
    <tableColumn id="11547" xr3:uid="{8D08148E-A9F3-7640-9680-8E4C6F129927}" name="Column11529"/>
    <tableColumn id="11548" xr3:uid="{E18D0CCE-B46A-F84D-8A58-A9F0CB200BA5}" name="Column11530"/>
    <tableColumn id="11549" xr3:uid="{271AF851-0587-1746-8CFC-A5BD56D396E7}" name="Column11531"/>
    <tableColumn id="11550" xr3:uid="{959CBD85-6E11-BD4E-AD85-A83F06C4401A}" name="Column11532"/>
    <tableColumn id="11551" xr3:uid="{4CD2D33C-1FA5-564C-9BCC-8CD4B908B555}" name="Column11533"/>
    <tableColumn id="11552" xr3:uid="{A3E19AC0-5C34-9B47-95DB-25372B04AD72}" name="Column11534"/>
    <tableColumn id="11553" xr3:uid="{28313A2A-3948-464A-B47A-80730386EB1B}" name="Column11535"/>
    <tableColumn id="11554" xr3:uid="{A5E5E807-DB2C-9D4F-95C8-0C7B91CC5211}" name="Column11536"/>
    <tableColumn id="11555" xr3:uid="{E7A92005-5AA0-434D-B510-29C3AADB35BC}" name="Column11537"/>
    <tableColumn id="11556" xr3:uid="{6EF58821-099C-D54B-B61C-8B1A0660E172}" name="Column11538"/>
    <tableColumn id="11557" xr3:uid="{3455932D-9F4E-944B-B381-6E316A29EEB0}" name="Column11539"/>
    <tableColumn id="11558" xr3:uid="{3E864A4C-CCE6-DC4B-8029-6B83F9959F86}" name="Column11540"/>
    <tableColumn id="11559" xr3:uid="{00ECA188-EEF5-5647-9A7F-7D5D76DB557A}" name="Column11541"/>
    <tableColumn id="11560" xr3:uid="{BDE965E4-1A75-1443-A50C-093635C6FC30}" name="Column11542"/>
    <tableColumn id="11561" xr3:uid="{44E89AA2-65A1-0B46-843F-679DD75271E4}" name="Column11543"/>
    <tableColumn id="11562" xr3:uid="{3BEEAF6F-3B07-E341-81B7-0BABC3F5B8D2}" name="Column11544"/>
    <tableColumn id="11563" xr3:uid="{92AAFA73-43E1-2244-B838-B31145E3E772}" name="Column11545"/>
    <tableColumn id="11564" xr3:uid="{2666EC54-5A01-C54F-9CF3-47FAB17DEC0E}" name="Column11546"/>
    <tableColumn id="11565" xr3:uid="{718D5F95-BEC2-8D42-88DB-6B6030BBC516}" name="Column11547"/>
    <tableColumn id="11566" xr3:uid="{E4F61C8B-116D-8F45-86DA-E8AB76F2EDE3}" name="Column11548"/>
    <tableColumn id="11567" xr3:uid="{192EBA0F-5CCF-CA4F-989C-50267F4DAEFC}" name="Column11549"/>
    <tableColumn id="11568" xr3:uid="{8BBA1BA3-FE29-8546-B5A9-098A34E4E46C}" name="Column11550"/>
    <tableColumn id="11569" xr3:uid="{BF172C43-D1DB-244F-B6F2-C2E04A5C8356}" name="Column11551"/>
    <tableColumn id="11570" xr3:uid="{E17CDF2C-1F67-654C-84B4-EB893DCDBC7B}" name="Column11552"/>
    <tableColumn id="11571" xr3:uid="{F50DC31F-49AA-664E-B012-3E2D69C98B3C}" name="Column11553"/>
    <tableColumn id="11572" xr3:uid="{11887524-8F84-7544-A7C9-C5AC25E96174}" name="Column11554"/>
    <tableColumn id="11573" xr3:uid="{37A208C8-0CF3-A34D-A652-D441A8BC8654}" name="Column11555"/>
    <tableColumn id="11574" xr3:uid="{46BE2412-0D37-824E-9BA1-CA21A3369E77}" name="Column11556"/>
    <tableColumn id="11575" xr3:uid="{87322656-A665-1348-AF1E-BF315B34B8D6}" name="Column11557"/>
    <tableColumn id="11576" xr3:uid="{7DCF2B0C-1A8F-614F-A0F3-5100C9048B8B}" name="Column11558"/>
    <tableColumn id="11577" xr3:uid="{D188F34D-A542-944E-9A94-539B8F756C1E}" name="Column11559"/>
    <tableColumn id="11578" xr3:uid="{B85E10A7-9AB4-8746-A94C-9894334F94E5}" name="Column11560"/>
    <tableColumn id="11579" xr3:uid="{5A99DC15-EAC6-8845-8670-9673203F2096}" name="Column11561"/>
    <tableColumn id="11580" xr3:uid="{D795D106-75C1-5B44-9A88-C14829B292BD}" name="Column11562"/>
    <tableColumn id="11581" xr3:uid="{CC105B26-746E-C544-8B4D-4A372EEFC0C8}" name="Column11563"/>
    <tableColumn id="11582" xr3:uid="{46923334-F8AA-6D40-B6CF-E972283F14CA}" name="Column11564"/>
    <tableColumn id="11583" xr3:uid="{F1534220-728C-0746-A26D-B2AE211F60E3}" name="Column11565"/>
    <tableColumn id="11584" xr3:uid="{09ABD0A2-CA28-5E4B-8CE9-7ABA619F7083}" name="Column11566"/>
    <tableColumn id="11585" xr3:uid="{557F433E-AC1F-8043-A4F0-CE660B0A9E29}" name="Column11567"/>
    <tableColumn id="11586" xr3:uid="{C597363B-6B8E-8741-A5CF-0EFA62380726}" name="Column11568"/>
    <tableColumn id="11587" xr3:uid="{13B89029-31D6-BB43-BCC9-0A2F50FBD954}" name="Column11569"/>
    <tableColumn id="11588" xr3:uid="{A40E8C80-439D-5F4C-BC45-963107EA6D9C}" name="Column11570"/>
    <tableColumn id="11589" xr3:uid="{EE6A3BB0-6195-7A4D-AC57-DCA9C6AE000C}" name="Column11571"/>
    <tableColumn id="11590" xr3:uid="{5CC62611-D6FC-4A49-BB04-E91571778464}" name="Column11572"/>
    <tableColumn id="11591" xr3:uid="{59A8AB78-18CB-4A4D-B82F-E5DB885620DE}" name="Column11573"/>
    <tableColumn id="11592" xr3:uid="{B8BC8461-7E64-E04C-8D5F-41306FA5EC25}" name="Column11574"/>
    <tableColumn id="11593" xr3:uid="{7232BF85-7FF2-7543-8C79-443A237FCF9D}" name="Column11575"/>
    <tableColumn id="11594" xr3:uid="{D30368D9-1D17-1945-A89C-E21E440A8F89}" name="Column11576"/>
    <tableColumn id="11595" xr3:uid="{18377431-8A39-D845-907B-8DE1FD91E767}" name="Column11577"/>
    <tableColumn id="11596" xr3:uid="{3E1E68A7-8206-4748-886E-DD54449F212C}" name="Column11578"/>
    <tableColumn id="11597" xr3:uid="{67C7DD84-DBD4-DB4D-B57D-DC2AA755DB8B}" name="Column11579"/>
    <tableColumn id="11598" xr3:uid="{79ECCDA3-735A-844A-9090-051C0FC997A6}" name="Column11580"/>
    <tableColumn id="11599" xr3:uid="{7A10937B-F4FC-234A-89DF-D13FECB9D530}" name="Column11581"/>
    <tableColumn id="11600" xr3:uid="{165011AE-B7F6-2F4E-A517-68846B79382D}" name="Column11582"/>
    <tableColumn id="11601" xr3:uid="{AD5B86A2-C26C-EA4D-B489-D19EDAA076C3}" name="Column11583"/>
    <tableColumn id="11602" xr3:uid="{0AF9D7A3-A079-1F4E-94D5-CDBF972E393F}" name="Column11584"/>
    <tableColumn id="11603" xr3:uid="{77476093-E7B6-B248-8291-C7FA6613099C}" name="Column11585"/>
    <tableColumn id="11604" xr3:uid="{32A01E90-FDF4-C843-8B51-351573F9E656}" name="Column11586"/>
    <tableColumn id="11605" xr3:uid="{B9FF55FB-EE00-1D49-B8D5-991598C77884}" name="Column11587"/>
    <tableColumn id="11606" xr3:uid="{F9A774E4-6D0B-0745-BA80-E3E71D194C92}" name="Column11588"/>
    <tableColumn id="11607" xr3:uid="{3B8D0559-87E1-B442-A9C2-55828000A7D9}" name="Column11589"/>
    <tableColumn id="11608" xr3:uid="{016E0A05-ABEE-2D47-B514-D7D381D64C0C}" name="Column11590"/>
    <tableColumn id="11609" xr3:uid="{8D0F947A-27C4-1D4F-ABB9-38971002A0B6}" name="Column11591"/>
    <tableColumn id="11610" xr3:uid="{9F0A5D27-5157-C147-B816-9B29FBA5776F}" name="Column11592"/>
    <tableColumn id="11611" xr3:uid="{0407B4C1-1784-F244-9108-D6B6F2EB259C}" name="Column11593"/>
    <tableColumn id="11612" xr3:uid="{9F19E0E0-2092-ED45-B90E-BA452B2A6BF4}" name="Column11594"/>
    <tableColumn id="11613" xr3:uid="{5BA6FD4E-CB03-BA4A-8E4B-109BF886EE23}" name="Column11595"/>
    <tableColumn id="11614" xr3:uid="{15C02E52-331B-F54A-A419-8687CD223731}" name="Column11596"/>
    <tableColumn id="11615" xr3:uid="{DE631AC6-D7A8-F042-83A4-71DDB703E11F}" name="Column11597"/>
    <tableColumn id="11616" xr3:uid="{AC2D2CE1-5DBB-A94E-8658-19797BDD66E1}" name="Column11598"/>
    <tableColumn id="11617" xr3:uid="{5BCCD945-F413-4940-830B-89388F62EFA3}" name="Column11599"/>
    <tableColumn id="11618" xr3:uid="{221E084F-3B52-0144-B16A-74192CFEB8C2}" name="Column11600"/>
    <tableColumn id="11619" xr3:uid="{95BB1A91-9E7D-8B4C-8F7A-7713630EEA07}" name="Column11601"/>
    <tableColumn id="11620" xr3:uid="{31403693-09B4-0849-A1A6-B7024031EF98}" name="Column11602"/>
    <tableColumn id="11621" xr3:uid="{8957EE12-C453-8A4E-92F4-AA352E5822B9}" name="Column11603"/>
    <tableColumn id="11622" xr3:uid="{9B11CA9C-DCA3-F94E-8025-81A9018BC41C}" name="Column11604"/>
    <tableColumn id="11623" xr3:uid="{3296FFE7-32FA-F24F-9C87-1F4805BFB690}" name="Column11605"/>
    <tableColumn id="11624" xr3:uid="{599EF9CB-B0F5-5747-A27F-94B4B1528652}" name="Column11606"/>
    <tableColumn id="11625" xr3:uid="{B590D81F-98CD-5645-8A3B-3700DD4924A2}" name="Column11607"/>
    <tableColumn id="11626" xr3:uid="{D27A6414-4871-E64F-84AF-E41B9AB2C4A9}" name="Column11608"/>
    <tableColumn id="11627" xr3:uid="{E7D08DEB-D0B7-F646-8062-507881B1F9E6}" name="Column11609"/>
    <tableColumn id="11628" xr3:uid="{68BA3B1B-A7C9-EE46-84A8-100113D20D1F}" name="Column11610"/>
    <tableColumn id="11629" xr3:uid="{8B874AA5-C530-9B4B-BAF6-4059ABAD0A5B}" name="Column11611"/>
    <tableColumn id="11630" xr3:uid="{000F109F-3E43-CE45-BF53-BDB13E8FBF99}" name="Column11612"/>
    <tableColumn id="11631" xr3:uid="{5EB32270-B00A-8C4E-ACC8-42576758B327}" name="Column11613"/>
    <tableColumn id="11632" xr3:uid="{28633F28-FE95-E04F-88F6-9E324E6A2947}" name="Column11614"/>
    <tableColumn id="11633" xr3:uid="{B9CA0A76-2361-5044-9703-2A3BA86133C2}" name="Column11615"/>
    <tableColumn id="11634" xr3:uid="{6EBCA0A1-4078-B94B-A54E-90A6BD7A862B}" name="Column11616"/>
    <tableColumn id="11635" xr3:uid="{D3C4AF80-9F9B-2F4E-B557-19203E0F837F}" name="Column11617"/>
    <tableColumn id="11636" xr3:uid="{10B09B05-EF02-FE4E-844A-ED66C7141E27}" name="Column11618"/>
    <tableColumn id="11637" xr3:uid="{1D91AD94-B376-C54F-B8BC-768FEF18C711}" name="Column11619"/>
    <tableColumn id="11638" xr3:uid="{235D649D-FE68-FE4E-92D0-F101C9FEF52E}" name="Column11620"/>
    <tableColumn id="11639" xr3:uid="{646ECA55-2DB6-A24A-8768-46786E2A2AAF}" name="Column11621"/>
    <tableColumn id="11640" xr3:uid="{3763410D-17EA-9E4E-B1DF-F48B4AAFB547}" name="Column11622"/>
    <tableColumn id="11641" xr3:uid="{E665CC2A-8C24-3846-B42F-42D9938A0BD6}" name="Column11623"/>
    <tableColumn id="11642" xr3:uid="{D3486439-580E-3844-9E15-79C82D2AC769}" name="Column11624"/>
    <tableColumn id="11643" xr3:uid="{B2B33628-C099-884C-9513-003B327F3E13}" name="Column11625"/>
    <tableColumn id="11644" xr3:uid="{FB792FAD-7F20-0A4E-ACC5-117A76118840}" name="Column11626"/>
    <tableColumn id="11645" xr3:uid="{7705AF5C-E039-4A4D-A03F-6E33093F0C9E}" name="Column11627"/>
    <tableColumn id="11646" xr3:uid="{B05FAF64-997F-604C-86EA-554DFDED329C}" name="Column11628"/>
    <tableColumn id="11647" xr3:uid="{87B3D901-31AE-DF48-AAF7-0A843E320A80}" name="Column11629"/>
    <tableColumn id="11648" xr3:uid="{2E39014B-58FE-5249-9879-6D6A490989D9}" name="Column11630"/>
    <tableColumn id="11649" xr3:uid="{342AE4F2-75F2-D247-B953-49F8BFD1D307}" name="Column11631"/>
    <tableColumn id="11650" xr3:uid="{C3A11BC5-3261-ED4E-9A36-E8C8B1CB0451}" name="Column11632"/>
    <tableColumn id="11651" xr3:uid="{11F5E24F-4802-B948-9291-BEB5A75B0109}" name="Column11633"/>
    <tableColumn id="11652" xr3:uid="{986F384F-E360-1747-92B8-DA3BE3D520D1}" name="Column11634"/>
    <tableColumn id="11653" xr3:uid="{7AA931E9-D2B7-1049-A4E6-00C861D5BE46}" name="Column11635"/>
    <tableColumn id="11654" xr3:uid="{E432993F-63EF-1D49-8F9C-79CCFEEB7687}" name="Column11636"/>
    <tableColumn id="11655" xr3:uid="{C7DF7179-38D6-3B47-8326-6B84E5E2ED53}" name="Column11637"/>
    <tableColumn id="11656" xr3:uid="{5EA8D508-F05E-674E-9609-55720D28B5AD}" name="Column11638"/>
    <tableColumn id="11657" xr3:uid="{66E5CEBA-138C-0D43-959E-92C41668D632}" name="Column11639"/>
    <tableColumn id="11658" xr3:uid="{0381F6CF-8F4F-0746-8B64-87E89033B069}" name="Column11640"/>
    <tableColumn id="11659" xr3:uid="{2DEBE8C7-1D57-9C42-AF44-4400877EACB4}" name="Column11641"/>
    <tableColumn id="11660" xr3:uid="{3144E6FC-8744-5442-9CCD-F6D428B47DFF}" name="Column11642"/>
    <tableColumn id="11661" xr3:uid="{0FC32935-CEDE-724F-8B4A-D33F1DEC550F}" name="Column11643"/>
    <tableColumn id="11662" xr3:uid="{46B1EFEC-AD77-F740-A3B2-E0B5DC034055}" name="Column11644"/>
    <tableColumn id="11663" xr3:uid="{936469AE-3841-3E48-8C13-7DF06554A0B6}" name="Column11645"/>
    <tableColumn id="11664" xr3:uid="{35081393-FE9A-E240-8E85-F3F5378B92F4}" name="Column11646"/>
    <tableColumn id="11665" xr3:uid="{01447C93-24F9-B443-B86F-D42186F4785A}" name="Column11647"/>
    <tableColumn id="11666" xr3:uid="{0AC1DD55-B2B1-A941-83A1-3B529A6EA7B1}" name="Column11648"/>
    <tableColumn id="11667" xr3:uid="{7BA33711-A4ED-D145-BD99-D8BB550D064E}" name="Column11649"/>
    <tableColumn id="11668" xr3:uid="{09E43158-FCF9-5140-B00C-7EF745750F23}" name="Column11650"/>
    <tableColumn id="11669" xr3:uid="{A58CD5EF-B466-4847-ADD9-3D79DDE5BE32}" name="Column11651"/>
    <tableColumn id="11670" xr3:uid="{8240C953-2562-A34B-AA2E-8CAA716393FE}" name="Column11652"/>
    <tableColumn id="11671" xr3:uid="{2B44C87D-D36E-0E4F-93B0-CAFD47F12A1D}" name="Column11653"/>
    <tableColumn id="11672" xr3:uid="{B7CD6E2E-527B-C446-A2B9-2DB8734A7F34}" name="Column11654"/>
    <tableColumn id="11673" xr3:uid="{93F520EE-9A16-9C42-8683-78521E7A2531}" name="Column11655"/>
    <tableColumn id="11674" xr3:uid="{A444AC95-16BE-3049-8876-0FB39022E2C2}" name="Column11656"/>
    <tableColumn id="11675" xr3:uid="{31177611-B91B-7340-A037-75E52C9396CE}" name="Column11657"/>
    <tableColumn id="11676" xr3:uid="{671EDBCE-65EF-274E-B3BC-593B01EAB4E9}" name="Column11658"/>
    <tableColumn id="11677" xr3:uid="{663077F3-1BEF-7D44-A4DA-4AEB9EC56306}" name="Column11659"/>
    <tableColumn id="11678" xr3:uid="{7D577838-F661-864D-91EF-5BD8E0872E62}" name="Column11660"/>
    <tableColumn id="11679" xr3:uid="{492408E4-2928-254C-B7D7-50AAC9C50244}" name="Column11661"/>
    <tableColumn id="11680" xr3:uid="{2727D261-EAE8-5840-A040-15948129B358}" name="Column11662"/>
    <tableColumn id="11681" xr3:uid="{993F51DE-FB33-4347-9A0D-2403CC83C81F}" name="Column11663"/>
    <tableColumn id="11682" xr3:uid="{97CA6953-851B-5B41-9B30-6F04189F57CB}" name="Column11664"/>
    <tableColumn id="11683" xr3:uid="{5C02F2B7-2085-AA4D-94DC-56A57CED6536}" name="Column11665"/>
    <tableColumn id="11684" xr3:uid="{3AD4B303-80C7-5543-9E1D-2A487DD37720}" name="Column11666"/>
    <tableColumn id="11685" xr3:uid="{34D4CAF0-55E3-1441-B3F9-A6E10C8D2D63}" name="Column11667"/>
    <tableColumn id="11686" xr3:uid="{4EEF692F-713E-6E42-A4F3-CB73EA01C1F7}" name="Column11668"/>
    <tableColumn id="11687" xr3:uid="{854B2298-2DAF-2B41-8CDA-F5C012527D99}" name="Column11669"/>
    <tableColumn id="11688" xr3:uid="{AFC238C4-DA79-3A4A-B6B5-658AFF3A6FAE}" name="Column11670"/>
    <tableColumn id="11689" xr3:uid="{0E2C422A-EEEF-C84F-807D-B1284EA7F843}" name="Column11671"/>
    <tableColumn id="11690" xr3:uid="{F575A6BE-53E9-224F-80D8-2706EAD6F8BF}" name="Column11672"/>
    <tableColumn id="11691" xr3:uid="{5BE81A61-54B6-8345-A09E-6003246AFFD1}" name="Column11673"/>
    <tableColumn id="11692" xr3:uid="{D492F19D-4B37-2E46-B794-EC0D70B4D3CA}" name="Column11674"/>
    <tableColumn id="11693" xr3:uid="{47831BCA-96A1-F447-9A13-7E01FE4F7C19}" name="Column11675"/>
    <tableColumn id="11694" xr3:uid="{A00BF24A-D204-FB48-AE17-71CC25614267}" name="Column11676"/>
    <tableColumn id="11695" xr3:uid="{8B88AA7B-8256-F048-BE92-B0BFA849714A}" name="Column11677"/>
    <tableColumn id="11696" xr3:uid="{AFA2FA50-5157-F74F-98A8-0D907D0AAE8D}" name="Column11678"/>
    <tableColumn id="11697" xr3:uid="{E84B05F6-065C-AD4C-BF97-1D5453ABE89F}" name="Column11679"/>
    <tableColumn id="11698" xr3:uid="{A6EDA5DD-0E83-004E-AEA1-17D119EE4AD6}" name="Column11680"/>
    <tableColumn id="11699" xr3:uid="{FC76F52A-834D-254C-80F0-79CE7632CF7A}" name="Column11681"/>
    <tableColumn id="11700" xr3:uid="{DF023EE5-2470-3E40-932A-C1E62F1CEE1E}" name="Column11682"/>
    <tableColumn id="11701" xr3:uid="{2686F4A7-F303-774A-9CFE-267BB335A666}" name="Column11683"/>
    <tableColumn id="11702" xr3:uid="{E39B49E9-8267-A448-9DF9-60973DC695F5}" name="Column11684"/>
    <tableColumn id="11703" xr3:uid="{07C450D1-AC89-EA49-B604-5F32A03C7A67}" name="Column11685"/>
    <tableColumn id="11704" xr3:uid="{5FF65DFB-0F6E-9343-AB57-E1814627E4B1}" name="Column11686"/>
    <tableColumn id="11705" xr3:uid="{0B6D5076-0846-7B4E-A889-BEF69D50E13D}" name="Column11687"/>
    <tableColumn id="11706" xr3:uid="{A2925334-98D7-BE46-9360-F4C061EF9517}" name="Column11688"/>
    <tableColumn id="11707" xr3:uid="{69A163F0-5B3A-9040-9C7B-B9EBBFD7BC4C}" name="Column11689"/>
    <tableColumn id="11708" xr3:uid="{146FE8ED-EFC7-A942-B2F0-415E0AE47A15}" name="Column11690"/>
    <tableColumn id="11709" xr3:uid="{F5BE3903-84F7-FA49-A852-48C87134BC19}" name="Column11691"/>
    <tableColumn id="11710" xr3:uid="{F14931D1-4914-2748-8B56-74478D89092E}" name="Column11692"/>
    <tableColumn id="11711" xr3:uid="{DC42F3F7-1F8B-7243-A35F-A03468BCE005}" name="Column11693"/>
    <tableColumn id="11712" xr3:uid="{F62E4DB2-8E94-4A4D-9AF4-A452D17D3E41}" name="Column11694"/>
    <tableColumn id="11713" xr3:uid="{E8C26266-5850-EA42-9964-C3C557E5158F}" name="Column11695"/>
    <tableColumn id="11714" xr3:uid="{2B71CD9C-E4BD-7147-99B6-2B322ACFC83B}" name="Column11696"/>
    <tableColumn id="11715" xr3:uid="{3752769A-3526-2B4D-AA44-731B1643424C}" name="Column11697"/>
    <tableColumn id="11716" xr3:uid="{32673FF8-00F5-3349-A0E5-C45D2F81EF1B}" name="Column11698"/>
    <tableColumn id="11717" xr3:uid="{D92E0265-968C-0445-B638-26F5D5C267CF}" name="Column11699"/>
    <tableColumn id="11718" xr3:uid="{7F7F4735-F81C-B54E-BDEF-8A173ABE6737}" name="Column11700"/>
    <tableColumn id="11719" xr3:uid="{0CCEF407-02F9-1D43-A879-0C04E286CD0A}" name="Column11701"/>
    <tableColumn id="11720" xr3:uid="{86193A8B-1FC7-8C4B-B13B-56B683A3DC10}" name="Column11702"/>
    <tableColumn id="11721" xr3:uid="{F18D7C21-A23F-DF49-A1E7-48CFC9EB6CA0}" name="Column11703"/>
    <tableColumn id="11722" xr3:uid="{7C08EA84-1AED-0C46-91EC-36E01578BB00}" name="Column11704"/>
    <tableColumn id="11723" xr3:uid="{36CBD60E-B372-6E49-A3FA-BAE065016ADC}" name="Column11705"/>
    <tableColumn id="11724" xr3:uid="{A546C8AC-99F8-2E43-BFFA-4372ADA31D5E}" name="Column11706"/>
    <tableColumn id="11725" xr3:uid="{1CC548CF-2150-904C-A090-BD76CC355899}" name="Column11707"/>
    <tableColumn id="11726" xr3:uid="{DB5C8F9E-AD86-774E-8314-A5442D46E624}" name="Column11708"/>
    <tableColumn id="11727" xr3:uid="{476A15A1-B202-5941-8EE1-CF968F514159}" name="Column11709"/>
    <tableColumn id="11728" xr3:uid="{F7179247-C72A-CC4A-BAF9-0B7E3ABA23CE}" name="Column11710"/>
    <tableColumn id="11729" xr3:uid="{26B3F9C0-F405-E44C-AA87-2546040DAE2B}" name="Column11711"/>
    <tableColumn id="11730" xr3:uid="{6628B123-1407-7A49-92A3-2784E0A07ABB}" name="Column11712"/>
    <tableColumn id="11731" xr3:uid="{803C671C-D847-984F-B802-CCD6C98D7989}" name="Column11713"/>
    <tableColumn id="11732" xr3:uid="{A181B039-2DD1-C942-B38D-9160B7B82464}" name="Column11714"/>
    <tableColumn id="11733" xr3:uid="{C12E6728-359E-7E43-9D99-13835D203BE6}" name="Column11715"/>
    <tableColumn id="11734" xr3:uid="{878BDE66-8DC6-4045-B55F-3640C7CCDB16}" name="Column11716"/>
    <tableColumn id="11735" xr3:uid="{956F2CFA-664F-7F48-AEDC-C2A64428587E}" name="Column11717"/>
    <tableColumn id="11736" xr3:uid="{7F84E215-E33E-224A-B4CF-00C191BDD14B}" name="Column11718"/>
    <tableColumn id="11737" xr3:uid="{9E48BA44-2A68-454C-9A0D-4CE970CBA7BF}" name="Column11719"/>
    <tableColumn id="11738" xr3:uid="{61F0F8F3-A473-994B-A78E-6976F9C1578D}" name="Column11720"/>
    <tableColumn id="11739" xr3:uid="{17B59A9B-0913-5E43-9706-14E4AF21DF76}" name="Column11721"/>
    <tableColumn id="11740" xr3:uid="{5619C0FD-EED4-AB41-B99A-81CDCC474D54}" name="Column11722"/>
    <tableColumn id="11741" xr3:uid="{54FF22DD-1E9E-204D-ABDE-1205FBC70023}" name="Column11723"/>
    <tableColumn id="11742" xr3:uid="{E2FA88E5-A141-A54B-9EB2-A5ED01EE310E}" name="Column11724"/>
    <tableColumn id="11743" xr3:uid="{09095245-4E8E-8C49-9300-2AA8F3DF4525}" name="Column11725"/>
    <tableColumn id="11744" xr3:uid="{D7C5FA98-EEEB-A348-A9B5-9A3959805D28}" name="Column11726"/>
    <tableColumn id="11745" xr3:uid="{D3056F8D-8383-8F47-9DBC-D953D3C573C1}" name="Column11727"/>
    <tableColumn id="11746" xr3:uid="{D76FC1E7-61D7-1A47-9B03-BC1419C85329}" name="Column11728"/>
    <tableColumn id="11747" xr3:uid="{C087CB62-707D-D548-8668-9A9207D95FA1}" name="Column11729"/>
    <tableColumn id="11748" xr3:uid="{FCE7A8B7-9114-604F-92E0-FF03974439DE}" name="Column11730"/>
    <tableColumn id="11749" xr3:uid="{0C313DC9-124A-8546-B668-C4C2D723554B}" name="Column11731"/>
    <tableColumn id="11750" xr3:uid="{38640A73-842D-D64F-9169-1274A3995F0F}" name="Column11732"/>
    <tableColumn id="11751" xr3:uid="{2AF37C32-0939-934B-B964-F15F97EC61E2}" name="Column11733"/>
    <tableColumn id="11752" xr3:uid="{E7E7222C-7DCF-6944-9CD2-A190FF573CFC}" name="Column11734"/>
    <tableColumn id="11753" xr3:uid="{39966DBA-9745-EF44-8C50-FC77D33735B0}" name="Column11735"/>
    <tableColumn id="11754" xr3:uid="{DCE78D07-F17C-B449-B315-579C1ECB5D05}" name="Column11736"/>
    <tableColumn id="11755" xr3:uid="{632B7C83-6421-F048-B2BD-B56E5BB27385}" name="Column11737"/>
    <tableColumn id="11756" xr3:uid="{F4C8A1B8-7F0E-1544-B86B-9948D1B69E63}" name="Column11738"/>
    <tableColumn id="11757" xr3:uid="{E206A528-0F70-2440-8BF7-443BC6E6C066}" name="Column11739"/>
    <tableColumn id="11758" xr3:uid="{56A9370A-98A8-E042-9B62-F53D707F72AC}" name="Column11740"/>
    <tableColumn id="11759" xr3:uid="{860C3A19-6AC8-884B-9431-A71F25775327}" name="Column11741"/>
    <tableColumn id="11760" xr3:uid="{76A7B9AB-85E1-6B40-ABF0-7D1A89AB9846}" name="Column11742"/>
    <tableColumn id="11761" xr3:uid="{C8F0B89F-4C2E-6B43-AFD5-CECFC89E7704}" name="Column11743"/>
    <tableColumn id="11762" xr3:uid="{6D1D2862-4638-E945-891D-1FFDD1767D79}" name="Column11744"/>
    <tableColumn id="11763" xr3:uid="{BF7DE89E-42C0-FA4D-A515-EA85E0EC0556}" name="Column11745"/>
    <tableColumn id="11764" xr3:uid="{40FB72BA-AECC-2844-A09E-28157315941F}" name="Column11746"/>
    <tableColumn id="11765" xr3:uid="{9836BA12-DC1E-B64B-AC49-B40AAA9D19CF}" name="Column11747"/>
    <tableColumn id="11766" xr3:uid="{E906416A-D252-2E41-824D-9F17A79AF4E9}" name="Column11748"/>
    <tableColumn id="11767" xr3:uid="{9EC97B1A-3DB7-A344-A6BC-0CE8B89AA9C3}" name="Column11749"/>
    <tableColumn id="11768" xr3:uid="{7DEAB4E0-28D8-4F45-B49D-543EA9DA1E15}" name="Column11750"/>
    <tableColumn id="11769" xr3:uid="{EB4E7614-91C8-4E4C-8344-301362C866F6}" name="Column11751"/>
    <tableColumn id="11770" xr3:uid="{2D5F1F64-4418-354E-83C5-A6EA755D749A}" name="Column11752"/>
    <tableColumn id="11771" xr3:uid="{A2244809-0435-9248-B79F-0DF2E3FF1E4A}" name="Column11753"/>
    <tableColumn id="11772" xr3:uid="{6B282BDC-4A6B-DC4D-8D77-5AFEF90B435A}" name="Column11754"/>
    <tableColumn id="11773" xr3:uid="{B17F7589-801D-DB4E-99B8-8B40D47A281B}" name="Column11755"/>
    <tableColumn id="11774" xr3:uid="{41F68AD6-BA41-B348-899C-E521ACF9D242}" name="Column11756"/>
    <tableColumn id="11775" xr3:uid="{3A248AE8-6726-4246-96C9-E1DC1C4FCFA2}" name="Column11757"/>
    <tableColumn id="11776" xr3:uid="{66F14285-6EBC-214D-896E-C58081D2F70D}" name="Column11758"/>
    <tableColumn id="11777" xr3:uid="{64C9EE89-E2EA-8B4D-B67D-47175CFAD68B}" name="Column11759"/>
    <tableColumn id="11778" xr3:uid="{50ECE1DD-CDDF-8444-9B3B-9E69CF3D10AB}" name="Column11760"/>
    <tableColumn id="11779" xr3:uid="{75ACCCED-1613-3346-94F1-581D90A50EE2}" name="Column11761"/>
    <tableColumn id="11780" xr3:uid="{2D5449E9-CF92-B04D-85FE-1FE9F6B8F54E}" name="Column11762"/>
    <tableColumn id="11781" xr3:uid="{F605F28C-76C1-2741-83AA-D75FEF767FDB}" name="Column11763"/>
    <tableColumn id="11782" xr3:uid="{D56F89CC-2508-7243-A8CF-933602AA1D47}" name="Column11764"/>
    <tableColumn id="11783" xr3:uid="{51CD8A6F-0A92-D344-BF4A-1FC3F400C893}" name="Column11765"/>
    <tableColumn id="11784" xr3:uid="{8FB861DB-C6BC-FF4C-A3EC-5B59E74902E0}" name="Column11766"/>
    <tableColumn id="11785" xr3:uid="{B9C042AB-94AA-A14D-A317-84C90694FAD3}" name="Column11767"/>
    <tableColumn id="11786" xr3:uid="{EB70DB5B-220F-3849-8938-5E2EA437F64A}" name="Column11768"/>
    <tableColumn id="11787" xr3:uid="{5125EA53-70A2-1D46-822D-55FB1CB7869A}" name="Column11769"/>
    <tableColumn id="11788" xr3:uid="{A1A4936A-44B2-AB49-AAD4-4F6F2128532A}" name="Column11770"/>
    <tableColumn id="11789" xr3:uid="{6BEA069D-5235-A64B-ABB9-6088B668AED1}" name="Column11771"/>
    <tableColumn id="11790" xr3:uid="{231F2FAD-684B-1B40-8352-D0556B69540A}" name="Column11772"/>
    <tableColumn id="11791" xr3:uid="{758CA6B9-C70C-BB4A-BB42-5E2527805F65}" name="Column11773"/>
    <tableColumn id="11792" xr3:uid="{54A3C50A-6A0D-4A46-8BDD-4B2F0A61EDD2}" name="Column11774"/>
    <tableColumn id="11793" xr3:uid="{A787353D-5905-FA4B-8A13-DC1585F0E1CB}" name="Column11775"/>
    <tableColumn id="11794" xr3:uid="{392AA071-FC71-2F4A-A1AF-63B19BD89032}" name="Column11776"/>
    <tableColumn id="11795" xr3:uid="{45408B9C-3ADE-654C-B578-A2738A4F2079}" name="Column11777"/>
    <tableColumn id="11796" xr3:uid="{CF4E7D22-B75D-9445-9B0D-C67E2C598EC1}" name="Column11778"/>
    <tableColumn id="11797" xr3:uid="{E323D36B-E684-1946-B529-0E549DD70FA7}" name="Column11779"/>
    <tableColumn id="11798" xr3:uid="{6320722E-B44C-844A-B3B9-28AF7114F176}" name="Column11780"/>
    <tableColumn id="11799" xr3:uid="{A7BF085B-217F-0E4C-B6F5-4E6F932676AE}" name="Column11781"/>
    <tableColumn id="11800" xr3:uid="{93D84147-0941-254D-AACF-7C484B0732B7}" name="Column11782"/>
    <tableColumn id="11801" xr3:uid="{07BD52D5-E6A5-EB47-A143-F4067D252C9E}" name="Column11783"/>
    <tableColumn id="11802" xr3:uid="{426AC7B6-5A6B-AC4B-A404-303FAE6F3B94}" name="Column11784"/>
    <tableColumn id="11803" xr3:uid="{DB68C080-D33B-DE45-833B-FDED53A0932E}" name="Column11785"/>
    <tableColumn id="11804" xr3:uid="{3860EB0F-ED57-7546-B76E-0EA0EAD44229}" name="Column11786"/>
    <tableColumn id="11805" xr3:uid="{281E24C8-42E5-FA4F-B18C-119934E5820D}" name="Column11787"/>
    <tableColumn id="11806" xr3:uid="{DBFE92AC-2CCB-1244-B27E-7297B75AD150}" name="Column11788"/>
    <tableColumn id="11807" xr3:uid="{78D58E70-F706-C54C-BDD8-AC22CA2B697F}" name="Column11789"/>
    <tableColumn id="11808" xr3:uid="{6D79CAFC-59C7-A14D-ADD6-FFB9D8304D74}" name="Column11790"/>
    <tableColumn id="11809" xr3:uid="{0BF5280F-4F77-6946-844B-43D3C25729AB}" name="Column11791"/>
    <tableColumn id="11810" xr3:uid="{6338F81A-1334-C54D-928B-DB309EAA3C29}" name="Column11792"/>
    <tableColumn id="11811" xr3:uid="{83839F46-9E04-1F4B-ABC8-A9F19A0AD23F}" name="Column11793"/>
    <tableColumn id="11812" xr3:uid="{9D15729B-6E99-C448-A413-7C4BDAAE3CAB}" name="Column11794"/>
    <tableColumn id="11813" xr3:uid="{DA761AC1-97E4-5644-AECE-25B50545F1E7}" name="Column11795"/>
    <tableColumn id="11814" xr3:uid="{1E374EBF-F663-E44F-88DB-F9D64FEB3B8C}" name="Column11796"/>
    <tableColumn id="11815" xr3:uid="{539129F0-75B6-C548-8B3D-692FA3FE38E7}" name="Column11797"/>
    <tableColumn id="11816" xr3:uid="{7BCB778D-C41D-4C45-8631-7ACEB8AEA7DE}" name="Column11798"/>
    <tableColumn id="11817" xr3:uid="{A8DA6870-2586-834F-BD35-F06225E421DE}" name="Column11799"/>
    <tableColumn id="11818" xr3:uid="{7450D445-2054-3E4B-8C56-9CE82EF24687}" name="Column11800"/>
    <tableColumn id="11819" xr3:uid="{2D04FCD3-8B9F-4E49-9836-7AB9C5CD262C}" name="Column11801"/>
    <tableColumn id="11820" xr3:uid="{8BDF4A95-3188-124F-A947-18DC56DDD5F2}" name="Column11802"/>
    <tableColumn id="11821" xr3:uid="{4C82A837-AE07-F246-9736-E058C56812AE}" name="Column11803"/>
    <tableColumn id="11822" xr3:uid="{1623D8CE-95A1-B94A-B4FD-C9385A9F4A43}" name="Column11804"/>
    <tableColumn id="11823" xr3:uid="{276B0AD6-68E6-0A44-81B1-169588DCEF29}" name="Column11805"/>
    <tableColumn id="11824" xr3:uid="{8F87CDD1-1CEF-FE40-880E-BB37F65E57F5}" name="Column11806"/>
    <tableColumn id="11825" xr3:uid="{CE0352F1-3B90-4C4B-87B2-13588BE44168}" name="Column11807"/>
    <tableColumn id="11826" xr3:uid="{D5DED53D-CEC3-4E42-A79E-9C38C57214B3}" name="Column11808"/>
    <tableColumn id="11827" xr3:uid="{4EC17C96-FBD8-134F-AF82-53B618F1F374}" name="Column11809"/>
    <tableColumn id="11828" xr3:uid="{C45B5747-BCE0-334A-BB6E-794F0665A1F2}" name="Column11810"/>
    <tableColumn id="11829" xr3:uid="{AD5EDEAD-DDA2-AE44-BA94-53366EB8FA1B}" name="Column11811"/>
    <tableColumn id="11830" xr3:uid="{5755F138-CB76-B540-AC40-D0219EDEFABE}" name="Column11812"/>
    <tableColumn id="11831" xr3:uid="{2E77E012-3DFB-9549-BCD7-DEFF6E71FAD5}" name="Column11813"/>
    <tableColumn id="11832" xr3:uid="{9E065DF5-E595-EF4A-9FAA-4EE3206CD7C5}" name="Column11814"/>
    <tableColumn id="11833" xr3:uid="{A0255E9E-B39E-0845-850B-6F1D9A08BE60}" name="Column11815"/>
    <tableColumn id="11834" xr3:uid="{B5935DA9-6B02-1442-B07C-E7C38213D2CC}" name="Column11816"/>
    <tableColumn id="11835" xr3:uid="{3EC1D9E3-19BA-434F-81B8-9856C3EE1127}" name="Column11817"/>
    <tableColumn id="11836" xr3:uid="{2DC3502E-899D-254C-B438-5A9DEE2F556E}" name="Column11818"/>
    <tableColumn id="11837" xr3:uid="{0F5D8968-69C5-2844-AF45-BCB30DBE5CED}" name="Column11819"/>
    <tableColumn id="11838" xr3:uid="{1692AB84-0148-C64E-B58E-1177EF42F75B}" name="Column11820"/>
    <tableColumn id="11839" xr3:uid="{936353D3-2F7D-0743-BF95-41E55BEF7306}" name="Column11821"/>
    <tableColumn id="11840" xr3:uid="{D51F4C1A-E9AC-3545-B487-A930C959AEB0}" name="Column11822"/>
    <tableColumn id="11841" xr3:uid="{2DC5196F-AB54-8D45-97E8-126EA7DE044D}" name="Column11823"/>
    <tableColumn id="11842" xr3:uid="{C26882D2-B155-F24F-90B3-CC9FFE2F8DCB}" name="Column11824"/>
    <tableColumn id="11843" xr3:uid="{0A928FE6-1402-434E-BB2E-1455026E7A45}" name="Column11825"/>
    <tableColumn id="11844" xr3:uid="{E7D693B4-0ABE-1E4A-9F0D-A60A72330326}" name="Column11826"/>
    <tableColumn id="11845" xr3:uid="{3F2AE1F1-37C1-714D-9AFF-F8D5EE49EFB0}" name="Column11827"/>
    <tableColumn id="11846" xr3:uid="{B120E4BD-32CA-E244-9C9E-C34E4B151EDA}" name="Column11828"/>
    <tableColumn id="11847" xr3:uid="{8EA2DDA1-E442-9A47-BB04-943829BCE7CE}" name="Column11829"/>
    <tableColumn id="11848" xr3:uid="{BDA03DA6-B20E-C94B-95C8-1B16A026C63B}" name="Column11830"/>
    <tableColumn id="11849" xr3:uid="{25A566CF-4C5A-5346-8593-9D8DDEDC74C7}" name="Column11831"/>
    <tableColumn id="11850" xr3:uid="{D49D6A88-5D20-CA4A-A069-3491E4EE6192}" name="Column11832"/>
    <tableColumn id="11851" xr3:uid="{54AD093B-982F-5B46-B52C-137CB94D1387}" name="Column11833"/>
    <tableColumn id="11852" xr3:uid="{461B6FF3-0C74-1446-98F2-1FA67203DDF9}" name="Column11834"/>
    <tableColumn id="11853" xr3:uid="{4FE89637-8B41-A540-9778-E2B715EAF237}" name="Column11835"/>
    <tableColumn id="11854" xr3:uid="{C62C3475-A8F9-7F45-A75A-A767E7E7413D}" name="Column11836"/>
    <tableColumn id="11855" xr3:uid="{C4BEF6BA-E6AA-4B40-89F3-4F2424A04EA6}" name="Column11837"/>
    <tableColumn id="11856" xr3:uid="{E76E3AB2-9F56-3448-8DFF-4722BF0452C3}" name="Column11838"/>
    <tableColumn id="11857" xr3:uid="{0F327922-2F3C-1448-837B-CF042B8C52B0}" name="Column11839"/>
    <tableColumn id="11858" xr3:uid="{269544FF-1723-A843-A292-739DD51973CB}" name="Column11840"/>
    <tableColumn id="11859" xr3:uid="{D1CE7C9F-41A9-C443-859C-1FA31B074DD6}" name="Column11841"/>
    <tableColumn id="11860" xr3:uid="{27E80F67-9782-7649-A751-2D6152AB79DF}" name="Column11842"/>
    <tableColumn id="11861" xr3:uid="{C7E1320E-D69B-0A48-86A7-91F976796FA1}" name="Column11843"/>
    <tableColumn id="11862" xr3:uid="{9E96AA06-6608-BB47-9BBD-F88B0A138422}" name="Column11844"/>
    <tableColumn id="11863" xr3:uid="{744105B8-D995-B142-8000-E4D1C7DC5B43}" name="Column11845"/>
    <tableColumn id="11864" xr3:uid="{F02801ED-FFE4-4447-9718-5CF80FA8A282}" name="Column11846"/>
    <tableColumn id="11865" xr3:uid="{B90C46A8-8C08-D14B-BA58-F8FC6B061499}" name="Column11847"/>
    <tableColumn id="11866" xr3:uid="{2E759A4D-D32A-704F-8DA0-587ED7366C00}" name="Column11848"/>
    <tableColumn id="11867" xr3:uid="{B92E230C-C3A1-2F4A-82A6-3538566F174E}" name="Column11849"/>
    <tableColumn id="11868" xr3:uid="{9F6A5F41-0E8A-D44A-8561-16C9338A2D6C}" name="Column11850"/>
    <tableColumn id="11869" xr3:uid="{2976ACDC-5BAB-F440-9914-4AF5322A5A14}" name="Column11851"/>
    <tableColumn id="11870" xr3:uid="{8CEEB6DB-EDDC-6545-AF71-73CFC8B4A84B}" name="Column11852"/>
    <tableColumn id="11871" xr3:uid="{9B51BC72-87DF-EE49-8F46-EC90DF07F737}" name="Column11853"/>
    <tableColumn id="11872" xr3:uid="{5479AA2A-BB72-094F-BFB2-D0482AE54537}" name="Column11854"/>
    <tableColumn id="11873" xr3:uid="{5D281FC8-5C2E-9543-AB58-7AAFD5256BC1}" name="Column11855"/>
    <tableColumn id="11874" xr3:uid="{B838E6B7-EE2E-F340-A38B-2C4A7AD098B5}" name="Column11856"/>
    <tableColumn id="11875" xr3:uid="{CA30BB9E-9BC5-0F44-856C-BA8EE0D6DC6A}" name="Column11857"/>
    <tableColumn id="11876" xr3:uid="{8E279C31-B7AA-C140-897B-271092C0BD0D}" name="Column11858"/>
    <tableColumn id="11877" xr3:uid="{B7A09DD5-C66C-A448-8564-A095CA6BF450}" name="Column11859"/>
    <tableColumn id="11878" xr3:uid="{D3AA5433-1B14-B04E-93E4-6CBFEE348AFD}" name="Column11860"/>
    <tableColumn id="11879" xr3:uid="{46E23E46-DD48-8E41-9AA2-1317C3685C8F}" name="Column11861"/>
    <tableColumn id="11880" xr3:uid="{E545AA31-3389-FC4D-BA23-3A30EAF0F518}" name="Column11862"/>
    <tableColumn id="11881" xr3:uid="{5585BAD3-FEB9-864F-ADC7-2F03568333D9}" name="Column11863"/>
    <tableColumn id="11882" xr3:uid="{5FBA71B3-91C3-4742-9B60-80F228AD9C18}" name="Column11864"/>
    <tableColumn id="11883" xr3:uid="{534443C9-C428-2D44-9019-05CB7077E8F9}" name="Column11865"/>
    <tableColumn id="11884" xr3:uid="{2FB6B566-4633-4349-9F56-B3E69444D3DD}" name="Column11866"/>
    <tableColumn id="11885" xr3:uid="{F972A191-6685-CF48-9304-8FD4C419C75D}" name="Column11867"/>
    <tableColumn id="11886" xr3:uid="{73EFBA3C-139B-1347-82EB-09EB709DEEB8}" name="Column11868"/>
    <tableColumn id="11887" xr3:uid="{9DA027FC-EF1C-DB4F-8352-30944CA15BA7}" name="Column11869"/>
    <tableColumn id="11888" xr3:uid="{9E9B581B-524B-3641-BB42-A507A4827632}" name="Column11870"/>
    <tableColumn id="11889" xr3:uid="{E72AE9F7-BFCF-3C42-96C5-C5D02486FE19}" name="Column11871"/>
    <tableColumn id="11890" xr3:uid="{069E360F-EEDB-1F4A-8B0B-AB19D665DFCB}" name="Column11872"/>
    <tableColumn id="11891" xr3:uid="{EE56428A-820F-C746-AC4E-8D59AB68FDBE}" name="Column11873"/>
    <tableColumn id="11892" xr3:uid="{F2A4E4B0-C3DA-9641-AB12-492712C1E30D}" name="Column11874"/>
    <tableColumn id="11893" xr3:uid="{E4FDA537-7DE5-7242-992D-8A0CEA578D28}" name="Column11875"/>
    <tableColumn id="11894" xr3:uid="{0BC5DF91-D42E-BA47-AAAA-7F4DA0BF6E31}" name="Column11876"/>
    <tableColumn id="11895" xr3:uid="{B157B862-C2C7-F14E-A82A-34FE3FAE87A4}" name="Column11877"/>
    <tableColumn id="11896" xr3:uid="{41618D8F-9585-7947-B683-36057B7C1BAD}" name="Column11878"/>
    <tableColumn id="11897" xr3:uid="{F19F4C00-0C2D-2D44-B464-FFA5C0479F68}" name="Column11879"/>
    <tableColumn id="11898" xr3:uid="{1407FB61-C5BE-134A-B59E-4B984154D05D}" name="Column11880"/>
    <tableColumn id="11899" xr3:uid="{8CBF8C11-E25D-2B45-AFE4-94ECA6C4B432}" name="Column11881"/>
    <tableColumn id="11900" xr3:uid="{92A06F25-47B6-214A-8C2A-3D13995AEBB7}" name="Column11882"/>
    <tableColumn id="11901" xr3:uid="{5C0E9874-F963-6A4B-8656-983832E5CECC}" name="Column11883"/>
    <tableColumn id="11902" xr3:uid="{98ABE8E1-201C-2E4D-BF87-255CDB941CAA}" name="Column11884"/>
    <tableColumn id="11903" xr3:uid="{E7EF7367-2F1F-204A-921B-2F5F03B1E2FF}" name="Column11885"/>
    <tableColumn id="11904" xr3:uid="{580C078F-2CCD-354C-AA89-73B2D2CF22B6}" name="Column11886"/>
    <tableColumn id="11905" xr3:uid="{A3CEDA3B-14AE-5545-BC55-498F6DF66EE6}" name="Column11887"/>
    <tableColumn id="11906" xr3:uid="{DF3A06AD-B7B5-0E45-B203-3F611BCC0ADE}" name="Column11888"/>
    <tableColumn id="11907" xr3:uid="{04E0B387-5052-9045-B2E7-AD3253618D8A}" name="Column11889"/>
    <tableColumn id="11908" xr3:uid="{64D66CDE-3D96-7949-A4D6-C6B8D21F6E1F}" name="Column11890"/>
    <tableColumn id="11909" xr3:uid="{46B0E777-DBA5-AF4E-984C-CAA87D1DBA28}" name="Column11891"/>
    <tableColumn id="11910" xr3:uid="{417840D6-DBA2-BB46-80D6-1B95E62CF24F}" name="Column11892"/>
    <tableColumn id="11911" xr3:uid="{5ADCDF72-9D1D-C047-9184-E02D71A66C43}" name="Column11893"/>
    <tableColumn id="11912" xr3:uid="{70A23F37-3761-E64A-B041-31BB04F971C7}" name="Column11894"/>
    <tableColumn id="11913" xr3:uid="{02665901-3E92-A746-A7D6-402A305E3D66}" name="Column11895"/>
    <tableColumn id="11914" xr3:uid="{ED7900FF-0546-F246-A9B0-DF8322CB477C}" name="Column11896"/>
    <tableColumn id="11915" xr3:uid="{8F8310B3-FB07-704D-83F8-A43F633E0415}" name="Column11897"/>
    <tableColumn id="11916" xr3:uid="{3E90A7C8-0976-C84E-9F40-FBC7D21AF1EA}" name="Column11898"/>
    <tableColumn id="11917" xr3:uid="{056E1566-B372-1B4E-B10A-1537393212C7}" name="Column11899"/>
    <tableColumn id="11918" xr3:uid="{BE879F39-AFB1-3F4A-BFB6-D28E8778E56F}" name="Column11900"/>
    <tableColumn id="11919" xr3:uid="{6C495FCA-AA65-7E4B-99ED-41BB264EED79}" name="Column11901"/>
    <tableColumn id="11920" xr3:uid="{52C2C691-195F-F842-B785-68E4D803AE3B}" name="Column11902"/>
    <tableColumn id="11921" xr3:uid="{1B666980-3057-C249-AEB3-20182D65AEBE}" name="Column11903"/>
    <tableColumn id="11922" xr3:uid="{37011A9E-AFAC-0E4A-A92F-75A3BD879B99}" name="Column11904"/>
    <tableColumn id="11923" xr3:uid="{B76426D7-10ED-5846-B1AD-07183CB7019A}" name="Column11905"/>
    <tableColumn id="11924" xr3:uid="{71251E7F-65A8-C947-BC89-A384E040398B}" name="Column11906"/>
    <tableColumn id="11925" xr3:uid="{020C4D86-67D0-C34A-8EF4-6C1F5C058BCE}" name="Column11907"/>
    <tableColumn id="11926" xr3:uid="{810876DD-7F86-A94E-95D5-686F33BE353F}" name="Column11908"/>
    <tableColumn id="11927" xr3:uid="{D9F5C3FA-66B8-7843-950D-0D5197928CB1}" name="Column11909"/>
    <tableColumn id="11928" xr3:uid="{2C56456C-9E99-354B-B7A3-E5A05295F149}" name="Column11910"/>
    <tableColumn id="11929" xr3:uid="{BD9DFE78-7D4B-E747-A5E4-5B96EBEB4B0A}" name="Column11911"/>
    <tableColumn id="11930" xr3:uid="{5E8A722C-B282-4042-8ABF-E8265F07AF19}" name="Column11912"/>
    <tableColumn id="11931" xr3:uid="{47419610-17F3-D24A-9671-FB4331E1F933}" name="Column11913"/>
    <tableColumn id="11932" xr3:uid="{DA328105-B8E8-EE49-AAAE-0C41BB12DE12}" name="Column11914"/>
    <tableColumn id="11933" xr3:uid="{4D1F9B68-9FAB-CC46-AFDF-B81C1DDDD73D}" name="Column11915"/>
    <tableColumn id="11934" xr3:uid="{C9C6A0B6-DF22-A44D-8189-F80EBD597380}" name="Column11916"/>
    <tableColumn id="11935" xr3:uid="{DFFAECF7-C4D6-1E47-BEF1-F571A3FAC5EB}" name="Column11917"/>
    <tableColumn id="11936" xr3:uid="{0C28F12E-3B50-E642-BE6C-F67EBA7A48C7}" name="Column11918"/>
    <tableColumn id="11937" xr3:uid="{2E101CFD-EA72-7D4A-8534-C59466BBFAC1}" name="Column11919"/>
    <tableColumn id="11938" xr3:uid="{94978B87-D6AF-F54A-92DA-E512829250EC}" name="Column11920"/>
    <tableColumn id="11939" xr3:uid="{BA384FB9-513C-AA4E-8ECC-DE7E5D07CADA}" name="Column11921"/>
    <tableColumn id="11940" xr3:uid="{F3743758-79B4-1546-9A06-95CCFE9814BB}" name="Column11922"/>
    <tableColumn id="11941" xr3:uid="{129A5F91-3D3F-0744-8C1D-AFCC3802031B}" name="Column11923"/>
    <tableColumn id="11942" xr3:uid="{034AF13C-AF9D-C34D-AC91-A2E5602B7514}" name="Column11924"/>
    <tableColumn id="11943" xr3:uid="{BE04B672-1623-0B4D-8214-48BA7D7FF2D0}" name="Column11925"/>
    <tableColumn id="11944" xr3:uid="{AF3B6031-D42E-D74D-9C75-643A84AB55D8}" name="Column11926"/>
    <tableColumn id="11945" xr3:uid="{2BB43587-BB12-7C4A-AE48-2B464D3AB7C5}" name="Column11927"/>
    <tableColumn id="11946" xr3:uid="{70EBF794-0E18-BF41-A3D7-6E3D82B13B62}" name="Column11928"/>
    <tableColumn id="11947" xr3:uid="{A91CD8D5-E691-374F-BCF0-FF39E73F9848}" name="Column11929"/>
    <tableColumn id="11948" xr3:uid="{4A9BE450-7E5B-EA45-90AD-18E729B51E2C}" name="Column11930"/>
    <tableColumn id="11949" xr3:uid="{6436B914-B577-F64C-8DE7-36F04E79A600}" name="Column11931"/>
    <tableColumn id="11950" xr3:uid="{9D8F8B1E-89FD-DA42-AF83-ACFB986D76B1}" name="Column11932"/>
    <tableColumn id="11951" xr3:uid="{2C27B9E3-6D1E-7444-B10A-D1CEF5D25E47}" name="Column11933"/>
    <tableColumn id="11952" xr3:uid="{52A7F101-536A-C94D-A6FB-257A219703CE}" name="Column11934"/>
    <tableColumn id="11953" xr3:uid="{66241D6B-54E3-184F-AC3F-088DD9ABFC92}" name="Column11935"/>
    <tableColumn id="11954" xr3:uid="{9E9AEAAB-F8A7-9842-849F-60BF1CBEE436}" name="Column11936"/>
    <tableColumn id="11955" xr3:uid="{8EBF0BC3-27BF-2246-9C46-440E1EE37DC1}" name="Column11937"/>
    <tableColumn id="11956" xr3:uid="{006609CC-2EC9-724A-802D-8FBF0B37C763}" name="Column11938"/>
    <tableColumn id="11957" xr3:uid="{B660B726-28C1-DA4D-AF16-1410F8E96F67}" name="Column11939"/>
    <tableColumn id="11958" xr3:uid="{1E4D78B9-B90A-3941-BC24-73582E94D839}" name="Column11940"/>
    <tableColumn id="11959" xr3:uid="{78A1C3F0-29CD-4D4D-9404-439607B17AB5}" name="Column11941"/>
    <tableColumn id="11960" xr3:uid="{DF43A119-E35D-B541-A869-EB47844517C2}" name="Column11942"/>
    <tableColumn id="11961" xr3:uid="{57E9FC24-E03D-854A-A072-D04EF80168DB}" name="Column11943"/>
    <tableColumn id="11962" xr3:uid="{2C3DC85F-1E60-D645-9296-693A1A74BD9F}" name="Column11944"/>
    <tableColumn id="11963" xr3:uid="{AC59744B-0570-2744-9C70-A00D5329F5F9}" name="Column11945"/>
    <tableColumn id="11964" xr3:uid="{B81F1CEE-17FB-C84C-912D-0E1A748CD401}" name="Column11946"/>
    <tableColumn id="11965" xr3:uid="{AFEC9367-D408-694C-AD64-96FF1A0607A1}" name="Column11947"/>
    <tableColumn id="11966" xr3:uid="{05D44C25-00C9-7C40-8DD3-44BF0C8AC512}" name="Column11948"/>
    <tableColumn id="11967" xr3:uid="{AE270E60-3090-0941-848F-F6D400CE94E9}" name="Column11949"/>
    <tableColumn id="11968" xr3:uid="{E366CC76-428B-7443-9F9F-5C9691ABCD13}" name="Column11950"/>
    <tableColumn id="11969" xr3:uid="{610897B4-6B4E-3140-9BAE-DF7C16072198}" name="Column11951"/>
    <tableColumn id="11970" xr3:uid="{2553D76B-4248-704D-8634-0E7638C5E47B}" name="Column11952"/>
    <tableColumn id="11971" xr3:uid="{1FB6D267-6800-2449-B4EE-357A33C4298A}" name="Column11953"/>
    <tableColumn id="11972" xr3:uid="{D5D3440D-C9E2-1C4C-A51F-4D94CC31D194}" name="Column11954"/>
    <tableColumn id="11973" xr3:uid="{A3555C70-7BDF-D045-9F43-1989CC81F85A}" name="Column11955"/>
    <tableColumn id="11974" xr3:uid="{E5FAEAE4-8544-E549-A768-596D292DAB4F}" name="Column11956"/>
    <tableColumn id="11975" xr3:uid="{C0BC0F00-EEF4-1C47-AA85-3551EE36C474}" name="Column11957"/>
    <tableColumn id="11976" xr3:uid="{835E97CD-9050-6246-A9F9-5BA7FCA3FDA0}" name="Column11958"/>
    <tableColumn id="11977" xr3:uid="{F23DE856-AD2E-7E46-81E5-E35F420849F4}" name="Column11959"/>
    <tableColumn id="11978" xr3:uid="{033FA260-0FBF-5847-95CE-0615F04A605A}" name="Column11960"/>
    <tableColumn id="11979" xr3:uid="{5091EA75-7656-9E42-8649-65F312F077EA}" name="Column11961"/>
    <tableColumn id="11980" xr3:uid="{9E4DC1C1-FF22-8C40-AE8F-F7C79A660AF5}" name="Column11962"/>
    <tableColumn id="11981" xr3:uid="{502CD9E2-1635-1F4E-AF18-D8597DD61EDD}" name="Column11963"/>
    <tableColumn id="11982" xr3:uid="{DE1A623A-A598-6F4A-9C6C-21564B15C6EF}" name="Column11964"/>
    <tableColumn id="11983" xr3:uid="{6B5E6BAD-80A7-E94E-8524-ED80748EA90B}" name="Column11965"/>
    <tableColumn id="11984" xr3:uid="{FB3584CE-FFB9-564F-A712-A4EB8B7B446C}" name="Column11966"/>
    <tableColumn id="11985" xr3:uid="{CE4CE344-929F-334B-8AB8-C58CF24BB209}" name="Column11967"/>
    <tableColumn id="11986" xr3:uid="{07EC9085-1F4F-C342-8589-76B88F8A4635}" name="Column11968"/>
    <tableColumn id="11987" xr3:uid="{1F3B9006-B87E-6D47-B2A4-F230ECC426CE}" name="Column11969"/>
    <tableColumn id="11988" xr3:uid="{4A2E4CB4-F7B4-364F-8CE6-463942818776}" name="Column11970"/>
    <tableColumn id="11989" xr3:uid="{4D30DDF9-A89A-CD42-8D14-BBDE672C55D7}" name="Column11971"/>
    <tableColumn id="11990" xr3:uid="{BAC1E8AB-6D4B-BA43-ADA0-39CBF060C953}" name="Column11972"/>
    <tableColumn id="11991" xr3:uid="{44330EA0-477C-9D4E-BB01-91C70EDF2F2D}" name="Column11973"/>
    <tableColumn id="11992" xr3:uid="{FB5CDE12-2C0A-494F-81F6-B2408E61F588}" name="Column11974"/>
    <tableColumn id="11993" xr3:uid="{0F3799EB-35B1-1141-96B9-F5E0481234D3}" name="Column11975"/>
    <tableColumn id="11994" xr3:uid="{B69E89A2-64BF-4641-BF49-7E9CB3A0FAF9}" name="Column11976"/>
    <tableColumn id="11995" xr3:uid="{62BF9182-FF79-8948-8C81-171C4C3C845A}" name="Column11977"/>
    <tableColumn id="11996" xr3:uid="{A6A94B94-1C86-C54E-80C5-F8339E9F5158}" name="Column11978"/>
    <tableColumn id="11997" xr3:uid="{D20DAD2C-8925-0C48-9448-DF0547E3302A}" name="Column11979"/>
    <tableColumn id="11998" xr3:uid="{4CE04DCC-5D55-CB43-8249-FBCCED4BBE2F}" name="Column11980"/>
    <tableColumn id="11999" xr3:uid="{7CE1F028-373F-E44B-A314-AE1CF96BE221}" name="Column11981"/>
    <tableColumn id="12000" xr3:uid="{79CE9B2F-1431-D34D-847D-F04086B42161}" name="Column11982"/>
    <tableColumn id="12001" xr3:uid="{2EF3141E-1D5B-0941-8CD7-79F977A74081}" name="Column11983"/>
    <tableColumn id="12002" xr3:uid="{68CB676B-9D3A-3D4F-A41D-9793DA787A1C}" name="Column11984"/>
    <tableColumn id="12003" xr3:uid="{9F23026F-F025-4E4A-BBA0-F310219EBE8D}" name="Column11985"/>
    <tableColumn id="12004" xr3:uid="{B8457CB2-4E42-A34F-A38D-CE5C2166E15A}" name="Column11986"/>
    <tableColumn id="12005" xr3:uid="{30E51679-8ADC-3E4A-BB6B-9F83DF1CD9B6}" name="Column11987"/>
    <tableColumn id="12006" xr3:uid="{6CFD8686-1E25-804F-B0A1-1D64B0393776}" name="Column11988"/>
    <tableColumn id="12007" xr3:uid="{4A5E9FFA-6608-6E45-A68D-04D9609E3050}" name="Column11989"/>
    <tableColumn id="12008" xr3:uid="{BD2E24A5-ABF0-FD4F-BA69-82F950CB3F4B}" name="Column11990"/>
    <tableColumn id="12009" xr3:uid="{BE0EBF57-4C7A-5344-8691-8A835B7DB8A6}" name="Column11991"/>
    <tableColumn id="12010" xr3:uid="{7D65A533-AE92-B34A-91F6-72E807BB0832}" name="Column11992"/>
    <tableColumn id="12011" xr3:uid="{FD87FC31-6A63-FE4A-B8DB-7F938E093509}" name="Column11993"/>
    <tableColumn id="12012" xr3:uid="{1340425C-80E2-854F-811C-08D1BE3DD8E8}" name="Column11994"/>
    <tableColumn id="12013" xr3:uid="{AF1B3A35-2FAD-8F45-9EE5-0F2CAE7B9ACC}" name="Column11995"/>
    <tableColumn id="12014" xr3:uid="{1D0DBDDD-6FF2-D34E-BDE8-753764A5CA2E}" name="Column11996"/>
    <tableColumn id="12015" xr3:uid="{05D0EB6D-EDFB-534F-B8FC-4F623EF48EC8}" name="Column11997"/>
    <tableColumn id="12016" xr3:uid="{A6E5C585-3A47-BD44-8996-03E6FF18ED27}" name="Column11998"/>
    <tableColumn id="12017" xr3:uid="{8BB4234E-AA3C-D54A-B459-C2672D7A00C4}" name="Column11999"/>
    <tableColumn id="12018" xr3:uid="{B61B3479-5038-8B43-88E2-9195EBCC9852}" name="Column12000"/>
    <tableColumn id="12019" xr3:uid="{02D4DDA2-C30A-6845-AFD3-4E8CE0DCF446}" name="Column12001"/>
    <tableColumn id="12020" xr3:uid="{8F0BA130-BACD-FC4C-B837-3396CE876223}" name="Column12002"/>
    <tableColumn id="12021" xr3:uid="{14B7949E-3B70-FC49-AC34-0BD3A274F9ED}" name="Column12003"/>
    <tableColumn id="12022" xr3:uid="{319E3E26-25F8-1F4F-AC4A-C0240BD2D19A}" name="Column12004"/>
    <tableColumn id="12023" xr3:uid="{AA73DB4F-7A8A-874D-B313-698DD0406D64}" name="Column12005"/>
    <tableColumn id="12024" xr3:uid="{B8D78BAE-AE35-CE44-A659-AB19BD91BE03}" name="Column12006"/>
    <tableColumn id="12025" xr3:uid="{BF1FA122-17BE-2B4E-B001-6F9AB2476D22}" name="Column12007"/>
    <tableColumn id="12026" xr3:uid="{17D010C0-3B29-FA40-B489-03E24C8E7A6F}" name="Column12008"/>
    <tableColumn id="12027" xr3:uid="{E7EE13A7-CDF5-C740-9FDE-7B779223F1E7}" name="Column12009"/>
    <tableColumn id="12028" xr3:uid="{A0B78093-DE2A-814B-90C4-66EF7FC73E49}" name="Column12010"/>
    <tableColumn id="12029" xr3:uid="{CC4A071F-0EF9-CC43-93CF-A566409A4B5C}" name="Column12011"/>
    <tableColumn id="12030" xr3:uid="{57FED536-B93F-B742-93E9-DBD658FE61B6}" name="Column12012"/>
    <tableColumn id="12031" xr3:uid="{998E9677-E560-284F-9245-45F062503700}" name="Column12013"/>
    <tableColumn id="12032" xr3:uid="{9F108969-F8B7-B24A-A810-171E8EED693E}" name="Column12014"/>
    <tableColumn id="12033" xr3:uid="{15582086-FE16-BE4D-A10D-ACB7F5DD22CB}" name="Column12015"/>
    <tableColumn id="12034" xr3:uid="{DC47E0E4-45DC-B443-B751-F6634DD702BC}" name="Column12016"/>
    <tableColumn id="12035" xr3:uid="{DCADD606-E31C-F64F-AD51-C5E6D94F1ED0}" name="Column12017"/>
    <tableColumn id="12036" xr3:uid="{94057504-9AB7-7141-9B68-734F8203E81E}" name="Column12018"/>
    <tableColumn id="12037" xr3:uid="{1DF1A857-17FD-0B49-9A9C-3285D2FA4A60}" name="Column12019"/>
    <tableColumn id="12038" xr3:uid="{B8F51A8F-32A1-5341-B1B5-61AFA921D2BB}" name="Column12020"/>
    <tableColumn id="12039" xr3:uid="{163FA52C-3B8B-B44D-B732-38DCDD3A913B}" name="Column12021"/>
    <tableColumn id="12040" xr3:uid="{69098BC5-3B30-BD4F-AA1F-07D2BD0EDAD4}" name="Column12022"/>
    <tableColumn id="12041" xr3:uid="{6375046A-5915-7742-9EDB-81385B6992D6}" name="Column12023"/>
    <tableColumn id="12042" xr3:uid="{0F05E445-ECA9-FC4C-89AA-0669BB6C4EC3}" name="Column12024"/>
    <tableColumn id="12043" xr3:uid="{FD493D27-084F-6F43-BD98-F7D8825A7D50}" name="Column12025"/>
    <tableColumn id="12044" xr3:uid="{567FEB43-B100-EC48-ACDC-D362F5030C9F}" name="Column12026"/>
    <tableColumn id="12045" xr3:uid="{354BA2F6-DFC9-814F-8996-5D69E6D330AB}" name="Column12027"/>
    <tableColumn id="12046" xr3:uid="{9C15320C-8762-AB4F-B614-8D65BB7F039B}" name="Column12028"/>
    <tableColumn id="12047" xr3:uid="{8A2D6C0F-F951-6048-BF60-4A637B89DFE3}" name="Column12029"/>
    <tableColumn id="12048" xr3:uid="{198850C4-8005-8046-A644-0D699C9279C5}" name="Column12030"/>
    <tableColumn id="12049" xr3:uid="{2C2CC8EC-C66A-D748-8396-1E7740DB65C4}" name="Column12031"/>
    <tableColumn id="12050" xr3:uid="{9440E90A-EE5A-BA49-A843-E7F257947220}" name="Column12032"/>
    <tableColumn id="12051" xr3:uid="{32565FB2-EBBB-C44D-937B-C78B0250B86C}" name="Column12033"/>
    <tableColumn id="12052" xr3:uid="{6F0B01EF-54D0-7C40-956A-AB494B628E7F}" name="Column12034"/>
    <tableColumn id="12053" xr3:uid="{FC391885-D300-844E-986A-DFEECD0FD634}" name="Column12035"/>
    <tableColumn id="12054" xr3:uid="{674C28E1-617D-184C-96C6-C479E60C9499}" name="Column12036"/>
    <tableColumn id="12055" xr3:uid="{C0D758EB-A677-2B41-878F-2C6E828D258F}" name="Column12037"/>
    <tableColumn id="12056" xr3:uid="{7DA92E9A-2943-D14E-9857-C3ABDD900238}" name="Column12038"/>
    <tableColumn id="12057" xr3:uid="{1E397F3E-6BC2-C743-BFED-7DB6922F8AFF}" name="Column12039"/>
    <tableColumn id="12058" xr3:uid="{1077D508-02C3-DE45-A935-E7A3EDB7E648}" name="Column12040"/>
    <tableColumn id="12059" xr3:uid="{59DC50BA-9C72-9349-811E-F6F962619628}" name="Column12041"/>
    <tableColumn id="12060" xr3:uid="{4C411EA1-B750-D749-9201-D68353FF44F9}" name="Column12042"/>
    <tableColumn id="12061" xr3:uid="{0B1A0235-7CF5-BA41-A0A7-4A29E0B87A6D}" name="Column12043"/>
    <tableColumn id="12062" xr3:uid="{D7543454-5674-DA49-8FC7-DD4A0E0087EE}" name="Column12044"/>
    <tableColumn id="12063" xr3:uid="{8F61EA35-8DD1-EA4C-BEC6-833EE7AD13C8}" name="Column12045"/>
    <tableColumn id="12064" xr3:uid="{7E65A95F-D5FB-F64C-85B4-E894E256C56F}" name="Column12046"/>
    <tableColumn id="12065" xr3:uid="{1C48F158-BEEB-1C48-B3F1-CE121400714D}" name="Column12047"/>
    <tableColumn id="12066" xr3:uid="{AAE865D8-CADE-2B40-A38D-370643DA1782}" name="Column12048"/>
    <tableColumn id="12067" xr3:uid="{90B18F0E-D080-3543-8C58-BD8A5C0A7A23}" name="Column12049"/>
    <tableColumn id="12068" xr3:uid="{2D100C7F-9496-7A41-BE7B-E1B52DA07FFB}" name="Column12050"/>
    <tableColumn id="12069" xr3:uid="{26B43ADD-6765-AB40-95D7-BB26CFB28C51}" name="Column12051"/>
    <tableColumn id="12070" xr3:uid="{54DC92F9-67AC-2143-A2AF-336B9218C4EA}" name="Column12052"/>
    <tableColumn id="12071" xr3:uid="{970EDD7C-D774-1A49-BA7C-43FBE5FF254C}" name="Column12053"/>
    <tableColumn id="12072" xr3:uid="{509F5348-E443-9A4C-BC53-DC4F68A4F2BF}" name="Column12054"/>
    <tableColumn id="12073" xr3:uid="{5E9D7354-5CBA-D241-90C6-592BE9449432}" name="Column12055"/>
    <tableColumn id="12074" xr3:uid="{0676C9B3-3D4C-3C48-A1C2-6741787A184A}" name="Column12056"/>
    <tableColumn id="12075" xr3:uid="{D74F2089-548F-5B42-AA27-2D2224B1F1C8}" name="Column12057"/>
    <tableColumn id="12076" xr3:uid="{A68BA66E-12F8-2A4D-9F46-846E24492F2F}" name="Column12058"/>
    <tableColumn id="12077" xr3:uid="{A6DD7548-B8CE-954A-B058-CF264F158848}" name="Column12059"/>
    <tableColumn id="12078" xr3:uid="{40FBAEC4-973E-1A4A-ABFD-5EB6E0C8177D}" name="Column12060"/>
    <tableColumn id="12079" xr3:uid="{6C3C1180-CE45-1B4B-951C-03704E2A2A0B}" name="Column12061"/>
    <tableColumn id="12080" xr3:uid="{E224CF8C-0698-F647-8AB7-ACCBC96A25A3}" name="Column12062"/>
    <tableColumn id="12081" xr3:uid="{C7AE2967-8F43-A84A-9834-F5E06CB8F4DB}" name="Column12063"/>
    <tableColumn id="12082" xr3:uid="{17121C56-00BE-F148-A7DC-9B5987AD9D5F}" name="Column12064"/>
    <tableColumn id="12083" xr3:uid="{7C49C4C4-6F3C-B446-9462-7AAB9E276211}" name="Column12065"/>
    <tableColumn id="12084" xr3:uid="{595D5E07-1BBD-8447-8910-3F708BC2147B}" name="Column12066"/>
    <tableColumn id="12085" xr3:uid="{AD1E20BA-B0CC-8644-A017-F3B87020A54C}" name="Column12067"/>
    <tableColumn id="12086" xr3:uid="{00A69F89-F23B-1145-9108-FDD3D5897CA2}" name="Column12068"/>
    <tableColumn id="12087" xr3:uid="{EC8B1786-7A42-3447-93C4-0340AA340104}" name="Column12069"/>
    <tableColumn id="12088" xr3:uid="{838451DD-319D-5540-9B4F-51927C03A99C}" name="Column12070"/>
    <tableColumn id="12089" xr3:uid="{B2CC9C9C-0C17-934C-B829-C6984C5A6927}" name="Column12071"/>
    <tableColumn id="12090" xr3:uid="{6BE9EC6F-523B-1346-8831-31353C41B71C}" name="Column12072"/>
    <tableColumn id="12091" xr3:uid="{0A872D3F-A670-F34A-BC19-1FD46C06818F}" name="Column12073"/>
    <tableColumn id="12092" xr3:uid="{1A348563-E34F-C34E-BD8C-3125EF852009}" name="Column12074"/>
    <tableColumn id="12093" xr3:uid="{6CE83A8D-B744-1845-A87C-B5D445155AE8}" name="Column12075"/>
    <tableColumn id="12094" xr3:uid="{BEDE1BA7-AF94-FE4C-8751-44315BCB79E0}" name="Column12076"/>
    <tableColumn id="12095" xr3:uid="{E035E3A5-017E-3E4F-997B-73019653A4B0}" name="Column12077"/>
    <tableColumn id="12096" xr3:uid="{3A386E97-28D7-4241-96D1-3387ECB0D7B9}" name="Column12078"/>
    <tableColumn id="12097" xr3:uid="{9E192665-A017-3D4F-9AF5-26AB020910EF}" name="Column12079"/>
    <tableColumn id="12098" xr3:uid="{79285049-EA3E-C94C-8616-10DE6B4D3280}" name="Column12080"/>
    <tableColumn id="12099" xr3:uid="{D38945DF-6734-8B46-8E45-0E282BCFAF03}" name="Column12081"/>
    <tableColumn id="12100" xr3:uid="{7F3CB5C1-36B6-6746-AAF9-EFCAE4763CFF}" name="Column12082"/>
    <tableColumn id="12101" xr3:uid="{46B52CAE-D2E0-D24C-B551-FF62DE419A83}" name="Column12083"/>
    <tableColumn id="12102" xr3:uid="{13BEE178-3AFF-9646-8C5E-C72D20B83840}" name="Column12084"/>
    <tableColumn id="12103" xr3:uid="{6CBB7023-244D-EC4F-A32E-36B4AF44E7C9}" name="Column12085"/>
    <tableColumn id="12104" xr3:uid="{03B16B49-D319-7F48-8444-907196F432F4}" name="Column12086"/>
    <tableColumn id="12105" xr3:uid="{1FF3D26E-D2C9-7E49-B0F9-97966B1151CB}" name="Column12087"/>
    <tableColumn id="12106" xr3:uid="{4C31D5D3-2A64-BB46-A821-4FF758AEE567}" name="Column12088"/>
    <tableColumn id="12107" xr3:uid="{F5B08E0A-6517-634E-9F1C-77A79C38BA58}" name="Column12089"/>
    <tableColumn id="12108" xr3:uid="{2078C891-A520-8545-BD31-A9FA7F5E369D}" name="Column12090"/>
    <tableColumn id="12109" xr3:uid="{DA732209-80BB-C84E-8393-63DF2C5C67F0}" name="Column12091"/>
    <tableColumn id="12110" xr3:uid="{D5081326-B4E0-4C49-B2E3-D058F5299F08}" name="Column12092"/>
    <tableColumn id="12111" xr3:uid="{D50A99B1-2EB9-1741-A1DC-BB3620E58C75}" name="Column12093"/>
    <tableColumn id="12112" xr3:uid="{8383365A-6EF4-E74F-965B-5BCE3BA79159}" name="Column12094"/>
    <tableColumn id="12113" xr3:uid="{819FCEF2-D1D5-8D41-9383-E56601ABCDED}" name="Column12095"/>
    <tableColumn id="12114" xr3:uid="{D7CA5128-5CBD-8140-A4F1-B91728260EEB}" name="Column12096"/>
    <tableColumn id="12115" xr3:uid="{2FBCCE8D-852A-6441-B115-D00631CDA62A}" name="Column12097"/>
    <tableColumn id="12116" xr3:uid="{428FBBA2-92D2-5F48-825A-71E9BD3549E8}" name="Column12098"/>
    <tableColumn id="12117" xr3:uid="{43284E8E-068F-DE4D-9421-D2D539580142}" name="Column12099"/>
    <tableColumn id="12118" xr3:uid="{2A39F257-5C10-BA4D-A223-E161B281E7EA}" name="Column12100"/>
    <tableColumn id="12119" xr3:uid="{5D32F535-F9FE-1348-A30F-A5B3294CA604}" name="Column12101"/>
    <tableColumn id="12120" xr3:uid="{82CFD552-5562-B249-AA02-B26D4A38D4B0}" name="Column12102"/>
    <tableColumn id="12121" xr3:uid="{EFA30869-12B3-CB43-B140-CF835574B302}" name="Column12103"/>
    <tableColumn id="12122" xr3:uid="{F8BC58CC-22D5-F54D-B0B2-E7AE0D31040E}" name="Column12104"/>
    <tableColumn id="12123" xr3:uid="{53237732-8D6F-DD49-ADCC-A55366EE35CF}" name="Column12105"/>
    <tableColumn id="12124" xr3:uid="{735BC139-F05C-9342-A6F9-5C087A93E018}" name="Column12106"/>
    <tableColumn id="12125" xr3:uid="{E8986CAD-DF7C-B64D-856C-E873EDB6CED8}" name="Column12107"/>
    <tableColumn id="12126" xr3:uid="{97F66C99-0F5D-484A-87EB-13D54A1D7A86}" name="Column12108"/>
    <tableColumn id="12127" xr3:uid="{8FB90766-1408-F648-A7FD-266AD2464FBA}" name="Column12109"/>
    <tableColumn id="12128" xr3:uid="{FFA851B0-1045-6446-8B3B-9B296336EC78}" name="Column12110"/>
    <tableColumn id="12129" xr3:uid="{DD57381C-A8ED-D649-A42A-0D16653F096E}" name="Column12111"/>
    <tableColumn id="12130" xr3:uid="{3857FE27-38AB-0F4F-89D5-4213D0F3C946}" name="Column12112"/>
    <tableColumn id="12131" xr3:uid="{2A76A390-E0AF-F249-9FB9-C5535B7DE19C}" name="Column12113"/>
    <tableColumn id="12132" xr3:uid="{A8F14DF9-607A-CA47-BC22-3C6C288C75E6}" name="Column12114"/>
    <tableColumn id="12133" xr3:uid="{E79E2279-7DB4-BF40-8397-DB0FB484C1D4}" name="Column12115"/>
    <tableColumn id="12134" xr3:uid="{04437064-E13B-084B-B9B1-B4F70DC52A7A}" name="Column12116"/>
    <tableColumn id="12135" xr3:uid="{1019F712-10B7-FA4C-980C-2D8B45E6A15F}" name="Column12117"/>
    <tableColumn id="12136" xr3:uid="{BAA76365-8749-8340-BB96-E0CF1FCE8951}" name="Column12118"/>
    <tableColumn id="12137" xr3:uid="{F339F9D8-E26D-B041-A409-C41BE3D688D9}" name="Column12119"/>
    <tableColumn id="12138" xr3:uid="{B204E9F6-A400-0345-A0D1-D79EC14AE07A}" name="Column12120"/>
    <tableColumn id="12139" xr3:uid="{BD035B3E-1F39-3849-937D-55AB04033117}" name="Column12121"/>
    <tableColumn id="12140" xr3:uid="{F6F05FA5-6C82-AB4F-9DB9-067198BA406A}" name="Column12122"/>
    <tableColumn id="12141" xr3:uid="{78E0B07D-8E8B-334F-9600-E53B7216EB68}" name="Column12123"/>
    <tableColumn id="12142" xr3:uid="{9B815584-0AC1-0F4A-8062-EF7C9EADFC86}" name="Column12124"/>
    <tableColumn id="12143" xr3:uid="{F8E86E7F-5414-2447-8BEE-CE9C1DC9E5EB}" name="Column12125"/>
    <tableColumn id="12144" xr3:uid="{3699BBB9-5888-9642-B1AF-3B87FFB274BE}" name="Column12126"/>
    <tableColumn id="12145" xr3:uid="{46D50F5F-04FF-D546-A5A1-2AE34A6FC60C}" name="Column12127"/>
    <tableColumn id="12146" xr3:uid="{68C8FC42-1055-7644-BBA9-E415E61B18A6}" name="Column12128"/>
    <tableColumn id="12147" xr3:uid="{F1E458F4-6698-4D45-90E8-C1A6DA1F27DB}" name="Column12129"/>
    <tableColumn id="12148" xr3:uid="{BB926E96-D33F-B947-B142-546A0A939598}" name="Column12130"/>
    <tableColumn id="12149" xr3:uid="{16E0C4C7-6EB3-6E48-A6EF-F7124D4225AE}" name="Column12131"/>
    <tableColumn id="12150" xr3:uid="{F2581C59-21F4-EF41-B792-4075818C718D}" name="Column12132"/>
    <tableColumn id="12151" xr3:uid="{7484D913-4174-9647-B542-D9124DC97211}" name="Column12133"/>
    <tableColumn id="12152" xr3:uid="{D5648D1E-BC34-144C-B541-B08ED0CBD589}" name="Column12134"/>
    <tableColumn id="12153" xr3:uid="{EFADF121-50BF-4346-9653-88B9AB7CA108}" name="Column12135"/>
    <tableColumn id="12154" xr3:uid="{E454EFFF-7BC6-B24D-AC66-9215D6077010}" name="Column12136"/>
    <tableColumn id="12155" xr3:uid="{F3EF3569-D1D5-B648-8AC8-2784BC8B0A79}" name="Column12137"/>
    <tableColumn id="12156" xr3:uid="{DA1DD40A-6079-DF4E-8BD1-B1063F8E91AF}" name="Column12138"/>
    <tableColumn id="12157" xr3:uid="{F3F59538-6CA6-8C44-955B-C2D0EF9A241E}" name="Column12139"/>
    <tableColumn id="12158" xr3:uid="{F191BAF7-8FE7-0548-9F19-C2C0598ABA80}" name="Column12140"/>
    <tableColumn id="12159" xr3:uid="{9E942A98-38F4-6D48-A863-8EAEC50C5B93}" name="Column12141"/>
    <tableColumn id="12160" xr3:uid="{07F78AF1-B0A4-154B-90A7-30B4B3EC00B7}" name="Column12142"/>
    <tableColumn id="12161" xr3:uid="{D1F6AE9D-846B-D944-B826-5D402A47A8CE}" name="Column12143"/>
    <tableColumn id="12162" xr3:uid="{9AA2B759-3C55-C648-965C-FE2C707C2023}" name="Column12144"/>
    <tableColumn id="12163" xr3:uid="{45BDAB98-FDEF-2F45-8CB0-0B3DAAB895C3}" name="Column12145"/>
    <tableColumn id="12164" xr3:uid="{2210E23B-EB77-114F-A037-FA17150BA8AD}" name="Column12146"/>
    <tableColumn id="12165" xr3:uid="{6059A342-3369-4146-9245-961E2A457993}" name="Column12147"/>
    <tableColumn id="12166" xr3:uid="{0C6BA18B-0901-2747-AB62-7E0EF97F78D2}" name="Column12148"/>
    <tableColumn id="12167" xr3:uid="{87D06BDB-B2CD-4D4E-855C-D4FA4837B2AF}" name="Column12149"/>
    <tableColumn id="12168" xr3:uid="{E8C67AA7-CAEC-0B4E-9AE5-DC6D8392236D}" name="Column12150"/>
    <tableColumn id="12169" xr3:uid="{DD5FDD89-C043-9143-8477-C30E829EC3DA}" name="Column12151"/>
    <tableColumn id="12170" xr3:uid="{56FF5D3E-568C-F644-8CA1-B6B119CB614E}" name="Column12152"/>
    <tableColumn id="12171" xr3:uid="{E716C3B3-5FF4-9E4E-8D2C-21480B276E30}" name="Column12153"/>
    <tableColumn id="12172" xr3:uid="{E9805343-A136-E042-A5A2-DDB3228DF95E}" name="Column12154"/>
    <tableColumn id="12173" xr3:uid="{CB4736D0-9406-4345-B271-6A3B27BFB376}" name="Column12155"/>
    <tableColumn id="12174" xr3:uid="{AB68DF31-2824-2E4B-800A-6014DC8F9AAC}" name="Column12156"/>
    <tableColumn id="12175" xr3:uid="{D552B725-9A96-D24C-8F00-44EE9E2E67B9}" name="Column12157"/>
    <tableColumn id="12176" xr3:uid="{EFB7FAD7-8F73-9843-98A6-5804D1FB7EF0}" name="Column12158"/>
    <tableColumn id="12177" xr3:uid="{9EFC14B5-272F-6B49-9EB6-74027DA64499}" name="Column12159"/>
    <tableColumn id="12178" xr3:uid="{D7CE71C7-B8F3-884A-BF2B-37EB257CC4FD}" name="Column12160"/>
    <tableColumn id="12179" xr3:uid="{8EC1814D-9CCE-E541-916A-78009D0B2D28}" name="Column12161"/>
    <tableColumn id="12180" xr3:uid="{7989B8FB-DC57-0143-92C2-644F7CAFF4EC}" name="Column12162"/>
    <tableColumn id="12181" xr3:uid="{FAEDFF2B-FDBB-4D49-B9C1-C2B5DE7EBD2E}" name="Column12163"/>
    <tableColumn id="12182" xr3:uid="{D2434462-49B2-854F-9612-3873B6ABAD1A}" name="Column12164"/>
    <tableColumn id="12183" xr3:uid="{5ABC4E4C-318A-934D-B665-0C83CE2E13A0}" name="Column12165"/>
    <tableColumn id="12184" xr3:uid="{A3965974-E7EB-9A4C-A4F6-6AB215B0F908}" name="Column12166"/>
    <tableColumn id="12185" xr3:uid="{56E01359-D32C-2141-85C5-5B2753234064}" name="Column12167"/>
    <tableColumn id="12186" xr3:uid="{99EEE588-485B-AE4F-B454-3E1F2EB766D8}" name="Column12168"/>
    <tableColumn id="12187" xr3:uid="{E2FCA6F7-76CC-2E44-8770-264F60EFB113}" name="Column12169"/>
    <tableColumn id="12188" xr3:uid="{6130CAD8-8BE2-1040-84EF-87D488C7FB06}" name="Column12170"/>
    <tableColumn id="12189" xr3:uid="{21DA31BF-A143-B149-8FF2-E1287D75787D}" name="Column12171"/>
    <tableColumn id="12190" xr3:uid="{955C574F-C53D-2149-AB19-1EC34C728A06}" name="Column12172"/>
    <tableColumn id="12191" xr3:uid="{D050D022-A14A-5442-B187-1FA94CF84BA5}" name="Column12173"/>
    <tableColumn id="12192" xr3:uid="{1CD87EFC-38A6-3742-A583-488F674D14D2}" name="Column12174"/>
    <tableColumn id="12193" xr3:uid="{A188FCAB-173E-5F41-8F1F-2CFD8D13B2E1}" name="Column12175"/>
    <tableColumn id="12194" xr3:uid="{E25BB3BE-A44B-3747-A191-46618911D27B}" name="Column12176"/>
    <tableColumn id="12195" xr3:uid="{4F4C9364-52FB-2148-803B-DF397F33418A}" name="Column12177"/>
    <tableColumn id="12196" xr3:uid="{A6BEFF20-84FE-FA47-A3F6-D0103447114C}" name="Column12178"/>
    <tableColumn id="12197" xr3:uid="{7C05F7DE-D5B3-184D-B964-4173E028B772}" name="Column12179"/>
    <tableColumn id="12198" xr3:uid="{6E636F15-7A5D-A644-BD93-32BCABAD5309}" name="Column12180"/>
    <tableColumn id="12199" xr3:uid="{EA360E21-1FC6-7F46-99AF-15B6064BC4A0}" name="Column12181"/>
    <tableColumn id="12200" xr3:uid="{BE1F9C59-F809-2B42-AF55-5C41039BEE99}" name="Column12182"/>
    <tableColumn id="12201" xr3:uid="{532C8052-5D1F-F246-A4E9-C39459B4C7EA}" name="Column12183"/>
    <tableColumn id="12202" xr3:uid="{3560B560-C1AA-5741-978B-A373CA75FE4B}" name="Column12184"/>
    <tableColumn id="12203" xr3:uid="{D414F6D8-0E11-A74C-98E1-08C49C91AF2F}" name="Column12185"/>
    <tableColumn id="12204" xr3:uid="{44FA7C0D-92E9-CB47-87EA-162B7A8540C9}" name="Column12186"/>
    <tableColumn id="12205" xr3:uid="{8D535D61-A664-0A46-A5EB-C7F2F2F83D08}" name="Column12187"/>
    <tableColumn id="12206" xr3:uid="{05A00A88-84AB-894C-B20A-11AAB59DE933}" name="Column12188"/>
    <tableColumn id="12207" xr3:uid="{2879B5AE-A0C9-FF48-A54F-8FCE2C30926E}" name="Column12189"/>
    <tableColumn id="12208" xr3:uid="{5810D5A2-8C47-1A40-8609-CE64D2535062}" name="Column12190"/>
    <tableColumn id="12209" xr3:uid="{9F12B4D8-B429-994B-95EA-F4337FCE432F}" name="Column12191"/>
    <tableColumn id="12210" xr3:uid="{8D517C54-2A25-0344-BB20-15AE96F7D64D}" name="Column12192"/>
    <tableColumn id="12211" xr3:uid="{E4845614-0240-AE4C-A6C1-2C7E294FF474}" name="Column12193"/>
    <tableColumn id="12212" xr3:uid="{279CDE9D-1B9A-DA4D-9DBC-B6BB43844B8B}" name="Column12194"/>
    <tableColumn id="12213" xr3:uid="{2EE8A652-A7E1-E24A-8ECE-632F011CBAE3}" name="Column12195"/>
    <tableColumn id="12214" xr3:uid="{A426802C-20FD-C84E-AC7A-FF333E5ADB18}" name="Column12196"/>
    <tableColumn id="12215" xr3:uid="{EAA9E487-ADAC-F74B-AD38-1A64881B30D7}" name="Column12197"/>
    <tableColumn id="12216" xr3:uid="{573573DF-DF15-C744-8E08-07A22E87C0E9}" name="Column12198"/>
    <tableColumn id="12217" xr3:uid="{B735D969-39F9-9E43-8D84-9447F4F160F5}" name="Column12199"/>
    <tableColumn id="12218" xr3:uid="{7EE6C8A8-9B22-DD4D-A04C-6DF835B6E044}" name="Column12200"/>
    <tableColumn id="12219" xr3:uid="{92D99D27-FDA9-9B4F-8AAB-03957137363D}" name="Column12201"/>
    <tableColumn id="12220" xr3:uid="{7E70DF68-0186-1F46-8B08-7E9443300169}" name="Column12202"/>
    <tableColumn id="12221" xr3:uid="{FFCD576A-356D-4E4B-90A6-05AE7FA853E0}" name="Column12203"/>
    <tableColumn id="12222" xr3:uid="{DE59CC05-D533-4541-B8BF-C231FC6BD6A1}" name="Column12204"/>
    <tableColumn id="12223" xr3:uid="{68F996CC-E417-794A-965E-6607E7EB9103}" name="Column12205"/>
    <tableColumn id="12224" xr3:uid="{A42E638E-5E14-9F44-9560-1731CA73AF75}" name="Column12206"/>
    <tableColumn id="12225" xr3:uid="{D09F83B8-C5DC-074E-85FA-0723FAB53A66}" name="Column12207"/>
    <tableColumn id="12226" xr3:uid="{7238A708-EB52-194E-AA92-A4101F450FB7}" name="Column12208"/>
    <tableColumn id="12227" xr3:uid="{B286AD5A-B81F-7A47-931C-76818145FD7E}" name="Column12209"/>
    <tableColumn id="12228" xr3:uid="{829127AE-1630-4B4C-B10F-CD88BF035EF0}" name="Column12210"/>
    <tableColumn id="12229" xr3:uid="{3428BDD3-6E6A-7542-A2A6-C9BFD8A2F1A1}" name="Column12211"/>
    <tableColumn id="12230" xr3:uid="{4F0EF031-92DD-634D-8EE5-A51D689CFF21}" name="Column12212"/>
    <tableColumn id="12231" xr3:uid="{9F7CC046-735C-7445-B31B-250AD33F2DE6}" name="Column12213"/>
    <tableColumn id="12232" xr3:uid="{23340CB0-1857-BF47-B833-9A3B13BCB081}" name="Column12214"/>
    <tableColumn id="12233" xr3:uid="{FBEE17A1-ABE5-1143-A629-6ECC9FB0E682}" name="Column12215"/>
    <tableColumn id="12234" xr3:uid="{9ACE774C-572E-2445-A0DD-1CDC6C019FA2}" name="Column12216"/>
    <tableColumn id="12235" xr3:uid="{C9161FFE-218B-754E-8643-9A1E1AECCF8E}" name="Column12217"/>
    <tableColumn id="12236" xr3:uid="{92882971-4537-2045-8A2F-514D74F42E06}" name="Column12218"/>
    <tableColumn id="12237" xr3:uid="{CACFB8B4-8AA6-7A43-A62A-4F6D7F011F01}" name="Column12219"/>
    <tableColumn id="12238" xr3:uid="{3C89EAFD-5D97-F046-9B48-C243BF0164FE}" name="Column12220"/>
    <tableColumn id="12239" xr3:uid="{B44C349D-0F57-3047-98FA-EB2C01FCEFA7}" name="Column12221"/>
    <tableColumn id="12240" xr3:uid="{696669A4-D3CD-DC4E-95C9-6A159B7B9550}" name="Column12222"/>
    <tableColumn id="12241" xr3:uid="{D8185712-D9F5-A748-B5F4-68DD1086D563}" name="Column12223"/>
    <tableColumn id="12242" xr3:uid="{0E4F9F2B-D752-BD48-8FEB-F1814F8E4132}" name="Column12224"/>
    <tableColumn id="12243" xr3:uid="{9E2AA2E0-080C-C149-927B-2DE3455F061F}" name="Column12225"/>
    <tableColumn id="12244" xr3:uid="{00CB4FE4-23A8-D140-9F16-88CD9DDA849E}" name="Column12226"/>
    <tableColumn id="12245" xr3:uid="{BE00C73A-D792-D945-B499-C05F27E5AE23}" name="Column12227"/>
    <tableColumn id="12246" xr3:uid="{6077A8A7-3722-E54E-A43A-201E110DA74C}" name="Column12228"/>
    <tableColumn id="12247" xr3:uid="{B2ECDA85-9305-2E44-88DA-F1FF56A705AB}" name="Column12229"/>
    <tableColumn id="12248" xr3:uid="{5C1EFB85-CFEB-D342-82E8-BD61ACCE82F8}" name="Column12230"/>
    <tableColumn id="12249" xr3:uid="{D8B3F036-5186-7F49-88A6-44C9D1640FCE}" name="Column12231"/>
    <tableColumn id="12250" xr3:uid="{5EB50D51-366D-9149-A50B-CCAA4C4FCC70}" name="Column12232"/>
    <tableColumn id="12251" xr3:uid="{DC6D90BF-EA4B-754D-A823-A9CB6489BCB3}" name="Column12233"/>
    <tableColumn id="12252" xr3:uid="{AB95F44D-1CDB-8E4C-951A-88482FFA49DE}" name="Column12234"/>
    <tableColumn id="12253" xr3:uid="{B0A36E40-6BDE-8448-85A4-08D69727A3D9}" name="Column12235"/>
    <tableColumn id="12254" xr3:uid="{EB6176F3-13CA-E945-90BF-1E530AFE2346}" name="Column12236"/>
    <tableColumn id="12255" xr3:uid="{D385BA35-B8A6-C045-BDED-24A23018C363}" name="Column12237"/>
    <tableColumn id="12256" xr3:uid="{4FAEF54A-9B6B-0540-AAAF-0B07692A7E9A}" name="Column12238"/>
    <tableColumn id="12257" xr3:uid="{A6139887-E234-4C45-BD77-3743640CAF9D}" name="Column12239"/>
    <tableColumn id="12258" xr3:uid="{81F6A8D4-DC3C-FD4F-8125-6802208687FE}" name="Column12240"/>
    <tableColumn id="12259" xr3:uid="{4D8267AE-9706-9A4D-845D-D2D46A053FAD}" name="Column12241"/>
    <tableColumn id="12260" xr3:uid="{1B5259D1-294D-BC47-A226-37AEF2A53596}" name="Column12242"/>
    <tableColumn id="12261" xr3:uid="{D5749159-F49E-BE41-B0CA-9B44FBA25FB6}" name="Column12243"/>
    <tableColumn id="12262" xr3:uid="{9A1C6944-2C9C-F045-B55B-30AA5FF0AD7B}" name="Column12244"/>
    <tableColumn id="12263" xr3:uid="{7A013B2A-40A9-F641-8962-CC2548AAE577}" name="Column12245"/>
    <tableColumn id="12264" xr3:uid="{87BDBA59-39DC-094D-8666-CB7F3D13AFC2}" name="Column12246"/>
    <tableColumn id="12265" xr3:uid="{843F43D1-EC14-894A-A406-147549EB8ECA}" name="Column12247"/>
    <tableColumn id="12266" xr3:uid="{865C176C-CD8A-EB4C-A90A-2F78D2DB5805}" name="Column12248"/>
    <tableColumn id="12267" xr3:uid="{E0B6306B-43AA-B142-96F4-B964B12DF7A5}" name="Column12249"/>
    <tableColumn id="12268" xr3:uid="{EEAD9971-9F81-D24B-9FFD-60160DF9799B}" name="Column12250"/>
    <tableColumn id="12269" xr3:uid="{09377D18-199E-CD43-8B0D-BB15AF4033A0}" name="Column12251"/>
    <tableColumn id="12270" xr3:uid="{6992FFF2-2D4F-4D49-9519-E4C0245BEA21}" name="Column12252"/>
    <tableColumn id="12271" xr3:uid="{5B84D4F3-35DE-8842-B083-0634F6BD3542}" name="Column12253"/>
    <tableColumn id="12272" xr3:uid="{A4D84EC5-773E-9041-80E7-EABDEECCEB60}" name="Column12254"/>
    <tableColumn id="12273" xr3:uid="{A381E18F-7FA9-F544-BF0E-90D6CE5730C7}" name="Column12255"/>
    <tableColumn id="12274" xr3:uid="{ADF7547A-BE99-7A46-A258-D60D26B03ECE}" name="Column12256"/>
    <tableColumn id="12275" xr3:uid="{D2840CA4-38F2-7245-9CED-B650EF41BA1D}" name="Column12257"/>
    <tableColumn id="12276" xr3:uid="{D4925488-6EBE-D749-BCD0-562B92B4A0FB}" name="Column12258"/>
    <tableColumn id="12277" xr3:uid="{DEF94107-825D-0C4A-8E95-D3371B55CB63}" name="Column12259"/>
    <tableColumn id="12278" xr3:uid="{47CFD24D-132D-2A46-BC1F-DF13F915F4AD}" name="Column12260"/>
    <tableColumn id="12279" xr3:uid="{064457ED-F080-0341-A9E8-B45AC566F79E}" name="Column12261"/>
    <tableColumn id="12280" xr3:uid="{124A16FF-CE16-F24E-9E9D-DA1E265EA2AF}" name="Column12262"/>
    <tableColumn id="12281" xr3:uid="{A6EAB918-DF4F-F148-9647-A3391B2687F1}" name="Column12263"/>
    <tableColumn id="12282" xr3:uid="{7F26AB40-F6DF-4E47-978A-AD158BD63AD8}" name="Column12264"/>
    <tableColumn id="12283" xr3:uid="{C36B30AE-F2EA-9C4E-A00E-FB3A10A38DE4}" name="Column12265"/>
    <tableColumn id="12284" xr3:uid="{270D6AE7-3717-2344-8691-C45151E64109}" name="Column12266"/>
    <tableColumn id="12285" xr3:uid="{0713467D-0512-3242-BA22-BC291405DCE9}" name="Column12267"/>
    <tableColumn id="12286" xr3:uid="{6AC1B7BC-7351-8647-91D7-A35FBBC59D74}" name="Column12268"/>
    <tableColumn id="12287" xr3:uid="{7BBA7A50-AD2C-BB4E-9DC1-2CDC3003427D}" name="Column12269"/>
    <tableColumn id="12288" xr3:uid="{05EFF0DA-0809-BF4F-8247-BC1B66B918EB}" name="Column12270"/>
    <tableColumn id="12289" xr3:uid="{D8E27C81-7AA3-9A4A-8D5B-B82A9080241B}" name="Column12271"/>
    <tableColumn id="12290" xr3:uid="{8CF57EB1-EF33-7B4E-922C-89017E4D6692}" name="Column12272"/>
    <tableColumn id="12291" xr3:uid="{CB7378E2-60AA-1B48-A763-3F48B57042B1}" name="Column12273"/>
    <tableColumn id="12292" xr3:uid="{D49AEEE9-E6BC-BB49-A32B-FECF1A75F6D6}" name="Column12274"/>
    <tableColumn id="12293" xr3:uid="{3EE72725-84B5-6A45-98DF-70657056922A}" name="Column12275"/>
    <tableColumn id="12294" xr3:uid="{7053F7F0-01EA-BF44-90F0-4D2D0BA923BB}" name="Column12276"/>
    <tableColumn id="12295" xr3:uid="{20BE0DFC-FE6A-844C-AC28-F124AFD84545}" name="Column12277"/>
    <tableColumn id="12296" xr3:uid="{27027CB7-34F4-524E-AA87-FD2E4720A1A7}" name="Column12278"/>
    <tableColumn id="12297" xr3:uid="{E78FA984-A579-B04E-A44B-62E03FF99486}" name="Column12279"/>
    <tableColumn id="12298" xr3:uid="{D39D5465-11B9-2640-8321-34F087754663}" name="Column12280"/>
    <tableColumn id="12299" xr3:uid="{B6A871E2-5AF5-A647-A9BE-F16D57ECF9B5}" name="Column12281"/>
    <tableColumn id="12300" xr3:uid="{96E892A2-7707-3047-829A-DB35EAB9C555}" name="Column12282"/>
    <tableColumn id="12301" xr3:uid="{27482FA9-9F05-2445-AF9D-7FA1917B8BDE}" name="Column12283"/>
    <tableColumn id="12302" xr3:uid="{2A33276E-ABE6-604E-BDC6-878754FBD3BB}" name="Column12284"/>
    <tableColumn id="12303" xr3:uid="{179726D3-5620-7C46-A525-75F6F725A9E9}" name="Column12285"/>
    <tableColumn id="12304" xr3:uid="{B33EC9F3-1438-5843-826A-9364A6612639}" name="Column12286"/>
    <tableColumn id="12305" xr3:uid="{DB2C3255-6D3F-3B41-8E95-0BF9228C3A67}" name="Column12287"/>
    <tableColumn id="12306" xr3:uid="{3C8F1AE3-BDD5-AB4B-B0B6-144CED15EE59}" name="Column12288"/>
    <tableColumn id="12307" xr3:uid="{0ED3405F-EEAF-A343-9457-4061373CE438}" name="Column12289"/>
    <tableColumn id="12308" xr3:uid="{750E5465-B9E0-594E-A24C-008113BA51E4}" name="Column12290"/>
    <tableColumn id="12309" xr3:uid="{F93B0E26-5FBD-0242-927C-DD3D17BB0EF9}" name="Column12291"/>
    <tableColumn id="12310" xr3:uid="{CC1525B1-167B-E447-9423-4B775722779B}" name="Column12292"/>
    <tableColumn id="12311" xr3:uid="{6BAB62E4-E9BD-9841-BF38-79B751ED2F3A}" name="Column12293"/>
    <tableColumn id="12312" xr3:uid="{5BA1CB74-0B44-524E-B90F-CC0A6940694F}" name="Column12294"/>
    <tableColumn id="12313" xr3:uid="{AF19646A-A28F-0E41-BB5D-9B8096813766}" name="Column12295"/>
    <tableColumn id="12314" xr3:uid="{F6EFD2E2-7F55-EA44-AABE-EC3FEB47CB37}" name="Column12296"/>
    <tableColumn id="12315" xr3:uid="{85C3B963-5C06-CE47-AD7B-79E07A213B95}" name="Column12297"/>
    <tableColumn id="12316" xr3:uid="{3311BF21-84AA-5D42-AF5A-A13537B192DB}" name="Column12298"/>
    <tableColumn id="12317" xr3:uid="{B8F34463-B438-D145-9441-5BF2962DDF33}" name="Column12299"/>
    <tableColumn id="12318" xr3:uid="{8DC706D5-B2FE-7E40-8BA4-41B8B3C2A930}" name="Column12300"/>
    <tableColumn id="12319" xr3:uid="{1C76E847-55CA-EA48-8CEC-218DD51C72DA}" name="Column12301"/>
    <tableColumn id="12320" xr3:uid="{6846416C-A931-8847-9C48-6FEFDFD05516}" name="Column12302"/>
    <tableColumn id="12321" xr3:uid="{5380FB40-C682-E94D-BF9F-8E57EE628727}" name="Column12303"/>
    <tableColumn id="12322" xr3:uid="{E28959BC-C3E4-B144-8EE9-4597EE747710}" name="Column12304"/>
    <tableColumn id="12323" xr3:uid="{FC817862-7418-F64B-B90C-5EA9622D2573}" name="Column12305"/>
    <tableColumn id="12324" xr3:uid="{5A094583-A971-2146-B48E-0F20D40A4DE3}" name="Column12306"/>
    <tableColumn id="12325" xr3:uid="{CD2EF1B3-2FF3-784A-9C81-321F1DC90615}" name="Column12307"/>
    <tableColumn id="12326" xr3:uid="{330F1BBC-2F5A-3345-BC0C-1B1B65324C04}" name="Column12308"/>
    <tableColumn id="12327" xr3:uid="{00C9DA36-BFD0-7746-882B-F29AC9A47F8C}" name="Column12309"/>
    <tableColumn id="12328" xr3:uid="{95ACFB3F-8121-6C49-A3F9-0CC48FEDEA9D}" name="Column12310"/>
    <tableColumn id="12329" xr3:uid="{9CFA9B12-38C3-C74F-B73B-E5231EF3D06C}" name="Column12311"/>
    <tableColumn id="12330" xr3:uid="{5F778C98-57EF-0F40-9251-290E989DED54}" name="Column12312"/>
    <tableColumn id="12331" xr3:uid="{E731EBBD-4291-864B-AA4E-C98958F3346C}" name="Column12313"/>
    <tableColumn id="12332" xr3:uid="{D031B087-2B87-1F41-8812-F3A5F447209B}" name="Column12314"/>
    <tableColumn id="12333" xr3:uid="{AF68C5FE-DF6B-B042-BF00-88D9B985D64D}" name="Column12315"/>
    <tableColumn id="12334" xr3:uid="{B4E8147D-B218-C748-BD2F-FDAE18E6B1BB}" name="Column12316"/>
    <tableColumn id="12335" xr3:uid="{37C1CBEC-DAB7-214B-B747-4DE10BACBFD5}" name="Column12317"/>
    <tableColumn id="12336" xr3:uid="{18718FD5-F8BA-9042-BDFC-AEFF351D46BB}" name="Column12318"/>
    <tableColumn id="12337" xr3:uid="{C667C375-AD1D-E84A-B7DB-827CA6FBDC99}" name="Column12319"/>
    <tableColumn id="12338" xr3:uid="{C23CD342-2591-FF4C-AD42-C68DBB81573E}" name="Column12320"/>
    <tableColumn id="12339" xr3:uid="{2AF720FF-9975-384A-9D0C-AFCDEA2146A6}" name="Column12321"/>
    <tableColumn id="12340" xr3:uid="{720A8ED6-1803-084A-8575-679FFA071795}" name="Column12322"/>
    <tableColumn id="12341" xr3:uid="{01615CB0-B0F3-0B4A-9736-B6103434F112}" name="Column12323"/>
    <tableColumn id="12342" xr3:uid="{7A0F48B7-19DF-344F-99B7-7613534D6E93}" name="Column12324"/>
    <tableColumn id="12343" xr3:uid="{EA43A6DD-8970-BA4D-AA90-56AF806CAFEF}" name="Column12325"/>
    <tableColumn id="12344" xr3:uid="{58E2AC6D-1E33-D346-BCC5-3B4124D21F06}" name="Column12326"/>
    <tableColumn id="12345" xr3:uid="{1ABBAB64-ED04-ED46-983C-0462D7CFCBA7}" name="Column12327"/>
    <tableColumn id="12346" xr3:uid="{9F52975C-947E-CF4A-BA6A-A0B471C4B1BF}" name="Column12328"/>
    <tableColumn id="12347" xr3:uid="{38BD56FB-193C-2D42-93F7-479DBBD96364}" name="Column12329"/>
    <tableColumn id="12348" xr3:uid="{32ED68DD-88DF-B048-8FF5-43384FC748C1}" name="Column12330"/>
    <tableColumn id="12349" xr3:uid="{D0E94365-2090-3B4B-ACEF-DD6311FB3559}" name="Column12331"/>
    <tableColumn id="12350" xr3:uid="{E165E821-9394-2C4F-89EB-72336E5A6853}" name="Column12332"/>
    <tableColumn id="12351" xr3:uid="{E0EFED82-F37F-5845-B027-39E7ED76D192}" name="Column12333"/>
    <tableColumn id="12352" xr3:uid="{8DE53D9B-63B9-F848-90D4-EB5A0555E913}" name="Column12334"/>
    <tableColumn id="12353" xr3:uid="{6F6E9138-01A3-AE4D-8A17-F031E3F8C738}" name="Column12335"/>
    <tableColumn id="12354" xr3:uid="{6B8F07D9-3725-114B-97FB-1D16E654CE1C}" name="Column12336"/>
    <tableColumn id="12355" xr3:uid="{B516DB8A-ABBF-4F4D-BB6D-7C1885E63A72}" name="Column12337"/>
    <tableColumn id="12356" xr3:uid="{8C94F016-3766-7849-9774-B44118E5323A}" name="Column12338"/>
    <tableColumn id="12357" xr3:uid="{5D2744AA-A7BE-6C47-AA78-2C59D99FA49B}" name="Column12339"/>
    <tableColumn id="12358" xr3:uid="{AA410850-9E41-7A44-93A9-FA081D54464F}" name="Column12340"/>
    <tableColumn id="12359" xr3:uid="{1F36F2A1-4988-C049-B575-1767162B3A3D}" name="Column12341"/>
    <tableColumn id="12360" xr3:uid="{2BDD628C-C5F1-9B47-ACB6-E8FF11DD73D4}" name="Column12342"/>
    <tableColumn id="12361" xr3:uid="{8F9D4461-FB96-F84F-B8BE-B58BBAEA30A2}" name="Column12343"/>
    <tableColumn id="12362" xr3:uid="{9A1EC6A5-4AE9-F44F-ADAE-42330CF81A93}" name="Column12344"/>
    <tableColumn id="12363" xr3:uid="{384420A2-36F8-5B44-913F-50B2FE94ACD5}" name="Column12345"/>
    <tableColumn id="12364" xr3:uid="{A3C4637D-E6BE-0F49-A56C-3CA0A1CB1A1F}" name="Column12346"/>
    <tableColumn id="12365" xr3:uid="{345FEAAF-16B9-7342-8EBA-FB2E3E858706}" name="Column12347"/>
    <tableColumn id="12366" xr3:uid="{F0BAC11C-C304-F149-A5FF-AABB62FBB954}" name="Column12348"/>
    <tableColumn id="12367" xr3:uid="{D69E80D7-F048-8246-A7B0-74479AA305B6}" name="Column12349"/>
    <tableColumn id="12368" xr3:uid="{0ECCA070-E8BD-504C-B9B6-6403696ECE95}" name="Column12350"/>
    <tableColumn id="12369" xr3:uid="{D3413061-8CC9-E64D-9E1E-915F427A21D2}" name="Column12351"/>
    <tableColumn id="12370" xr3:uid="{673540F7-D9A0-714B-9CC3-0289B8DC4BF9}" name="Column12352"/>
    <tableColumn id="12371" xr3:uid="{9394244A-169B-9F43-8073-B004EB2D03F0}" name="Column12353"/>
    <tableColumn id="12372" xr3:uid="{2FBA17D0-A0A6-8C47-BC32-1AA60B1C0C4C}" name="Column12354"/>
    <tableColumn id="12373" xr3:uid="{DDE8B26F-1B84-334A-BA39-62BFFB7299D0}" name="Column12355"/>
    <tableColumn id="12374" xr3:uid="{EE6C4DA0-C271-8C40-85C6-5DE76AA3CEE3}" name="Column12356"/>
    <tableColumn id="12375" xr3:uid="{0D30E1BE-D67F-9945-81BB-253113A46591}" name="Column12357"/>
    <tableColumn id="12376" xr3:uid="{B3FBA31B-CDCB-CF49-853E-332F384B114A}" name="Column12358"/>
    <tableColumn id="12377" xr3:uid="{E5FA6CB4-02B8-5647-839D-A8ACF076CD2B}" name="Column12359"/>
    <tableColumn id="12378" xr3:uid="{B3F0F45B-951A-7A4C-86DF-4BA796B82CAE}" name="Column12360"/>
    <tableColumn id="12379" xr3:uid="{1C1F1D64-2B52-8542-8DD1-25D23AA3119B}" name="Column12361"/>
    <tableColumn id="12380" xr3:uid="{43D727AB-D626-8A4C-B6D7-DE55B070CBFE}" name="Column12362"/>
    <tableColumn id="12381" xr3:uid="{C130B0C5-A016-2340-B77F-91AC7E6058F9}" name="Column12363"/>
    <tableColumn id="12382" xr3:uid="{39884BA1-4A22-104C-AAEC-900DA51F1AE8}" name="Column12364"/>
    <tableColumn id="12383" xr3:uid="{43172F35-F096-504A-BFE2-5C10906F86DB}" name="Column12365"/>
    <tableColumn id="12384" xr3:uid="{BC9E29E5-0459-6648-BDC2-34138B62D97F}" name="Column12366"/>
    <tableColumn id="12385" xr3:uid="{BFAA13E8-0EF0-6E43-A919-8B6E1DEE97EB}" name="Column12367"/>
    <tableColumn id="12386" xr3:uid="{6B665F79-A2DB-D543-BDBA-FE34A4F98C34}" name="Column12368"/>
    <tableColumn id="12387" xr3:uid="{F09FE387-725C-5B40-89B5-2367D49DBBB6}" name="Column12369"/>
    <tableColumn id="12388" xr3:uid="{B485DC11-0B4D-7A40-90F2-BBECB163A30A}" name="Column12370"/>
    <tableColumn id="12389" xr3:uid="{E21F8E5C-D1A4-6646-BFFA-9B1F57A6BD89}" name="Column12371"/>
    <tableColumn id="12390" xr3:uid="{4C1332B9-CB0B-4F4F-9112-CBAEB98696E2}" name="Column12372"/>
    <tableColumn id="12391" xr3:uid="{BDCC3F79-2402-1E4A-9EA9-FEEC2B86AB16}" name="Column12373"/>
    <tableColumn id="12392" xr3:uid="{197D2A69-16B0-6548-8A35-964B1D350B33}" name="Column12374"/>
    <tableColumn id="12393" xr3:uid="{9E23275E-2F17-944C-ABFF-5A64ECCC4F00}" name="Column12375"/>
    <tableColumn id="12394" xr3:uid="{7CB0463B-7057-CA43-B358-9268D2BBDA30}" name="Column12376"/>
    <tableColumn id="12395" xr3:uid="{AB504927-9547-1C4E-A4F8-4764E42CB9F8}" name="Column12377"/>
    <tableColumn id="12396" xr3:uid="{BE1F73A7-0186-0640-885A-E628DE78BDFC}" name="Column12378"/>
    <tableColumn id="12397" xr3:uid="{9FECECFD-2918-2C4D-9DD1-EE94D1C31A7B}" name="Column12379"/>
    <tableColumn id="12398" xr3:uid="{570ABA9F-02C9-1D4C-9168-31F881E87794}" name="Column12380"/>
    <tableColumn id="12399" xr3:uid="{97C2CEC8-BB71-8D46-8922-11F0886DF73A}" name="Column12381"/>
    <tableColumn id="12400" xr3:uid="{ACB8F8DF-C79A-904E-A53C-4EB6777BA87C}" name="Column12382"/>
    <tableColumn id="12401" xr3:uid="{391EC590-6117-AB46-BCEF-894AC34443D0}" name="Column12383"/>
    <tableColumn id="12402" xr3:uid="{5FDA5382-0689-8E44-A571-5A648C3C7F7F}" name="Column12384"/>
    <tableColumn id="12403" xr3:uid="{6CE0024F-EC63-9C47-9C9C-E3CC390B8A2D}" name="Column12385"/>
    <tableColumn id="12404" xr3:uid="{55716A12-B9FD-9640-820C-5056799F44C4}" name="Column12386"/>
    <tableColumn id="12405" xr3:uid="{69D78BC6-29C5-BE41-AB34-4971468C35CB}" name="Column12387"/>
    <tableColumn id="12406" xr3:uid="{FFB3097D-F952-B04F-9BF4-D1B750B7E2B0}" name="Column12388"/>
    <tableColumn id="12407" xr3:uid="{7C7C183F-1EE4-1B4C-AD33-60E397C4D421}" name="Column12389"/>
    <tableColumn id="12408" xr3:uid="{C55880B4-9864-6047-A0C3-791CF2BB6087}" name="Column12390"/>
    <tableColumn id="12409" xr3:uid="{091A1452-58E1-7348-9138-0F75401CE3BF}" name="Column12391"/>
    <tableColumn id="12410" xr3:uid="{01115565-A30F-7243-BFD4-3AC1AB0A8140}" name="Column12392"/>
    <tableColumn id="12411" xr3:uid="{3569C55E-C7A1-1F4E-803C-229A4EA8F0D9}" name="Column12393"/>
    <tableColumn id="12412" xr3:uid="{8C853FB5-3EAC-FC47-8559-B949362D1276}" name="Column12394"/>
    <tableColumn id="12413" xr3:uid="{30178AF3-72DB-844A-966D-1C7989CA3A87}" name="Column12395"/>
    <tableColumn id="12414" xr3:uid="{2E271A5A-F13D-644D-B3D7-544596F882D1}" name="Column12396"/>
    <tableColumn id="12415" xr3:uid="{95E50D2F-EEA2-8042-9CA9-D91D1E3C2842}" name="Column12397"/>
    <tableColumn id="12416" xr3:uid="{50DAF3DB-431D-924D-8CA5-B2CDC362402E}" name="Column12398"/>
    <tableColumn id="12417" xr3:uid="{2EEDC585-E3E7-1048-8989-E966B1FD418D}" name="Column12399"/>
    <tableColumn id="12418" xr3:uid="{0D8C8BEC-65A7-5147-9BA2-70F4269DBAA7}" name="Column12400"/>
    <tableColumn id="12419" xr3:uid="{5BD615E1-CF90-7C45-B6E0-3ED9B7E51621}" name="Column12401"/>
    <tableColumn id="12420" xr3:uid="{CBC0A87F-E529-DA4D-9FE9-3B9EE739A6E9}" name="Column12402"/>
    <tableColumn id="12421" xr3:uid="{434C005F-79C6-284F-9A92-617BCC677D9D}" name="Column12403"/>
    <tableColumn id="12422" xr3:uid="{44B2ECA9-FB3A-CA4E-AA04-21ED0914117C}" name="Column12404"/>
    <tableColumn id="12423" xr3:uid="{813E5241-4E79-8B47-8E21-B8E96CE61822}" name="Column12405"/>
    <tableColumn id="12424" xr3:uid="{97178D74-4AB7-8340-9CEA-CF6C67CA371E}" name="Column12406"/>
    <tableColumn id="12425" xr3:uid="{B11E219E-0BEC-644D-9C69-5674F40A08D1}" name="Column12407"/>
    <tableColumn id="12426" xr3:uid="{0E06A670-49FC-6649-9F44-2BCE501C1B28}" name="Column12408"/>
    <tableColumn id="12427" xr3:uid="{29AC99B7-7833-C84E-9995-B4EFA8733C01}" name="Column12409"/>
    <tableColumn id="12428" xr3:uid="{D3D2FBA1-5E4A-E54C-8FBD-83440504205B}" name="Column12410"/>
    <tableColumn id="12429" xr3:uid="{085961BD-D326-3A4C-BB5A-4130B969520D}" name="Column12411"/>
    <tableColumn id="12430" xr3:uid="{DFBCBF0B-4ED2-7A46-88D0-DE719D706401}" name="Column12412"/>
    <tableColumn id="12431" xr3:uid="{E44A140D-FF23-484F-805F-28C7F4F04CD6}" name="Column12413"/>
    <tableColumn id="12432" xr3:uid="{98C650F9-6737-104F-9358-3CA46ED6832F}" name="Column12414"/>
    <tableColumn id="12433" xr3:uid="{08DDB147-8550-EB4D-9DE8-326A20D955B5}" name="Column12415"/>
    <tableColumn id="12434" xr3:uid="{E71E866C-869A-2545-9BCD-12CDDA5BD68A}" name="Column12416"/>
    <tableColumn id="12435" xr3:uid="{CEEEE102-456E-8046-8DE0-AF1C581BF4E8}" name="Column12417"/>
    <tableColumn id="12436" xr3:uid="{2B27B688-49D2-F846-B583-71289763A28F}" name="Column12418"/>
    <tableColumn id="12437" xr3:uid="{9DC79EC3-BA87-ED41-B168-867841E454FF}" name="Column12419"/>
    <tableColumn id="12438" xr3:uid="{32F9749E-B36E-2645-909D-D7EEE3105334}" name="Column12420"/>
    <tableColumn id="12439" xr3:uid="{C3639C10-442B-F34C-9B65-8E0E69569153}" name="Column12421"/>
    <tableColumn id="12440" xr3:uid="{01821357-CDCB-5040-95BE-95E60D398359}" name="Column12422"/>
    <tableColumn id="12441" xr3:uid="{9BC9D3F5-50CB-B74E-BFB1-AEEEC016029F}" name="Column12423"/>
    <tableColumn id="12442" xr3:uid="{79F464C0-BBAA-9848-B343-53891BCAE799}" name="Column12424"/>
    <tableColumn id="12443" xr3:uid="{D75DB919-8D49-D046-8EA2-40EF824366AC}" name="Column12425"/>
    <tableColumn id="12444" xr3:uid="{92F1638D-C409-E44C-9656-BCD1A7165C7C}" name="Column12426"/>
    <tableColumn id="12445" xr3:uid="{F28E12E6-60F4-CE4D-83B1-45B79951CF73}" name="Column12427"/>
    <tableColumn id="12446" xr3:uid="{3AFA414E-C58E-1945-8BD2-9D6EECE2DB59}" name="Column12428"/>
    <tableColumn id="12447" xr3:uid="{1AE591AE-7C9E-7B45-8383-9A6ABBC6E69E}" name="Column12429"/>
    <tableColumn id="12448" xr3:uid="{B1A11E49-FEAC-7D4E-83CB-42FA3B77F583}" name="Column12430"/>
    <tableColumn id="12449" xr3:uid="{E1C36FC7-CB54-364E-842C-9FC99B8CAA9B}" name="Column12431"/>
    <tableColumn id="12450" xr3:uid="{8958CE10-0877-9B43-B8C9-F05BF9686A8C}" name="Column12432"/>
    <tableColumn id="12451" xr3:uid="{EC310AC5-5963-EF4A-8100-8EFBCE81C997}" name="Column12433"/>
    <tableColumn id="12452" xr3:uid="{0620BC25-AB07-BA4C-8F2B-E928ECBC011B}" name="Column12434"/>
    <tableColumn id="12453" xr3:uid="{C530F47E-0E55-BA40-9573-E614A76A8ABD}" name="Column12435"/>
    <tableColumn id="12454" xr3:uid="{604CF71D-7ADB-E842-845E-8E24822213BB}" name="Column12436"/>
    <tableColumn id="12455" xr3:uid="{18C28D20-8E86-174E-BFBE-5414A8F3583D}" name="Column12437"/>
    <tableColumn id="12456" xr3:uid="{CF0A3A0C-BFB2-F241-93A2-F19B7716F253}" name="Column12438"/>
    <tableColumn id="12457" xr3:uid="{264AE119-3A83-CC43-BF2F-E0B765C6788A}" name="Column12439"/>
    <tableColumn id="12458" xr3:uid="{C2D46279-8F69-6B4F-9918-CA6A47B4CB2E}" name="Column12440"/>
    <tableColumn id="12459" xr3:uid="{60A2F888-D0B7-674A-AA69-43E84B5318A8}" name="Column12441"/>
    <tableColumn id="12460" xr3:uid="{C903A063-0D7A-634A-A9A6-90BF3634D464}" name="Column12442"/>
    <tableColumn id="12461" xr3:uid="{8CD80A76-2049-6345-B63B-7DA50401C9D4}" name="Column12443"/>
    <tableColumn id="12462" xr3:uid="{B9F3BA10-125A-AF4A-87EC-0136D3079EFC}" name="Column12444"/>
    <tableColumn id="12463" xr3:uid="{47677E15-BD93-6E42-9CA3-F035BFB38A14}" name="Column12445"/>
    <tableColumn id="12464" xr3:uid="{36F9201D-1A55-184A-987A-6E6C6EBC8420}" name="Column12446"/>
    <tableColumn id="12465" xr3:uid="{803C0B96-7D21-D143-9A0C-64C78D356F80}" name="Column12447"/>
    <tableColumn id="12466" xr3:uid="{59A1052C-68D8-2D47-A9AB-49A6051C18E5}" name="Column12448"/>
    <tableColumn id="12467" xr3:uid="{E75D500D-C29E-264E-9D62-93B8CF4598BB}" name="Column12449"/>
    <tableColumn id="12468" xr3:uid="{EE6DD235-24FC-7249-80B8-2CF2BD67B28D}" name="Column12450"/>
    <tableColumn id="12469" xr3:uid="{1091361D-5AE2-E44B-946B-95741C12B525}" name="Column12451"/>
    <tableColumn id="12470" xr3:uid="{571BAEBE-B46F-6949-8FD8-9CCCEC08CE29}" name="Column12452"/>
    <tableColumn id="12471" xr3:uid="{316DDB47-84A6-2C4E-8F1D-2AF5BCB836C6}" name="Column12453"/>
    <tableColumn id="12472" xr3:uid="{0EFD56C0-E5CC-A443-A5FE-4927D7FAFE44}" name="Column12454"/>
    <tableColumn id="12473" xr3:uid="{B40A3FB2-8924-BF4A-847B-E41C115A4906}" name="Column12455"/>
    <tableColumn id="12474" xr3:uid="{56B6CF4B-6451-6B48-818E-5CCBA5E05758}" name="Column12456"/>
    <tableColumn id="12475" xr3:uid="{946AD744-AD0D-EB48-93DD-B4F87CDE3D3A}" name="Column12457"/>
    <tableColumn id="12476" xr3:uid="{5252279E-C9DD-4547-A7A4-EF934A63AC14}" name="Column12458"/>
    <tableColumn id="12477" xr3:uid="{420410DF-DE29-A641-9129-F5BD3CAE75CA}" name="Column12459"/>
    <tableColumn id="12478" xr3:uid="{E7ABC310-84A6-3E47-8C63-1B1D39E81C4F}" name="Column12460"/>
    <tableColumn id="12479" xr3:uid="{A4D411AF-FA13-1D49-A26A-BE5EB85E5C9D}" name="Column12461"/>
    <tableColumn id="12480" xr3:uid="{D404CBDA-E557-7B44-8F7A-16E69761EB69}" name="Column12462"/>
    <tableColumn id="12481" xr3:uid="{9316EC98-CCA0-E947-AD63-6D74D0603536}" name="Column12463"/>
    <tableColumn id="12482" xr3:uid="{97693421-0E3F-8C40-B7A5-DD5753246EA8}" name="Column12464"/>
    <tableColumn id="12483" xr3:uid="{3484FBF3-6FDE-BD41-8E08-D432A35068C2}" name="Column12465"/>
    <tableColumn id="12484" xr3:uid="{0D93A68E-A8CD-9E4D-9E3D-0A608A033CBA}" name="Column12466"/>
    <tableColumn id="12485" xr3:uid="{47D68BC7-FDA3-5742-9224-FC7F0F201FF0}" name="Column12467"/>
    <tableColumn id="12486" xr3:uid="{30897AB6-453E-284F-B3B7-B446758B51F0}" name="Column12468"/>
    <tableColumn id="12487" xr3:uid="{2754056C-1425-1442-A355-355056373F97}" name="Column12469"/>
    <tableColumn id="12488" xr3:uid="{3A674AD4-2AF4-5543-9093-3C80C6A469A5}" name="Column12470"/>
    <tableColumn id="12489" xr3:uid="{D9916F66-5FFB-1041-89A7-B187E4043B7A}" name="Column12471"/>
    <tableColumn id="12490" xr3:uid="{49D9D3D2-D58D-3F43-96FA-1D53E42B05F3}" name="Column12472"/>
    <tableColumn id="12491" xr3:uid="{BF8C85D4-639E-DD47-8D54-10A3B89DDA2D}" name="Column12473"/>
    <tableColumn id="12492" xr3:uid="{33AEDD44-E294-FE40-9DE7-D2DB67AA946C}" name="Column12474"/>
    <tableColumn id="12493" xr3:uid="{2FE61BD2-C84E-E74E-8674-5313E483DCF1}" name="Column12475"/>
    <tableColumn id="12494" xr3:uid="{3AD7D091-C0C1-284C-971C-D966DF82EBD9}" name="Column12476"/>
    <tableColumn id="12495" xr3:uid="{267E34BD-44AE-434B-9C6D-B0C740FFD509}" name="Column12477"/>
    <tableColumn id="12496" xr3:uid="{2DEE5DDB-8C5A-DF4F-BC87-6AC06B92C539}" name="Column12478"/>
    <tableColumn id="12497" xr3:uid="{3B35CF14-5F44-1B43-A2EF-9192C596E704}" name="Column12479"/>
    <tableColumn id="12498" xr3:uid="{A1731694-4260-B247-90F7-7435CDAB0B67}" name="Column12480"/>
    <tableColumn id="12499" xr3:uid="{7FD6C2A3-606A-8B44-80E9-6179A4A013B5}" name="Column12481"/>
    <tableColumn id="12500" xr3:uid="{D5548921-CC40-8A49-9F07-BB669D9BB254}" name="Column12482"/>
    <tableColumn id="12501" xr3:uid="{9D7D1C66-A44E-8649-A4A4-83AAD681B9CA}" name="Column12483"/>
    <tableColumn id="12502" xr3:uid="{34F8C875-757C-C74B-8C21-BCDA23EC0D40}" name="Column12484"/>
    <tableColumn id="12503" xr3:uid="{5D8E85EC-C54E-8243-A4BA-C0FDBDF8CE23}" name="Column12485"/>
    <tableColumn id="12504" xr3:uid="{0161104A-BDB2-2E48-A6C4-772280D3290A}" name="Column12486"/>
    <tableColumn id="12505" xr3:uid="{D30EE01B-1C56-6344-A9C6-4654CB10B850}" name="Column12487"/>
    <tableColumn id="12506" xr3:uid="{B2996113-758F-8A41-89D4-D213D61E3FE4}" name="Column12488"/>
    <tableColumn id="12507" xr3:uid="{3D6C5BB7-4683-384A-9ED7-A9544D446993}" name="Column12489"/>
    <tableColumn id="12508" xr3:uid="{38DE5AAD-3DAE-E14C-98D5-C03D6DFC34BA}" name="Column12490"/>
    <tableColumn id="12509" xr3:uid="{A419D390-C643-B540-BA87-98C5BEB15700}" name="Column12491"/>
    <tableColumn id="12510" xr3:uid="{F419CF71-E88F-6E4E-8F2C-DE61F2769E96}" name="Column12492"/>
    <tableColumn id="12511" xr3:uid="{4ABCD11B-D0D9-C74C-92CD-1ABB9D4BD61B}" name="Column12493"/>
    <tableColumn id="12512" xr3:uid="{85DEBB75-320D-6641-B0A3-31E6EB02DF20}" name="Column12494"/>
    <tableColumn id="12513" xr3:uid="{8913034A-0975-0B40-B81E-BB98B1500FB0}" name="Column12495"/>
    <tableColumn id="12514" xr3:uid="{BBA291A3-1935-B24D-B1ED-5905F82239C0}" name="Column12496"/>
    <tableColumn id="12515" xr3:uid="{9C392E73-E6FF-B04F-8EF2-590432E2A4AB}" name="Column12497"/>
    <tableColumn id="12516" xr3:uid="{6AEB339F-28E3-8449-9D30-927B92172B5D}" name="Column12498"/>
    <tableColumn id="12517" xr3:uid="{98B1265D-E1ED-384C-81D7-7E0D12DCFA78}" name="Column12499"/>
    <tableColumn id="12518" xr3:uid="{8E170AD6-FD49-914F-BFF9-16E0A6FFD2D4}" name="Column12500"/>
    <tableColumn id="12519" xr3:uid="{341E88C2-07FC-844C-A75A-A44C73FF6C96}" name="Column12501"/>
    <tableColumn id="12520" xr3:uid="{CD02D44D-416D-1743-B953-ECCDB390E848}" name="Column12502"/>
    <tableColumn id="12521" xr3:uid="{7B2D0086-18C4-C94D-B076-E6FB259ECFAF}" name="Column12503"/>
    <tableColumn id="12522" xr3:uid="{42B026C3-F107-3745-BF3F-D605605B4557}" name="Column12504"/>
    <tableColumn id="12523" xr3:uid="{1B30CB43-56CE-F340-AF6B-61D2C50354E1}" name="Column12505"/>
    <tableColumn id="12524" xr3:uid="{524B6B68-75CE-BB4F-88F9-C1142F5AC907}" name="Column12506"/>
    <tableColumn id="12525" xr3:uid="{C51050B7-5304-2B41-A52C-1F4F1CB9DC46}" name="Column12507"/>
    <tableColumn id="12526" xr3:uid="{506D6E8F-696D-DD40-91D7-2A7F8F73B1BB}" name="Column12508"/>
    <tableColumn id="12527" xr3:uid="{9B9807C1-210D-754B-A772-6273580BF144}" name="Column12509"/>
    <tableColumn id="12528" xr3:uid="{4CB4439C-F867-E44F-9A77-BAC104EDD0E1}" name="Column12510"/>
    <tableColumn id="12529" xr3:uid="{691DADDB-5D41-F94C-A180-E6B878C27384}" name="Column12511"/>
    <tableColumn id="12530" xr3:uid="{AA2CA172-C82F-184E-92A4-A88045C8A763}" name="Column12512"/>
    <tableColumn id="12531" xr3:uid="{C8D3955B-01FE-D147-AF89-95B4F9E9ADA1}" name="Column12513"/>
    <tableColumn id="12532" xr3:uid="{05F1A7D1-39A9-F64E-B56B-C32E877686C9}" name="Column12514"/>
    <tableColumn id="12533" xr3:uid="{EC34C71A-A0FC-F647-9F3A-F85D127B2B93}" name="Column12515"/>
    <tableColumn id="12534" xr3:uid="{21046C54-D1F7-E04E-92FF-CC48B4FD6A6B}" name="Column12516"/>
    <tableColumn id="12535" xr3:uid="{A08813A2-E697-594E-93DA-977D17210EA8}" name="Column12517"/>
    <tableColumn id="12536" xr3:uid="{B245491C-D2D9-5C4C-B95B-68CCDAC3D18D}" name="Column12518"/>
    <tableColumn id="12537" xr3:uid="{CAF8D8C0-5865-5945-A624-1E2658A70B00}" name="Column12519"/>
    <tableColumn id="12538" xr3:uid="{93CC81B9-AD6E-DE42-9655-5AA00044CC14}" name="Column12520"/>
    <tableColumn id="12539" xr3:uid="{BB3B5D68-8D51-0D40-AC87-8D44FCCC876A}" name="Column12521"/>
    <tableColumn id="12540" xr3:uid="{39A902D8-7DEE-BF45-95A0-618EC65330AF}" name="Column12522"/>
    <tableColumn id="12541" xr3:uid="{628B50D2-6EDB-EF41-A890-C21F51555C9B}" name="Column12523"/>
    <tableColumn id="12542" xr3:uid="{AF1CD1BD-0822-BA44-A8A8-D34FC71756F6}" name="Column12524"/>
    <tableColumn id="12543" xr3:uid="{15674B36-CA4C-5C4F-A5E4-83FFE3EC1FFD}" name="Column12525"/>
    <tableColumn id="12544" xr3:uid="{F9BDB8DD-2955-7243-B651-91EB9EBD4F7A}" name="Column12526"/>
    <tableColumn id="12545" xr3:uid="{8615BED5-A878-5347-8123-28CF91F6056B}" name="Column12527"/>
    <tableColumn id="12546" xr3:uid="{213AB914-3244-A64C-A139-971010479E17}" name="Column12528"/>
    <tableColumn id="12547" xr3:uid="{AFA8845F-A317-724F-82B6-E681BD4529E9}" name="Column12529"/>
    <tableColumn id="12548" xr3:uid="{B8CD58BC-9F13-6640-89EB-6505C4A3EEE4}" name="Column12530"/>
    <tableColumn id="12549" xr3:uid="{31616486-EDAF-1343-B4A8-25FC36D481A3}" name="Column12531"/>
    <tableColumn id="12550" xr3:uid="{C3CAF5A2-2F19-044F-A90F-E3A11871FDEF}" name="Column12532"/>
    <tableColumn id="12551" xr3:uid="{C0D39A38-9655-874E-9DC0-6B7199390DC3}" name="Column12533"/>
    <tableColumn id="12552" xr3:uid="{AFF0B517-1BB3-BE4E-BE3A-5196113D50A8}" name="Column12534"/>
    <tableColumn id="12553" xr3:uid="{EA4E2906-C5C7-EB47-901C-C558C72945CA}" name="Column12535"/>
    <tableColumn id="12554" xr3:uid="{60079A12-51EE-5548-B7F1-083D7ED07C9E}" name="Column12536"/>
    <tableColumn id="12555" xr3:uid="{88EDA4E9-00F7-224C-BFE5-A7B33096AC7C}" name="Column12537"/>
    <tableColumn id="12556" xr3:uid="{0B477049-6D0A-5D43-949B-CBC5154242C4}" name="Column12538"/>
    <tableColumn id="12557" xr3:uid="{21ACB6B8-98E2-5E45-B8EC-84450B65BD64}" name="Column12539"/>
    <tableColumn id="12558" xr3:uid="{14BDF547-633F-064E-A1CA-6DFFF01F89DA}" name="Column12540"/>
    <tableColumn id="12559" xr3:uid="{C11430E2-66B1-A946-B3EE-7386E60F9F14}" name="Column12541"/>
    <tableColumn id="12560" xr3:uid="{803B1FB1-C769-7A4B-AD18-423A6609726B}" name="Column12542"/>
    <tableColumn id="12561" xr3:uid="{1A0B98CE-39B2-5246-A5F2-F7E7BB79F7ED}" name="Column12543"/>
    <tableColumn id="12562" xr3:uid="{C04563D9-B26E-B547-815B-E690BEEDC34E}" name="Column12544"/>
    <tableColumn id="12563" xr3:uid="{DA1923F7-B094-6047-9807-0761D0106364}" name="Column12545"/>
    <tableColumn id="12564" xr3:uid="{47AF5966-9BCA-0844-A463-244D49F7C89A}" name="Column12546"/>
    <tableColumn id="12565" xr3:uid="{EE24B35C-7AAB-1346-B837-43C319753097}" name="Column12547"/>
    <tableColumn id="12566" xr3:uid="{CAAD38F9-AF63-C845-8FA3-D18A02A056B6}" name="Column12548"/>
    <tableColumn id="12567" xr3:uid="{AB74859E-9DD4-184D-AF94-B9D6E3E14DE8}" name="Column12549"/>
    <tableColumn id="12568" xr3:uid="{C82B5F01-A5DB-F14A-BE5A-302B9F8F9041}" name="Column12550"/>
    <tableColumn id="12569" xr3:uid="{AF4E80CA-143F-A54E-B38E-56547555B24B}" name="Column12551"/>
    <tableColumn id="12570" xr3:uid="{44B2C800-3539-DF4C-A2D8-D006A4770840}" name="Column12552"/>
    <tableColumn id="12571" xr3:uid="{3FB3C45A-019D-A447-9611-578282E61738}" name="Column12553"/>
    <tableColumn id="12572" xr3:uid="{FB6DC055-B489-D041-8748-13C63EAE51A5}" name="Column12554"/>
    <tableColumn id="12573" xr3:uid="{5C9A8FCC-495C-EC4E-A0DD-7167DAD68FE5}" name="Column12555"/>
    <tableColumn id="12574" xr3:uid="{F5132B36-053B-7343-9AA9-3BF3DA301A03}" name="Column12556"/>
    <tableColumn id="12575" xr3:uid="{981CB189-B0F5-7046-8F36-3585F796A961}" name="Column12557"/>
    <tableColumn id="12576" xr3:uid="{071A1483-AC00-D74E-ACEF-E4CFA1E1C561}" name="Column12558"/>
    <tableColumn id="12577" xr3:uid="{F2533EB6-A4A5-0B43-BF5D-E61C8A29A04E}" name="Column12559"/>
    <tableColumn id="12578" xr3:uid="{DE8E2E5D-30A2-6B45-A092-CACDC604E4B2}" name="Column12560"/>
    <tableColumn id="12579" xr3:uid="{48007A74-4CD6-574E-AF22-0EF0C4628086}" name="Column12561"/>
    <tableColumn id="12580" xr3:uid="{443ACCB6-A9F5-7146-99E7-F73EFF62EC02}" name="Column12562"/>
    <tableColumn id="12581" xr3:uid="{10152DBE-BB82-3649-BE0D-5E0AAF5088FD}" name="Column12563"/>
    <tableColumn id="12582" xr3:uid="{825831DF-073F-2E4E-84A8-6C0DA5591C3D}" name="Column12564"/>
    <tableColumn id="12583" xr3:uid="{CF0B3B26-E12F-0446-BB41-E797040C2966}" name="Column12565"/>
    <tableColumn id="12584" xr3:uid="{144B70BD-5318-F748-885E-89EFDC19E91E}" name="Column12566"/>
    <tableColumn id="12585" xr3:uid="{82D4C0BA-2D63-F645-A3A8-1D3B3B07367A}" name="Column12567"/>
    <tableColumn id="12586" xr3:uid="{B200FC98-2B6A-124D-A82B-DDB224CF01C3}" name="Column12568"/>
    <tableColumn id="12587" xr3:uid="{B3823076-02BC-0B42-9174-FA66C2FC51EE}" name="Column12569"/>
    <tableColumn id="12588" xr3:uid="{624CCBEF-E7DB-F646-B449-C148EE90A5AF}" name="Column12570"/>
    <tableColumn id="12589" xr3:uid="{787FB48E-938B-3D47-9097-BCC9CB342573}" name="Column12571"/>
    <tableColumn id="12590" xr3:uid="{E8EBA222-E945-DE45-81C8-CA534E3F0E78}" name="Column12572"/>
    <tableColumn id="12591" xr3:uid="{61F46832-DFD2-F643-9791-40B7ACB9D250}" name="Column12573"/>
    <tableColumn id="12592" xr3:uid="{0C8AC207-6FFE-4647-B666-4007F09CB2AC}" name="Column12574"/>
    <tableColumn id="12593" xr3:uid="{F8B47343-DB12-0648-B77B-11DB72AF7C03}" name="Column12575"/>
    <tableColumn id="12594" xr3:uid="{7E32DFCB-13D4-CC43-98D4-D2BEACFCDAEC}" name="Column12576"/>
    <tableColumn id="12595" xr3:uid="{88886F73-D524-734E-8D02-B1822143A4AC}" name="Column12577"/>
    <tableColumn id="12596" xr3:uid="{AA5C603F-E714-7C49-B80B-A697F8D245E6}" name="Column12578"/>
    <tableColumn id="12597" xr3:uid="{A7A4AEBA-708B-6344-94EC-09CD4951766F}" name="Column12579"/>
    <tableColumn id="12598" xr3:uid="{C56B6A86-1C93-C94B-8DD1-A65C6159C7FD}" name="Column12580"/>
    <tableColumn id="12599" xr3:uid="{A4C2BDE5-9741-CD4F-AFE5-9155922A56F2}" name="Column12581"/>
    <tableColumn id="12600" xr3:uid="{3848D44C-D031-8643-B4D3-EC3563CE244B}" name="Column12582"/>
    <tableColumn id="12601" xr3:uid="{8DAB8320-FBDB-8D42-8A58-E7D697698645}" name="Column12583"/>
    <tableColumn id="12602" xr3:uid="{BB4FE9FA-67C5-6E43-A055-D9EFB908C30E}" name="Column12584"/>
    <tableColumn id="12603" xr3:uid="{F958C24C-7B65-6149-AB0E-4103FFFD9D95}" name="Column12585"/>
    <tableColumn id="12604" xr3:uid="{38C6CD37-C08C-0A47-BC5E-9DC847880FE3}" name="Column12586"/>
    <tableColumn id="12605" xr3:uid="{3ACCC85E-D026-DC40-B431-C4EF2ADF7BD9}" name="Column12587"/>
    <tableColumn id="12606" xr3:uid="{8928615A-6818-0F47-BAC2-BC95622B68E4}" name="Column12588"/>
    <tableColumn id="12607" xr3:uid="{2C476801-AB9B-AD4C-B7E9-4F2F64828036}" name="Column12589"/>
    <tableColumn id="12608" xr3:uid="{BEF4566E-B3B4-A749-93D4-42DD41BC8FEE}" name="Column12590"/>
    <tableColumn id="12609" xr3:uid="{5E5ACC16-8D68-404D-8870-3DDD2D7CC86C}" name="Column12591"/>
    <tableColumn id="12610" xr3:uid="{B0C7622E-3D8D-3641-A4E5-F14607491CB9}" name="Column12592"/>
    <tableColumn id="12611" xr3:uid="{8D374FE2-3B71-9C46-B9E1-958311799605}" name="Column12593"/>
    <tableColumn id="12612" xr3:uid="{5B5F19E8-908E-8048-98B7-20076670C53F}" name="Column12594"/>
    <tableColumn id="12613" xr3:uid="{4DD8716E-78CF-3546-8ED7-14FDFF128570}" name="Column12595"/>
    <tableColumn id="12614" xr3:uid="{73210BD6-35A5-A241-88F0-32FE29B5B9E1}" name="Column12596"/>
    <tableColumn id="12615" xr3:uid="{DC12FDD3-498D-DB45-8074-1AEBB857084D}" name="Column12597"/>
    <tableColumn id="12616" xr3:uid="{89C84E67-2576-4742-8AAD-ACE5964F6AFB}" name="Column12598"/>
    <tableColumn id="12617" xr3:uid="{A038FCAE-ACF7-9D4D-A532-30B1351A90AA}" name="Column12599"/>
    <tableColumn id="12618" xr3:uid="{7A5F72DA-4895-CF48-971A-1E5094B8C9E4}" name="Column12600"/>
    <tableColumn id="12619" xr3:uid="{F13AC075-C130-E740-994F-BC94450A7542}" name="Column12601"/>
    <tableColumn id="12620" xr3:uid="{B1F3E3E3-6E66-824B-B730-5EBA3AAC451E}" name="Column12602"/>
    <tableColumn id="12621" xr3:uid="{C5C761AD-27C4-3548-8E3C-8DA5C5D07525}" name="Column12603"/>
    <tableColumn id="12622" xr3:uid="{E5BBAC22-B75F-B445-90AE-E4EB5389E8E6}" name="Column12604"/>
    <tableColumn id="12623" xr3:uid="{2913B9A7-55B1-4846-803E-D67A4DC94A6F}" name="Column12605"/>
    <tableColumn id="12624" xr3:uid="{CC16BA63-8415-1F4F-8D1B-055E24E580BD}" name="Column12606"/>
    <tableColumn id="12625" xr3:uid="{C97B34CE-4DEE-5647-A8E1-91CE1F6A199C}" name="Column12607"/>
    <tableColumn id="12626" xr3:uid="{94FAF956-D436-9B4B-8B37-0EC0E28A6E05}" name="Column12608"/>
    <tableColumn id="12627" xr3:uid="{0DA6DDBA-61F9-B84A-830A-8407DD126162}" name="Column12609"/>
    <tableColumn id="12628" xr3:uid="{A8473411-8BFC-8440-BF69-D195CBC8984D}" name="Column12610"/>
    <tableColumn id="12629" xr3:uid="{0DF7FB5E-F055-D443-B855-22D0B878754E}" name="Column12611"/>
    <tableColumn id="12630" xr3:uid="{5B82827A-D52E-7442-A9FF-6143FD569FCC}" name="Column12612"/>
    <tableColumn id="12631" xr3:uid="{3E02C65F-9AE1-E649-9138-E283D4664053}" name="Column12613"/>
    <tableColumn id="12632" xr3:uid="{8D7688E4-1C25-2145-99FD-1E61199F0024}" name="Column12614"/>
    <tableColumn id="12633" xr3:uid="{E99AFC0C-1521-8847-B701-716C2606A32E}" name="Column12615"/>
    <tableColumn id="12634" xr3:uid="{F217901D-6C51-3040-BAA7-2456D7DFABDB}" name="Column12616"/>
    <tableColumn id="12635" xr3:uid="{13D8D79E-B8E5-A041-888B-B033BFEB29B2}" name="Column12617"/>
    <tableColumn id="12636" xr3:uid="{18684999-17CD-994A-83E5-065E16AB9A26}" name="Column12618"/>
    <tableColumn id="12637" xr3:uid="{FBBADB48-6436-0F4C-BE37-B35B21E898A4}" name="Column12619"/>
    <tableColumn id="12638" xr3:uid="{726D815A-C73C-C04C-8C0A-304C027260FC}" name="Column12620"/>
    <tableColumn id="12639" xr3:uid="{4149F69D-09C2-7A4B-869A-0A0E3C892876}" name="Column12621"/>
    <tableColumn id="12640" xr3:uid="{04E098F4-DF16-3A45-8570-6BED57B3A55B}" name="Column12622"/>
    <tableColumn id="12641" xr3:uid="{8D426EAD-FFFA-9D4A-ABD8-EE0B83E69B2F}" name="Column12623"/>
    <tableColumn id="12642" xr3:uid="{5B7068B0-5D0B-184C-9E99-4B52AC2CE524}" name="Column12624"/>
    <tableColumn id="12643" xr3:uid="{49588C93-DFB0-6F43-8A4F-B84AF5CEF39C}" name="Column12625"/>
    <tableColumn id="12644" xr3:uid="{EFD5F9F7-B4E8-DB41-A798-392AE305435F}" name="Column12626"/>
    <tableColumn id="12645" xr3:uid="{163E7A83-39FC-C346-82BD-28CD20691553}" name="Column12627"/>
    <tableColumn id="12646" xr3:uid="{1855DD98-8C98-9547-9961-9274CB775782}" name="Column12628"/>
    <tableColumn id="12647" xr3:uid="{EECE8157-0597-6641-9813-05631A629892}" name="Column12629"/>
    <tableColumn id="12648" xr3:uid="{6EC13604-ABE7-9C4A-8863-1C9688391E75}" name="Column12630"/>
    <tableColumn id="12649" xr3:uid="{8EDB5994-5F03-C245-969A-73F7D9D09B0F}" name="Column12631"/>
    <tableColumn id="12650" xr3:uid="{0D7829B4-176B-E24E-A703-401E6CFEA952}" name="Column12632"/>
    <tableColumn id="12651" xr3:uid="{1773DA37-F17D-094C-ABC9-1B1DD0A3ABAA}" name="Column12633"/>
    <tableColumn id="12652" xr3:uid="{6DD3A58A-E753-8E4E-A32E-ABDC36497C7F}" name="Column12634"/>
    <tableColumn id="12653" xr3:uid="{98770CE9-47BB-5446-BECE-C6148E299A7E}" name="Column12635"/>
    <tableColumn id="12654" xr3:uid="{F6956F20-4E0B-4046-913F-A523396AF9BD}" name="Column12636"/>
    <tableColumn id="12655" xr3:uid="{58F40D18-60DA-6B4A-B6C1-8D1CABFE6545}" name="Column12637"/>
    <tableColumn id="12656" xr3:uid="{6AA717A6-A399-3C46-9025-39DD343835C1}" name="Column12638"/>
    <tableColumn id="12657" xr3:uid="{7D65291C-2700-614E-920C-9506124972DD}" name="Column12639"/>
    <tableColumn id="12658" xr3:uid="{6CCCC128-1A00-D047-A80D-462F4C04F724}" name="Column12640"/>
    <tableColumn id="12659" xr3:uid="{DCCA5ADD-2ABD-D449-8C94-36E93C7B50D3}" name="Column12641"/>
    <tableColumn id="12660" xr3:uid="{70624330-CEB3-C04C-A04A-52B3A3528DFF}" name="Column12642"/>
    <tableColumn id="12661" xr3:uid="{141ACD51-4B9F-9B40-8064-95215088C3A3}" name="Column12643"/>
    <tableColumn id="12662" xr3:uid="{CAA5B3CE-6F73-1A42-964C-0534E115C332}" name="Column12644"/>
    <tableColumn id="12663" xr3:uid="{F2987D5D-AF40-8546-A282-AAB88D09B891}" name="Column12645"/>
    <tableColumn id="12664" xr3:uid="{B5D31A25-3FA7-CB4B-A477-E3C39F6CBF4C}" name="Column12646"/>
    <tableColumn id="12665" xr3:uid="{C4F6598F-47B8-5540-B5E8-8FF61263C231}" name="Column12647"/>
    <tableColumn id="12666" xr3:uid="{B9FECD26-A4A4-2F4F-A3BC-196AC9F9E0C0}" name="Column12648"/>
    <tableColumn id="12667" xr3:uid="{14C5F709-E7EF-9C4B-986B-31E88151C7C0}" name="Column12649"/>
    <tableColumn id="12668" xr3:uid="{E7C48B58-F049-6148-8420-81180BFBF6F6}" name="Column12650"/>
    <tableColumn id="12669" xr3:uid="{317F9297-3BD1-B44F-A886-2858B9A82A17}" name="Column12651"/>
    <tableColumn id="12670" xr3:uid="{3A6DDE32-56C7-D64C-B11D-5F207761683C}" name="Column12652"/>
    <tableColumn id="12671" xr3:uid="{F4B2D6F1-42F6-3145-B0EF-D39B9C22790D}" name="Column12653"/>
    <tableColumn id="12672" xr3:uid="{6D0023DF-E8CD-FA44-9AAE-37B8D9F7B39B}" name="Column12654"/>
    <tableColumn id="12673" xr3:uid="{EED70204-0012-0D4F-B447-52D340CF4B3F}" name="Column12655"/>
    <tableColumn id="12674" xr3:uid="{C7ED80D4-D552-7642-9F46-DC743A90DB6F}" name="Column12656"/>
    <tableColumn id="12675" xr3:uid="{EF24B44B-D954-9A4F-A293-419CC5066896}" name="Column12657"/>
    <tableColumn id="12676" xr3:uid="{4D1887A9-6D57-3D4C-AB6F-27F69604C770}" name="Column12658"/>
    <tableColumn id="12677" xr3:uid="{C0D82A94-16DB-1D45-83D2-225EDE6F0D21}" name="Column12659"/>
    <tableColumn id="12678" xr3:uid="{453DE98A-0C76-7344-B1FA-F049AC206A3A}" name="Column12660"/>
    <tableColumn id="12679" xr3:uid="{1B79F8DA-33B9-7C4C-9747-08DC48A52FB8}" name="Column12661"/>
    <tableColumn id="12680" xr3:uid="{9F4A0296-6F21-814F-8597-1736FDCE1348}" name="Column12662"/>
    <tableColumn id="12681" xr3:uid="{8F28FF4E-0F45-8644-A05A-5A62D3370B60}" name="Column12663"/>
    <tableColumn id="12682" xr3:uid="{570C2F8A-88FA-5F4B-8C93-228AAE951E0E}" name="Column12664"/>
    <tableColumn id="12683" xr3:uid="{8411E3AF-32D8-0A4E-88B3-2AFC1B869ADE}" name="Column12665"/>
    <tableColumn id="12684" xr3:uid="{360C8BFF-249A-6449-9581-85DA3C16B250}" name="Column12666"/>
    <tableColumn id="12685" xr3:uid="{D5DE2899-F6AE-FF4F-AB0E-31350FF7AD1F}" name="Column12667"/>
    <tableColumn id="12686" xr3:uid="{F43AD46E-C247-8B47-9A06-DC1ECA25B175}" name="Column12668"/>
    <tableColumn id="12687" xr3:uid="{9269AAF7-E93A-E545-83F2-05F8032C5132}" name="Column12669"/>
    <tableColumn id="12688" xr3:uid="{1A29CA9C-F7EF-304E-978A-E9AE1AFF341C}" name="Column12670"/>
    <tableColumn id="12689" xr3:uid="{B5DA5B42-BA57-7E48-9287-EB019CFE6CA5}" name="Column12671"/>
    <tableColumn id="12690" xr3:uid="{23A0EA59-1110-2840-B3C8-8DA4B58E7489}" name="Column12672"/>
    <tableColumn id="12691" xr3:uid="{A342B7C5-D1A5-7543-8FF3-C50CB8F0B0B0}" name="Column12673"/>
    <tableColumn id="12692" xr3:uid="{ED0D6993-08FC-5343-82FF-4AD172F98965}" name="Column12674"/>
    <tableColumn id="12693" xr3:uid="{4F09F406-4B9D-C949-8897-3A1E72B36090}" name="Column12675"/>
    <tableColumn id="12694" xr3:uid="{41AD8927-B02C-D344-9C02-B9FE56987018}" name="Column12676"/>
    <tableColumn id="12695" xr3:uid="{2C0EFDCB-D40C-444B-9E4C-8E7059D2AB88}" name="Column12677"/>
    <tableColumn id="12696" xr3:uid="{D35AD5AD-DF63-4A44-BD2A-B5A626C43E41}" name="Column12678"/>
    <tableColumn id="12697" xr3:uid="{955CEE47-FC3B-E149-8BD5-040D4AB31446}" name="Column12679"/>
    <tableColumn id="12698" xr3:uid="{A36075CA-2B14-034C-B065-6D9BB621C2B1}" name="Column12680"/>
    <tableColumn id="12699" xr3:uid="{10F868F0-FF19-2348-95EB-6AC20C1917A8}" name="Column12681"/>
    <tableColumn id="12700" xr3:uid="{6772A200-D0CB-3C4B-991C-3463A754AFAE}" name="Column12682"/>
    <tableColumn id="12701" xr3:uid="{5C91C322-3B7A-2E48-8130-A0E29EA6D88B}" name="Column12683"/>
    <tableColumn id="12702" xr3:uid="{1E742D27-8B87-2446-B585-016D73F3B9AA}" name="Column12684"/>
    <tableColumn id="12703" xr3:uid="{E7B35BF5-3155-EF45-B1C0-2A4EC742A34A}" name="Column12685"/>
    <tableColumn id="12704" xr3:uid="{5BF5C33E-409E-9040-A04A-A230DA42E5B8}" name="Column12686"/>
    <tableColumn id="12705" xr3:uid="{2F4D4EF9-2082-FC40-B2FD-53961FC125F0}" name="Column12687"/>
    <tableColumn id="12706" xr3:uid="{B9FA13A5-319C-4641-BCE5-083FAC2C361A}" name="Column12688"/>
    <tableColumn id="12707" xr3:uid="{BAB00CB9-17DC-8048-A9A5-EDE8FE719ED0}" name="Column12689"/>
    <tableColumn id="12708" xr3:uid="{0535EADB-55E1-2F4D-AB5C-8E958EE241AD}" name="Column12690"/>
    <tableColumn id="12709" xr3:uid="{A42F580E-C18C-A94A-B53E-B6F244769D9B}" name="Column12691"/>
    <tableColumn id="12710" xr3:uid="{13EBE587-8415-7748-963E-25135F3F1E35}" name="Column12692"/>
    <tableColumn id="12711" xr3:uid="{5B0A3A42-AB99-6343-8039-DB6EEE3A5074}" name="Column12693"/>
    <tableColumn id="12712" xr3:uid="{BCBFEDF4-5A71-3841-8AF3-F682FB8BD4CF}" name="Column12694"/>
    <tableColumn id="12713" xr3:uid="{F869ECFD-8C20-7343-B482-9A619942F83C}" name="Column12695"/>
    <tableColumn id="12714" xr3:uid="{8E493DF3-02F5-9F4A-90C1-30F0F1E78F28}" name="Column12696"/>
    <tableColumn id="12715" xr3:uid="{401D76EF-6D2A-494E-9AFB-8C20DBFDAA1B}" name="Column12697"/>
    <tableColumn id="12716" xr3:uid="{32D1E2CD-85EA-8C41-B745-966D5F418C00}" name="Column12698"/>
    <tableColumn id="12717" xr3:uid="{1F50B1A2-C924-964F-8A6A-62CDD0B90D44}" name="Column12699"/>
    <tableColumn id="12718" xr3:uid="{E8103BF2-B98F-9144-9A8A-37083EB85E96}" name="Column12700"/>
    <tableColumn id="12719" xr3:uid="{CB2A407C-404D-E144-B348-158EE6E9AAF9}" name="Column12701"/>
    <tableColumn id="12720" xr3:uid="{44C58B4A-2E55-274F-A54B-9607C7A8EE9A}" name="Column12702"/>
    <tableColumn id="12721" xr3:uid="{08CBCD4F-2296-194E-B533-03E3C4F03AB0}" name="Column12703"/>
    <tableColumn id="12722" xr3:uid="{48D6641D-EF4B-2743-9261-F13C0DFE70A0}" name="Column12704"/>
    <tableColumn id="12723" xr3:uid="{506C6CE0-071D-B941-AE69-2E9F0680F2E9}" name="Column12705"/>
    <tableColumn id="12724" xr3:uid="{4E2D646E-91AF-1947-8D78-11CBB7459962}" name="Column12706"/>
    <tableColumn id="12725" xr3:uid="{94745AD1-9AB2-AF40-8E9D-C9F6DAEABC38}" name="Column12707"/>
    <tableColumn id="12726" xr3:uid="{5B5EAB7B-F9BD-5E4E-BD11-E163E45C50B0}" name="Column12708"/>
    <tableColumn id="12727" xr3:uid="{140E20B5-0680-8449-B6A9-BA41270C3E7C}" name="Column12709"/>
    <tableColumn id="12728" xr3:uid="{B48540A6-AE67-0243-9A6D-465B163C4642}" name="Column12710"/>
    <tableColumn id="12729" xr3:uid="{5C81524D-EC68-BE48-80C6-54F30A9B0983}" name="Column12711"/>
    <tableColumn id="12730" xr3:uid="{F2811E29-8709-C243-8C4E-F07516511B61}" name="Column12712"/>
    <tableColumn id="12731" xr3:uid="{5E6F8DE3-9C77-1B4A-A8B7-4708D9CBF023}" name="Column12713"/>
    <tableColumn id="12732" xr3:uid="{7FC986A3-AB49-D348-8B4D-413F4CD4263C}" name="Column12714"/>
    <tableColumn id="12733" xr3:uid="{84963AC9-1E4F-ED4B-89FC-7B78FE389FE2}" name="Column12715"/>
    <tableColumn id="12734" xr3:uid="{F69A95D3-8E5F-3243-9E3E-F7404E0C77DD}" name="Column12716"/>
    <tableColumn id="12735" xr3:uid="{9AA860AC-EAE4-694C-A068-9D99C74603A7}" name="Column12717"/>
    <tableColumn id="12736" xr3:uid="{E0781C94-6DDE-A94F-AB2B-EAACE52016DF}" name="Column12718"/>
    <tableColumn id="12737" xr3:uid="{FCB6961A-C787-7C41-A1E6-42059C9F5D22}" name="Column12719"/>
    <tableColumn id="12738" xr3:uid="{BAE45583-26B3-8B42-9A52-E301ACB0AA79}" name="Column12720"/>
    <tableColumn id="12739" xr3:uid="{C9388CC8-6972-3942-A41D-9CC44B344BDD}" name="Column12721"/>
    <tableColumn id="12740" xr3:uid="{FB3540B7-862F-3149-90FD-D15FD251CAF8}" name="Column12722"/>
    <tableColumn id="12741" xr3:uid="{B4E1315D-B2D5-FE49-8110-57F74A0FBDCE}" name="Column12723"/>
    <tableColumn id="12742" xr3:uid="{09A83F88-506C-5B49-95CB-70C8EE22101A}" name="Column12724"/>
    <tableColumn id="12743" xr3:uid="{5A894023-EE98-DE47-B029-43FE2331AE45}" name="Column12725"/>
    <tableColumn id="12744" xr3:uid="{E4DBD86A-7E31-FC46-BD6C-77F49AC72AC2}" name="Column12726"/>
    <tableColumn id="12745" xr3:uid="{6E7D89C6-AC79-2C47-A064-81BA0D376F0E}" name="Column12727"/>
    <tableColumn id="12746" xr3:uid="{9811535A-A1B3-D642-A02C-51C2DE381C18}" name="Column12728"/>
    <tableColumn id="12747" xr3:uid="{6922F796-E1EF-464B-8F24-7DD42EE1227F}" name="Column12729"/>
    <tableColumn id="12748" xr3:uid="{D5C98E66-E8F9-474D-B820-6751BB08ED56}" name="Column12730"/>
    <tableColumn id="12749" xr3:uid="{5323E572-E149-3345-B870-C3B879500EA7}" name="Column12731"/>
    <tableColumn id="12750" xr3:uid="{47DD5DDB-9DCA-724E-943F-C22C34F0DF2B}" name="Column12732"/>
    <tableColumn id="12751" xr3:uid="{D2E4361A-6C8E-144E-A240-122D302003B6}" name="Column12733"/>
    <tableColumn id="12752" xr3:uid="{534EF8E5-8552-CA48-AEC6-8E7A22ED6AF1}" name="Column12734"/>
    <tableColumn id="12753" xr3:uid="{5667D58C-CB9D-184A-AA67-2E8551427CFA}" name="Column12735"/>
    <tableColumn id="12754" xr3:uid="{BE5389AF-08E7-804F-A4B8-4A201782C7C4}" name="Column12736"/>
    <tableColumn id="12755" xr3:uid="{3F5CD67C-D5B9-ED41-8CCE-6B56BB9DF46E}" name="Column12737"/>
    <tableColumn id="12756" xr3:uid="{5924ABD9-90CC-BD44-9B6B-92DE2A1F6054}" name="Column12738"/>
    <tableColumn id="12757" xr3:uid="{D52A7732-B585-484C-BE2F-73AA2697F9A0}" name="Column12739"/>
    <tableColumn id="12758" xr3:uid="{56E8AAA9-35B4-4E44-B931-BD0DD2D2AD2B}" name="Column12740"/>
    <tableColumn id="12759" xr3:uid="{00740487-B6F9-DE48-A25F-D43ED3F74D9D}" name="Column12741"/>
    <tableColumn id="12760" xr3:uid="{45BF14F8-C292-A346-9581-8E31CF17F7FD}" name="Column12742"/>
    <tableColumn id="12761" xr3:uid="{015A3DCF-AE9A-D54A-ADE1-3DA68D4E20C3}" name="Column12743"/>
    <tableColumn id="12762" xr3:uid="{48A5F435-B641-834B-9029-38E351DA5B16}" name="Column12744"/>
    <tableColumn id="12763" xr3:uid="{6F37FC21-84E7-9942-A15C-EB73CF30D842}" name="Column12745"/>
    <tableColumn id="12764" xr3:uid="{64DD3F34-E118-9D47-B772-E936AD3C3F1B}" name="Column12746"/>
    <tableColumn id="12765" xr3:uid="{D6780902-1A9F-DD4B-A798-46F923EC5B7A}" name="Column12747"/>
    <tableColumn id="12766" xr3:uid="{754FC455-4397-DD49-AD62-3C9CCE601850}" name="Column12748"/>
    <tableColumn id="12767" xr3:uid="{4BCE0527-4BC3-D940-BCD4-C7CC02211603}" name="Column12749"/>
    <tableColumn id="12768" xr3:uid="{15C179E5-3BE5-E540-8075-144C845D8BF7}" name="Column12750"/>
    <tableColumn id="12769" xr3:uid="{5BBCA5F5-61C1-0341-B9B7-BC6ADEE8893C}" name="Column12751"/>
    <tableColumn id="12770" xr3:uid="{1E9FBA54-DEA8-8E48-9FBB-14FF81C8AC86}" name="Column12752"/>
    <tableColumn id="12771" xr3:uid="{19BACFE7-656E-A745-8977-9EB437038D60}" name="Column12753"/>
    <tableColumn id="12772" xr3:uid="{E1E36A1F-C50D-0D40-B6A8-7DB15F83B8C5}" name="Column12754"/>
    <tableColumn id="12773" xr3:uid="{61A3198C-C5D3-4646-9203-37F036705FB9}" name="Column12755"/>
    <tableColumn id="12774" xr3:uid="{23916056-6309-0C40-B590-463AC3A05B9B}" name="Column12756"/>
    <tableColumn id="12775" xr3:uid="{A578312D-DCA9-2B47-AFA9-3FBF0797F8EE}" name="Column12757"/>
    <tableColumn id="12776" xr3:uid="{1FE2F3B4-0078-2A48-B041-CF533B4AA919}" name="Column12758"/>
    <tableColumn id="12777" xr3:uid="{00015124-844F-0B40-8655-CAF00E76987B}" name="Column12759"/>
    <tableColumn id="12778" xr3:uid="{E6D416BE-2C05-2841-83E7-9C74BA21477C}" name="Column12760"/>
    <tableColumn id="12779" xr3:uid="{5100BD40-9459-294B-A667-4B93CFE4146D}" name="Column12761"/>
    <tableColumn id="12780" xr3:uid="{32DD2656-DC80-C34C-AFF7-2DC4E01B9570}" name="Column12762"/>
    <tableColumn id="12781" xr3:uid="{7277513B-B758-1142-A39B-7BBC64AB3571}" name="Column12763"/>
    <tableColumn id="12782" xr3:uid="{E578A934-0277-3E41-AF8C-8B4F6E995183}" name="Column12764"/>
    <tableColumn id="12783" xr3:uid="{F5F70297-3730-6540-8641-A9B1DD3D4091}" name="Column12765"/>
    <tableColumn id="12784" xr3:uid="{20BF44C3-886B-704F-B020-52AB2B5EA708}" name="Column12766"/>
    <tableColumn id="12785" xr3:uid="{15234001-CB4C-7F47-91E0-F9F9FC38A124}" name="Column12767"/>
    <tableColumn id="12786" xr3:uid="{1D8FC641-034B-2B45-9193-F08B59EE9DC5}" name="Column12768"/>
    <tableColumn id="12787" xr3:uid="{627011CE-7168-8C4A-9A67-9D729C8B60D4}" name="Column12769"/>
    <tableColumn id="12788" xr3:uid="{7894E5ED-EAA9-7D4D-88F7-47557C4A2D96}" name="Column12770"/>
    <tableColumn id="12789" xr3:uid="{BDDBD7AD-25D8-7640-B916-BD90CDCDC753}" name="Column12771"/>
    <tableColumn id="12790" xr3:uid="{755CC744-5300-C54B-A499-F710979DEE43}" name="Column12772"/>
    <tableColumn id="12791" xr3:uid="{774A163B-DDB5-EF44-9933-1D5AA73DC94D}" name="Column12773"/>
    <tableColumn id="12792" xr3:uid="{0D579407-79E4-5A46-A9C5-1C2537379C0E}" name="Column12774"/>
    <tableColumn id="12793" xr3:uid="{611E476E-5BB1-F149-BEF9-2D749C896C55}" name="Column12775"/>
    <tableColumn id="12794" xr3:uid="{380B8545-8745-4A4F-ADEF-1E7218E92E00}" name="Column12776"/>
    <tableColumn id="12795" xr3:uid="{28AB2857-A1F3-E54A-ABBE-C7608FAD3EC8}" name="Column12777"/>
    <tableColumn id="12796" xr3:uid="{1AA2714E-9777-2347-A8D6-61A18780D3F0}" name="Column12778"/>
    <tableColumn id="12797" xr3:uid="{B04B537D-8303-4740-968F-1AAECD2EFA82}" name="Column12779"/>
    <tableColumn id="12798" xr3:uid="{FDCA0694-07EE-C849-A155-10DF68F81A99}" name="Column12780"/>
    <tableColumn id="12799" xr3:uid="{1EDE02CB-CEA9-0E4F-8B04-54178D9E2495}" name="Column12781"/>
    <tableColumn id="12800" xr3:uid="{625B8579-68EB-2540-9F11-54ACC120F852}" name="Column12782"/>
    <tableColumn id="12801" xr3:uid="{E5E7F47C-D719-064B-870D-E84AB7478FC9}" name="Column12783"/>
    <tableColumn id="12802" xr3:uid="{7E159EEA-562B-B840-9448-9E79F4C9BCBB}" name="Column12784"/>
    <tableColumn id="12803" xr3:uid="{52F556ED-F4B0-9F4E-9E6F-BB2EB767282C}" name="Column12785"/>
    <tableColumn id="12804" xr3:uid="{F32ACF6D-4827-C148-B9FF-1C6F2DA96004}" name="Column12786"/>
    <tableColumn id="12805" xr3:uid="{4CC14C0D-CD7B-E746-8691-5497CF3AFBB7}" name="Column12787"/>
    <tableColumn id="12806" xr3:uid="{EB346456-21EB-AE48-B5D8-75668A638C2B}" name="Column12788"/>
    <tableColumn id="12807" xr3:uid="{6C955F68-9ED0-0A40-A7B3-AFF49DB0433B}" name="Column12789"/>
    <tableColumn id="12808" xr3:uid="{B822FBB5-0195-4A44-AF09-C1A86250E367}" name="Column12790"/>
    <tableColumn id="12809" xr3:uid="{8E674F06-C04A-DF4C-AD4A-A5A36BA26177}" name="Column12791"/>
    <tableColumn id="12810" xr3:uid="{3F9702CF-0CFE-FA4A-836B-AFC5866F58A6}" name="Column12792"/>
    <tableColumn id="12811" xr3:uid="{BABC3643-6680-7547-A628-129028100623}" name="Column12793"/>
    <tableColumn id="12812" xr3:uid="{4B4A1EA0-6A2F-BD40-B87B-262D875ACF70}" name="Column12794"/>
    <tableColumn id="12813" xr3:uid="{AB3CAC75-8A7C-3442-AA27-CFA4EAEFDB42}" name="Column12795"/>
    <tableColumn id="12814" xr3:uid="{3E78B90B-7DB4-5340-AF5E-D23607B74355}" name="Column12796"/>
    <tableColumn id="12815" xr3:uid="{E69D23E4-2026-3348-BC42-C2AFFDE238D2}" name="Column12797"/>
    <tableColumn id="12816" xr3:uid="{C52A19B2-584A-7743-B1C7-17E2A6F1CF1E}" name="Column12798"/>
    <tableColumn id="12817" xr3:uid="{6AA324F1-DE8E-1746-938E-DC2DF39590B5}" name="Column12799"/>
    <tableColumn id="12818" xr3:uid="{B689D6AA-FA98-8347-8FAE-EAD0F782647D}" name="Column12800"/>
    <tableColumn id="12819" xr3:uid="{B8B33A30-868F-D64E-AA43-4947B8A85AD0}" name="Column12801"/>
    <tableColumn id="12820" xr3:uid="{BEEF3C59-EB84-2747-BF14-7CB7304756DA}" name="Column12802"/>
    <tableColumn id="12821" xr3:uid="{517ABBE7-87C7-E640-9615-C78813397D30}" name="Column12803"/>
    <tableColumn id="12822" xr3:uid="{1F86AB39-60B3-5945-8C0D-C1F355BECED1}" name="Column12804"/>
    <tableColumn id="12823" xr3:uid="{E8D1F674-8DD1-3E4D-93CD-26F6F114D136}" name="Column12805"/>
    <tableColumn id="12824" xr3:uid="{0929BD4F-A42C-DF41-9945-EAE2412D8662}" name="Column12806"/>
    <tableColumn id="12825" xr3:uid="{BCDA0E44-FC80-C04E-8A47-F3842C47D58D}" name="Column12807"/>
    <tableColumn id="12826" xr3:uid="{67C0A8D3-E1A1-0642-A6A7-D4C77608E72A}" name="Column12808"/>
    <tableColumn id="12827" xr3:uid="{B7EAA107-6028-B546-910C-5CE77CAE57D2}" name="Column12809"/>
    <tableColumn id="12828" xr3:uid="{1F393CFF-8970-3B41-B0A4-86730E349898}" name="Column12810"/>
    <tableColumn id="12829" xr3:uid="{5B1DE3D2-EC02-F049-B1C0-999C57E149A3}" name="Column12811"/>
    <tableColumn id="12830" xr3:uid="{663A0099-99BA-064F-9D7F-B53AA621C539}" name="Column12812"/>
    <tableColumn id="12831" xr3:uid="{F13E6C71-E00B-D64C-9469-FAFB38A3581B}" name="Column12813"/>
    <tableColumn id="12832" xr3:uid="{E8420996-162A-574B-BAD2-73175E6B5CC8}" name="Column12814"/>
    <tableColumn id="12833" xr3:uid="{07D8C803-9EC8-DC43-8A78-58E4FEB96A90}" name="Column12815"/>
    <tableColumn id="12834" xr3:uid="{4B6B34F5-1B26-144B-B372-FF434A6A0CF2}" name="Column12816"/>
    <tableColumn id="12835" xr3:uid="{D7521D5C-71E0-E641-BDBA-2E66217C397F}" name="Column12817"/>
    <tableColumn id="12836" xr3:uid="{DAB4FA1A-1FC1-ED49-BD24-5442F17B6CF3}" name="Column12818"/>
    <tableColumn id="12837" xr3:uid="{58E531DF-FF5A-FD47-9873-029C7A842962}" name="Column12819"/>
    <tableColumn id="12838" xr3:uid="{380A0FBE-0E4D-7E4F-81C3-58A2A6CF60DC}" name="Column12820"/>
    <tableColumn id="12839" xr3:uid="{9A6DAC83-0A70-5D42-9BE7-3C4145B80EBF}" name="Column12821"/>
    <tableColumn id="12840" xr3:uid="{975F885F-3AEC-F749-AFCB-9A8EEFF2AD14}" name="Column12822"/>
    <tableColumn id="12841" xr3:uid="{3B216E72-6B11-394B-B4FF-F5CB9ADFE317}" name="Column12823"/>
    <tableColumn id="12842" xr3:uid="{29D6872A-B35D-7647-B9AE-08E368BADEFE}" name="Column12824"/>
    <tableColumn id="12843" xr3:uid="{75CB3E89-19E6-C545-8C9F-7754582C93C1}" name="Column12825"/>
    <tableColumn id="12844" xr3:uid="{7A3AB5C8-FB06-D04B-B6F5-CA7060C2EE65}" name="Column12826"/>
    <tableColumn id="12845" xr3:uid="{FE50E833-F3A0-214B-AAAC-D7115A8E40B0}" name="Column12827"/>
    <tableColumn id="12846" xr3:uid="{1EBF4116-5A08-4943-9288-66492FBB3E4E}" name="Column12828"/>
    <tableColumn id="12847" xr3:uid="{C2BD566F-4BC5-B441-956A-3E7CE62ACF44}" name="Column12829"/>
    <tableColumn id="12848" xr3:uid="{B7ACE190-304F-E143-9FC0-8CDE2B1C399F}" name="Column12830"/>
    <tableColumn id="12849" xr3:uid="{F46596A7-2903-684D-9278-F5706AC8C031}" name="Column12831"/>
    <tableColumn id="12850" xr3:uid="{31FFB898-285B-964F-9E55-5A01DC34EEB9}" name="Column12832"/>
    <tableColumn id="12851" xr3:uid="{33950AB0-F77E-7C4B-90E0-C22867D975B7}" name="Column12833"/>
    <tableColumn id="12852" xr3:uid="{128F7F15-4BB3-C949-9A86-5C474DE9D1F5}" name="Column12834"/>
    <tableColumn id="12853" xr3:uid="{3E8009CF-B979-464C-A501-65383734977F}" name="Column12835"/>
    <tableColumn id="12854" xr3:uid="{5E4D8298-EF95-E648-B65A-F69C37B6DD45}" name="Column12836"/>
    <tableColumn id="12855" xr3:uid="{376D80EF-DD99-B640-9E07-305CCA1D9644}" name="Column12837"/>
    <tableColumn id="12856" xr3:uid="{15095467-2C70-2849-B967-A933D86C3BD2}" name="Column12838"/>
    <tableColumn id="12857" xr3:uid="{0924D590-8564-0C42-A893-40EF402D080C}" name="Column12839"/>
    <tableColumn id="12858" xr3:uid="{49719134-86E5-2D47-9EFE-A0722FB5CD52}" name="Column12840"/>
    <tableColumn id="12859" xr3:uid="{5506C0D4-C0E9-F549-99CD-6137FA0BE4FC}" name="Column12841"/>
    <tableColumn id="12860" xr3:uid="{CA989E5F-8379-CF48-8F9F-CA68DD2E519F}" name="Column12842"/>
    <tableColumn id="12861" xr3:uid="{BFD2891F-3F60-314A-9F96-37B129E30528}" name="Column12843"/>
    <tableColumn id="12862" xr3:uid="{0026804C-8827-8A42-A26B-27EFC6F71452}" name="Column12844"/>
    <tableColumn id="12863" xr3:uid="{C4F77F05-A132-494B-B748-F465B31D9ED6}" name="Column12845"/>
    <tableColumn id="12864" xr3:uid="{EC51D03D-F206-4C47-B209-D2DEE946D439}" name="Column12846"/>
    <tableColumn id="12865" xr3:uid="{1C7B260C-17EC-574E-83AB-70643D052B94}" name="Column12847"/>
    <tableColumn id="12866" xr3:uid="{E9BE55CE-88CE-094F-B784-ED3CFD4AA23C}" name="Column12848"/>
    <tableColumn id="12867" xr3:uid="{99B03733-0CDD-8849-AC50-171D54F10B56}" name="Column12849"/>
    <tableColumn id="12868" xr3:uid="{5723FE4B-FBB4-8144-B62D-6BD0AA59C65F}" name="Column12850"/>
    <tableColumn id="12869" xr3:uid="{B4AC6E1E-0CA2-4F48-AF9A-98522F818172}" name="Column12851"/>
    <tableColumn id="12870" xr3:uid="{CD31F851-999E-DA4F-BDE6-06C151F7D862}" name="Column12852"/>
    <tableColumn id="12871" xr3:uid="{E7339C72-D6FD-3941-9078-05DDD1D479AE}" name="Column12853"/>
    <tableColumn id="12872" xr3:uid="{0FC87D20-B797-3C46-AF9D-3B1B40F20D20}" name="Column12854"/>
    <tableColumn id="12873" xr3:uid="{920285BE-3469-DE42-9641-0163DB88D2E2}" name="Column12855"/>
    <tableColumn id="12874" xr3:uid="{2818510F-AF39-BC4B-B5A0-FD21AB8F9A38}" name="Column12856"/>
    <tableColumn id="12875" xr3:uid="{9504D454-55D6-1D46-A82B-DBBD14607DD2}" name="Column12857"/>
    <tableColumn id="12876" xr3:uid="{09E7C67F-2EEF-BA4C-AE60-867632498315}" name="Column12858"/>
    <tableColumn id="12877" xr3:uid="{DD95B3A1-8171-AC4E-B774-DF355EA75BD1}" name="Column12859"/>
    <tableColumn id="12878" xr3:uid="{75EB9D6B-136C-E548-8982-381005946A4F}" name="Column12860"/>
    <tableColumn id="12879" xr3:uid="{4CBA50E1-999A-3447-880C-450269C56814}" name="Column12861"/>
    <tableColumn id="12880" xr3:uid="{696D4BCB-CE8D-1C45-A526-39782ED533F8}" name="Column12862"/>
    <tableColumn id="12881" xr3:uid="{35E35C71-2C2D-9040-A1F2-0CE6878634FE}" name="Column12863"/>
    <tableColumn id="12882" xr3:uid="{48F50B18-A049-754C-AABD-D804A5893BDF}" name="Column12864"/>
    <tableColumn id="12883" xr3:uid="{20B7F729-DCFE-324D-BFFE-98EF03E2B824}" name="Column12865"/>
    <tableColumn id="12884" xr3:uid="{51E37753-90F0-4A47-8C2E-55D12E401F49}" name="Column12866"/>
    <tableColumn id="12885" xr3:uid="{2CAF9B24-3A99-9C4C-AA56-083AD77BFBB9}" name="Column12867"/>
    <tableColumn id="12886" xr3:uid="{21CA6B44-EA6B-4941-A106-B1A1E686E757}" name="Column12868"/>
    <tableColumn id="12887" xr3:uid="{F8EC4865-F152-7541-B778-A349CDF6DBC4}" name="Column12869"/>
    <tableColumn id="12888" xr3:uid="{156FFAFD-DF2B-D742-B08D-98FA1D47DFF7}" name="Column12870"/>
    <tableColumn id="12889" xr3:uid="{6BA1EE30-9D4C-D649-B4EA-08B603EDBD5C}" name="Column12871"/>
    <tableColumn id="12890" xr3:uid="{616E8B15-FF10-FF41-BE5E-9CBDE4C73A09}" name="Column12872"/>
    <tableColumn id="12891" xr3:uid="{2F2F1791-6F7C-1D45-B6DC-575CD5AD4DA3}" name="Column12873"/>
    <tableColumn id="12892" xr3:uid="{346391F7-BC21-F448-9768-758F99ABE67E}" name="Column12874"/>
    <tableColumn id="12893" xr3:uid="{4FDA0784-7F30-E540-A188-39A3D4A43686}" name="Column12875"/>
    <tableColumn id="12894" xr3:uid="{4E32A4A7-00B7-E74A-BAD6-EDD5DE05DD05}" name="Column12876"/>
    <tableColumn id="12895" xr3:uid="{163F6C07-CCC5-3341-9641-08E81A310FB3}" name="Column12877"/>
    <tableColumn id="12896" xr3:uid="{F9C73225-D6D5-0F47-8860-902ED620E109}" name="Column12878"/>
    <tableColumn id="12897" xr3:uid="{0A420E67-EB51-014D-B8E4-316C3BB34A88}" name="Column12879"/>
    <tableColumn id="12898" xr3:uid="{AF0EBC1B-6DB2-FE48-B75D-B12DCF6924A6}" name="Column12880"/>
    <tableColumn id="12899" xr3:uid="{9AB33271-3ACB-D44E-AEB8-06D80EE3A585}" name="Column12881"/>
    <tableColumn id="12900" xr3:uid="{A683E23E-34DA-1248-873C-A9580B545FC1}" name="Column12882"/>
    <tableColumn id="12901" xr3:uid="{B93C1F1F-09DF-4A4E-AD7E-0B1DDAD1CA48}" name="Column12883"/>
    <tableColumn id="12902" xr3:uid="{167D77F3-8AF5-4542-9DA4-B5AE410245E8}" name="Column12884"/>
    <tableColumn id="12903" xr3:uid="{24458BC3-5D35-724E-BB21-EDB160BBF44C}" name="Column12885"/>
    <tableColumn id="12904" xr3:uid="{57788A79-104F-C44F-AEDE-CCBBF86D0926}" name="Column12886"/>
    <tableColumn id="12905" xr3:uid="{31CFFFF3-E15E-4449-9337-6DEACF6AD69D}" name="Column12887"/>
    <tableColumn id="12906" xr3:uid="{08B6F5BE-6AC8-4346-8A98-9667975BF46C}" name="Column12888"/>
    <tableColumn id="12907" xr3:uid="{B88EB3F5-FEDB-D342-A5EA-0822F4FBFCAF}" name="Column12889"/>
    <tableColumn id="12908" xr3:uid="{5B7BEBB0-4072-2549-9340-953BEDAD326F}" name="Column12890"/>
    <tableColumn id="12909" xr3:uid="{F55D8D02-F1B3-ED41-8D5F-0C14F7DEF177}" name="Column12891"/>
    <tableColumn id="12910" xr3:uid="{DBC66A2E-AE9F-5F47-B043-5725D3BEA9E8}" name="Column12892"/>
    <tableColumn id="12911" xr3:uid="{46B6B8CC-4D20-0340-8BD3-79B49667316A}" name="Column12893"/>
    <tableColumn id="12912" xr3:uid="{94FDE043-8988-594A-86CB-E1A9BA0402C6}" name="Column12894"/>
    <tableColumn id="12913" xr3:uid="{9F2E044C-A46D-7F43-A603-7C07558CA9FE}" name="Column12895"/>
    <tableColumn id="12914" xr3:uid="{89D49D6C-A9E7-BD4D-93D1-4B6AB1B18032}" name="Column12896"/>
    <tableColumn id="12915" xr3:uid="{465930C0-C7C2-874E-BBC5-579AA65B855B}" name="Column12897"/>
    <tableColumn id="12916" xr3:uid="{13C3AA70-D71F-BD43-A101-66BA6C3EC628}" name="Column12898"/>
    <tableColumn id="12917" xr3:uid="{A95D573C-B1DD-724A-A18F-8E4294C61666}" name="Column12899"/>
    <tableColumn id="12918" xr3:uid="{F8C6F1F1-7215-CA4A-99B5-85C27B33DDB7}" name="Column12900"/>
    <tableColumn id="12919" xr3:uid="{5589E9EB-6719-604C-B912-B34F6D23426A}" name="Column12901"/>
    <tableColumn id="12920" xr3:uid="{E4134454-9FB6-C746-AFE0-47588C802954}" name="Column12902"/>
    <tableColumn id="12921" xr3:uid="{AC510C63-7442-244B-BDCB-E44752261B8A}" name="Column12903"/>
    <tableColumn id="12922" xr3:uid="{5CF64BA0-5DA3-3441-9A72-554FE8D7DB5C}" name="Column12904"/>
    <tableColumn id="12923" xr3:uid="{5D14E1CF-C1FF-C44F-9285-FD445D6C69CD}" name="Column12905"/>
    <tableColumn id="12924" xr3:uid="{3C1C9058-7978-CB4D-8F56-BB13B1196883}" name="Column12906"/>
    <tableColumn id="12925" xr3:uid="{8FE26708-3CEF-7340-A9A8-77B410680244}" name="Column12907"/>
    <tableColumn id="12926" xr3:uid="{452A8FEA-DAE6-8945-A1C9-AD818DF0F8D7}" name="Column12908"/>
    <tableColumn id="12927" xr3:uid="{750C5D59-13DE-494A-9AE0-BD2E95FA5665}" name="Column12909"/>
    <tableColumn id="12928" xr3:uid="{A58096AB-10B1-2246-ADC0-26F22103CDAC}" name="Column12910"/>
    <tableColumn id="12929" xr3:uid="{A80A59E6-3CBE-D747-A220-8D04DEFFB37B}" name="Column12911"/>
    <tableColumn id="12930" xr3:uid="{AE3E17E2-26E6-1C45-869E-C7FC96798D60}" name="Column12912"/>
    <tableColumn id="12931" xr3:uid="{FD7C326A-79D0-964E-9806-5E2D47DAE689}" name="Column12913"/>
    <tableColumn id="12932" xr3:uid="{4F22399F-AEF7-E047-953A-B54271511007}" name="Column12914"/>
    <tableColumn id="12933" xr3:uid="{14B34E3B-2035-C34A-A135-7164625DD2D4}" name="Column12915"/>
    <tableColumn id="12934" xr3:uid="{6D492E2B-F209-6B4D-93DF-DE87F0B19FF7}" name="Column12916"/>
    <tableColumn id="12935" xr3:uid="{E057737E-A7BF-4F4E-B114-78E77C698028}" name="Column12917"/>
    <tableColumn id="12936" xr3:uid="{BC66F0B2-B0C2-2D4D-A1C7-4B311314CADF}" name="Column12918"/>
    <tableColumn id="12937" xr3:uid="{921123EE-5FC5-6A4C-8E37-9D3BBEC5B483}" name="Column12919"/>
    <tableColumn id="12938" xr3:uid="{6CD1C994-8FA3-FB49-972F-BFFCFBEDCBAF}" name="Column12920"/>
    <tableColumn id="12939" xr3:uid="{6C6C5A6E-25C5-2D43-90AF-06B34781931F}" name="Column12921"/>
    <tableColumn id="12940" xr3:uid="{E43FA700-25B1-AE47-946E-F941ECD5DBE9}" name="Column12922"/>
    <tableColumn id="12941" xr3:uid="{10C6982F-BA58-B74D-8BB4-D794A3C3699E}" name="Column12923"/>
    <tableColumn id="12942" xr3:uid="{F157F859-6F3C-724A-BB00-378F44224B48}" name="Column12924"/>
    <tableColumn id="12943" xr3:uid="{ED606078-F565-E641-A251-FDC9A1CD975F}" name="Column12925"/>
    <tableColumn id="12944" xr3:uid="{41FA9E4B-25D9-C640-8D6D-9E2A93EE0D8D}" name="Column12926"/>
    <tableColumn id="12945" xr3:uid="{097F27FB-BC4F-8D46-85CE-A2E5CD7C5364}" name="Column12927"/>
    <tableColumn id="12946" xr3:uid="{00E265C9-CA74-B54C-9650-4132B06486E0}" name="Column12928"/>
    <tableColumn id="12947" xr3:uid="{59553302-1D5E-6344-8C38-005833CABE2C}" name="Column12929"/>
    <tableColumn id="12948" xr3:uid="{8C5F9690-6CB7-D44C-BF55-0A5234FADCD6}" name="Column12930"/>
    <tableColumn id="12949" xr3:uid="{23D1204E-FAFD-2B4B-837B-8199AC8702AF}" name="Column12931"/>
    <tableColumn id="12950" xr3:uid="{E855C5C4-7FB8-A441-88CD-D6E6B1A11C82}" name="Column12932"/>
    <tableColumn id="12951" xr3:uid="{61EF82F7-1C0C-AC4A-ABCE-7C0D3261B948}" name="Column12933"/>
    <tableColumn id="12952" xr3:uid="{A125E47E-C020-6442-9FE1-5ED55301BDEF}" name="Column12934"/>
    <tableColumn id="12953" xr3:uid="{FC0B731B-B39F-604C-BED3-7E1714F72082}" name="Column12935"/>
    <tableColumn id="12954" xr3:uid="{FD123D81-65A9-6F43-A75B-074548FB3603}" name="Column12936"/>
    <tableColumn id="12955" xr3:uid="{5712EBC8-063E-AD49-8DDA-7A458F6D1A3A}" name="Column12937"/>
    <tableColumn id="12956" xr3:uid="{0A54713C-F786-5B47-BAED-F4674305C9AB}" name="Column12938"/>
    <tableColumn id="12957" xr3:uid="{D91E3CDE-634A-1342-841C-AAEB4E84F852}" name="Column12939"/>
    <tableColumn id="12958" xr3:uid="{ED1C0D95-88A4-9A47-A3C1-DD65BF585404}" name="Column12940"/>
    <tableColumn id="12959" xr3:uid="{C72C7674-06FF-AA47-9A51-5B4AFC89F9C1}" name="Column12941"/>
    <tableColumn id="12960" xr3:uid="{BD0CF2CE-D102-D241-8C33-FBEED4B90B4E}" name="Column12942"/>
    <tableColumn id="12961" xr3:uid="{21768084-663F-DB4B-90EC-2F1072919D80}" name="Column12943"/>
    <tableColumn id="12962" xr3:uid="{4EA62DE2-8AC4-BB4C-B541-3881E0919EBC}" name="Column12944"/>
    <tableColumn id="12963" xr3:uid="{7FDDC4C0-25F5-9148-B7CC-5A66FFAFC401}" name="Column12945"/>
    <tableColumn id="12964" xr3:uid="{A20C09CC-D125-D744-B8C5-3205C78B572C}" name="Column12946"/>
    <tableColumn id="12965" xr3:uid="{B7940763-9DEC-8845-A404-18E6F31E816D}" name="Column12947"/>
    <tableColumn id="12966" xr3:uid="{D070893A-A166-5344-9A27-D876F94E72BB}" name="Column12948"/>
    <tableColumn id="12967" xr3:uid="{E539BD37-7583-5C4B-9D98-2EA0B74D36A7}" name="Column12949"/>
    <tableColumn id="12968" xr3:uid="{B098DE5C-16E7-9C44-8CF8-ACF8575989C3}" name="Column12950"/>
    <tableColumn id="12969" xr3:uid="{0F0917EB-F2C9-F744-A68D-E4C83D4C9655}" name="Column12951"/>
    <tableColumn id="12970" xr3:uid="{D4287F2E-B9DE-C14A-B7AF-73898E0612AD}" name="Column12952"/>
    <tableColumn id="12971" xr3:uid="{85095021-F7C2-0D4F-89DB-A6726E35ACAE}" name="Column12953"/>
    <tableColumn id="12972" xr3:uid="{C72DB40F-3490-FD49-B05B-58A8D1F97124}" name="Column12954"/>
    <tableColumn id="12973" xr3:uid="{78E58368-9A86-BD40-9B45-40B1BEACA4DC}" name="Column12955"/>
    <tableColumn id="12974" xr3:uid="{163CF7A4-0B29-2C4D-A1AD-2077233C52B4}" name="Column12956"/>
    <tableColumn id="12975" xr3:uid="{CA159AED-A255-0841-83F3-5748F81028F5}" name="Column12957"/>
    <tableColumn id="12976" xr3:uid="{0D1B3C2E-0AA9-3D48-AAEB-F25709F86153}" name="Column12958"/>
    <tableColumn id="12977" xr3:uid="{00DDAFA8-1D98-0B4C-9AD3-2E6EAADB5EEF}" name="Column12959"/>
    <tableColumn id="12978" xr3:uid="{6207C2D0-9891-994E-ADD0-DB0BE1769931}" name="Column12960"/>
    <tableColumn id="12979" xr3:uid="{AB5E6ADB-49F1-094E-8508-26836EC3BE9F}" name="Column12961"/>
    <tableColumn id="12980" xr3:uid="{B37F3804-3C76-5947-97C2-B15CBEC8AEFB}" name="Column12962"/>
    <tableColumn id="12981" xr3:uid="{82FED24A-96A3-7441-894F-B4F3F24ED0A5}" name="Column12963"/>
    <tableColumn id="12982" xr3:uid="{F023A160-3EB2-EE46-9561-1334ADEF58EF}" name="Column12964"/>
    <tableColumn id="12983" xr3:uid="{8021A80F-2EB6-E045-B74A-B7A25A24D532}" name="Column12965"/>
    <tableColumn id="12984" xr3:uid="{705824FC-2A63-754E-AFD7-A2AE12E6A28D}" name="Column12966"/>
    <tableColumn id="12985" xr3:uid="{ECED8077-E407-024C-9AB3-E7F9F943D7E5}" name="Column12967"/>
    <tableColumn id="12986" xr3:uid="{39D30D76-ADD3-5A43-B34E-8014B9E9C904}" name="Column12968"/>
    <tableColumn id="12987" xr3:uid="{3F3C3267-3FE6-F740-AB50-82FFB8F57C04}" name="Column12969"/>
    <tableColumn id="12988" xr3:uid="{39652611-12B2-CF4A-84A3-C383FAA714A2}" name="Column12970"/>
    <tableColumn id="12989" xr3:uid="{D7E55873-FB78-5C4E-80FF-BE39DAA821D6}" name="Column12971"/>
    <tableColumn id="12990" xr3:uid="{026ACE7A-017A-3C47-9203-6FCA927CE335}" name="Column12972"/>
    <tableColumn id="12991" xr3:uid="{5BE0186D-BA01-284E-ADE2-F262F0CDDF5F}" name="Column12973"/>
    <tableColumn id="12992" xr3:uid="{E3625F16-5726-0D4E-A95B-B73C189BCAE3}" name="Column12974"/>
    <tableColumn id="12993" xr3:uid="{CE58D555-5A68-1F40-A8F3-0D612BEDB3DB}" name="Column12975"/>
    <tableColumn id="12994" xr3:uid="{0E126FCD-42CC-914A-A410-5D63FB7A9DD6}" name="Column12976"/>
    <tableColumn id="12995" xr3:uid="{4A0DD90E-31FC-FA4F-8102-903F84DDBC98}" name="Column12977"/>
    <tableColumn id="12996" xr3:uid="{411198CA-AAD3-4748-A3C8-715A6D32B854}" name="Column12978"/>
    <tableColumn id="12997" xr3:uid="{A63CCED9-3FA7-9143-8198-AF0B0F23CE5B}" name="Column12979"/>
    <tableColumn id="12998" xr3:uid="{98F88897-D8CF-9A47-A06D-7B5424A6AA79}" name="Column12980"/>
    <tableColumn id="12999" xr3:uid="{1D152171-5B28-5E4D-A1F3-600867D0D54B}" name="Column12981"/>
    <tableColumn id="13000" xr3:uid="{4D313823-C519-A442-9208-56D4C5E75656}" name="Column12982"/>
    <tableColumn id="13001" xr3:uid="{0B9210EC-B866-6146-B116-2D3C85F6A153}" name="Column12983"/>
    <tableColumn id="13002" xr3:uid="{F514C12C-4CF6-0B42-90F7-1AC6DB3625A2}" name="Column12984"/>
    <tableColumn id="13003" xr3:uid="{2055445D-25CA-5047-A644-6580532EAE2C}" name="Column12985"/>
    <tableColumn id="13004" xr3:uid="{6D0E705E-C5FC-2642-93F2-8A2967B385C0}" name="Column12986"/>
    <tableColumn id="13005" xr3:uid="{395CC199-0E7B-E644-8BED-5657DF22C864}" name="Column12987"/>
    <tableColumn id="13006" xr3:uid="{7E413279-68B9-D24A-AF57-1D7F2FF02D09}" name="Column12988"/>
    <tableColumn id="13007" xr3:uid="{72C0E557-9D48-D044-AD70-59A969E84344}" name="Column12989"/>
    <tableColumn id="13008" xr3:uid="{21A38205-2DEC-1B41-8281-1BF5AFD166ED}" name="Column12990"/>
    <tableColumn id="13009" xr3:uid="{397FB28E-D708-BA40-94A7-F2DBEFD91763}" name="Column12991"/>
    <tableColumn id="13010" xr3:uid="{C937A8F3-1301-8642-931B-A5716DC905F2}" name="Column12992"/>
    <tableColumn id="13011" xr3:uid="{89818E23-0A11-7749-8656-8764A42EB1BB}" name="Column12993"/>
    <tableColumn id="13012" xr3:uid="{5F68FF30-2C14-8841-A831-388BC9938E19}" name="Column12994"/>
    <tableColumn id="13013" xr3:uid="{C41EA69E-44F3-014B-A7BC-E10009F40526}" name="Column12995"/>
    <tableColumn id="13014" xr3:uid="{8A8BDC72-7958-A744-BAC9-715C5CEE7BE5}" name="Column12996"/>
    <tableColumn id="13015" xr3:uid="{F1E91AC6-274C-9B47-92B5-15C0EC623780}" name="Column12997"/>
    <tableColumn id="13016" xr3:uid="{0BFAFC14-6825-A34D-AC14-616E6BFFD429}" name="Column12998"/>
    <tableColumn id="13017" xr3:uid="{55728A1D-0A96-FA46-B0F3-B8C85640934F}" name="Column12999"/>
    <tableColumn id="13018" xr3:uid="{4F1617DD-1224-6447-B847-0DCD9D64DE25}" name="Column13000"/>
    <tableColumn id="13019" xr3:uid="{73C3E9EE-686C-104B-9CDB-06164D3D1D7E}" name="Column13001"/>
    <tableColumn id="13020" xr3:uid="{3F83579F-A5FF-4149-B295-43F82421073F}" name="Column13002"/>
    <tableColumn id="13021" xr3:uid="{76F95AEF-9654-A14B-96DD-A8C6910BCDB0}" name="Column13003"/>
    <tableColumn id="13022" xr3:uid="{3879C9CE-AF61-E549-B4AD-9FF0005B0D5E}" name="Column13004"/>
    <tableColumn id="13023" xr3:uid="{8F56AFC4-D4D2-594D-BE06-559903FC56D2}" name="Column13005"/>
    <tableColumn id="13024" xr3:uid="{8C20774D-4BE5-F541-A30D-5E71F61FE8C4}" name="Column13006"/>
    <tableColumn id="13025" xr3:uid="{96E2B2FE-D4DA-F641-814B-4219DA9FC49F}" name="Column13007"/>
    <tableColumn id="13026" xr3:uid="{698A28CD-988F-1549-AE42-9C290EAC9E80}" name="Column13008"/>
    <tableColumn id="13027" xr3:uid="{5B067316-B9CA-CF4B-863D-FA315A0E560B}" name="Column13009"/>
    <tableColumn id="13028" xr3:uid="{FDE2D229-762F-C445-9CC2-6633349C6D6A}" name="Column13010"/>
    <tableColumn id="13029" xr3:uid="{3D03930E-4735-2E4F-A33A-5828F5894E01}" name="Column13011"/>
    <tableColumn id="13030" xr3:uid="{37765684-73F4-A747-A1B5-65C7D3F6529A}" name="Column13012"/>
    <tableColumn id="13031" xr3:uid="{04398769-C7AE-0D41-BCEF-06692AB39330}" name="Column13013"/>
    <tableColumn id="13032" xr3:uid="{75DFBF61-910F-2F4A-A88B-35318094B9E2}" name="Column13014"/>
    <tableColumn id="13033" xr3:uid="{775FD786-B648-2C48-9875-342F0639A518}" name="Column13015"/>
    <tableColumn id="13034" xr3:uid="{713B952F-57A7-D64C-8535-62F57F604829}" name="Column13016"/>
    <tableColumn id="13035" xr3:uid="{10C82BC5-C330-4849-9938-AEA92B8154E9}" name="Column13017"/>
    <tableColumn id="13036" xr3:uid="{D712642D-B856-7841-B316-FCFC2477AF58}" name="Column13018"/>
    <tableColumn id="13037" xr3:uid="{D8ADF6BE-0C42-3F40-9EF7-BEBC0163310F}" name="Column13019"/>
    <tableColumn id="13038" xr3:uid="{C24927FC-FD31-444A-AFF9-76905C9ACFB4}" name="Column13020"/>
    <tableColumn id="13039" xr3:uid="{6840DA0F-65AD-504A-9386-A8BE56DC19A6}" name="Column13021"/>
    <tableColumn id="13040" xr3:uid="{B1DC26BA-BF01-F444-8951-EAC2D10AB5BA}" name="Column13022"/>
    <tableColumn id="13041" xr3:uid="{BA8A87C2-3F19-EB47-86CF-6715B302C11B}" name="Column13023"/>
    <tableColumn id="13042" xr3:uid="{39E4FA4E-7C2B-B348-AFB9-74458851A524}" name="Column13024"/>
    <tableColumn id="13043" xr3:uid="{529E78DC-8DF9-E34A-8B64-311B141FAACD}" name="Column13025"/>
    <tableColumn id="13044" xr3:uid="{DA8C7507-D2E2-D343-B9D8-034E8945E326}" name="Column13026"/>
    <tableColumn id="13045" xr3:uid="{4973D697-ABDF-C447-A77E-B4DEC6CDF1C2}" name="Column13027"/>
    <tableColumn id="13046" xr3:uid="{905CE3BB-036E-6E4B-B319-F10FDAD4E517}" name="Column13028"/>
    <tableColumn id="13047" xr3:uid="{F66B8517-EE5C-994C-B93D-8225C8C2C826}" name="Column13029"/>
    <tableColumn id="13048" xr3:uid="{26A1B24D-2AAB-704F-9CEC-1B0D56F4BD43}" name="Column13030"/>
    <tableColumn id="13049" xr3:uid="{2C6DFC61-55E2-E746-A369-4CB25D92EDFE}" name="Column13031"/>
    <tableColumn id="13050" xr3:uid="{29496587-4966-8842-9B02-A60A7943A9DA}" name="Column13032"/>
    <tableColumn id="13051" xr3:uid="{50E6AEEF-A7D4-1242-B594-6E5A14A192DC}" name="Column13033"/>
    <tableColumn id="13052" xr3:uid="{91FC2381-A0BF-F940-A2EE-DF3F397E8104}" name="Column13034"/>
    <tableColumn id="13053" xr3:uid="{712709D4-EFCC-9C43-924D-851E625C53B2}" name="Column13035"/>
    <tableColumn id="13054" xr3:uid="{87DA6077-3447-8B48-B870-D1CCA89CF40D}" name="Column13036"/>
    <tableColumn id="13055" xr3:uid="{0E36774A-0087-6245-BE90-1C780A886AE6}" name="Column13037"/>
    <tableColumn id="13056" xr3:uid="{7E2FF70E-98B4-F240-9580-555824580654}" name="Column13038"/>
    <tableColumn id="13057" xr3:uid="{34E56EFA-5633-184C-8284-A700FDA99D47}" name="Column13039"/>
    <tableColumn id="13058" xr3:uid="{FE94C8B1-A09E-4B4A-A111-0F35D1129705}" name="Column13040"/>
    <tableColumn id="13059" xr3:uid="{846AE428-9D2E-664C-809D-F37DD4E86150}" name="Column13041"/>
    <tableColumn id="13060" xr3:uid="{3D52A97C-CFFC-4A42-BC15-E8810A11BEE2}" name="Column13042"/>
    <tableColumn id="13061" xr3:uid="{78CBF8C6-F18D-F641-A895-FCCC52298012}" name="Column13043"/>
    <tableColumn id="13062" xr3:uid="{086BAA69-66E8-A24F-9F7D-78FAD67120EA}" name="Column13044"/>
    <tableColumn id="13063" xr3:uid="{CC59BBA1-B53D-CF4E-826B-48C93CB34108}" name="Column13045"/>
    <tableColumn id="13064" xr3:uid="{8062206F-6EB7-4C48-84F8-640DAB2A370B}" name="Column13046"/>
    <tableColumn id="13065" xr3:uid="{78128B8B-6796-4743-B3B4-CA7640435DE9}" name="Column13047"/>
    <tableColumn id="13066" xr3:uid="{A76EA198-31BE-A648-BB3E-DF38B40EA9F1}" name="Column13048"/>
    <tableColumn id="13067" xr3:uid="{D08E7007-127F-864A-8C6F-066394928A51}" name="Column13049"/>
    <tableColumn id="13068" xr3:uid="{6CF270B7-23EA-764D-B936-7E8B34770066}" name="Column13050"/>
    <tableColumn id="13069" xr3:uid="{5F77F6F1-5C53-6F40-BD3D-E764DFDF8C01}" name="Column13051"/>
    <tableColumn id="13070" xr3:uid="{C8AFE82C-CB76-EB4B-A976-11AB20F1FC94}" name="Column13052"/>
    <tableColumn id="13071" xr3:uid="{FCD5B348-9949-6E43-B1D4-B62678DB9BF1}" name="Column13053"/>
    <tableColumn id="13072" xr3:uid="{42EEDD85-F444-6A4C-A615-DED95B6852EA}" name="Column13054"/>
    <tableColumn id="13073" xr3:uid="{A0920CA2-07C4-7B47-A499-4DA0C6E87428}" name="Column13055"/>
    <tableColumn id="13074" xr3:uid="{D3D3F157-E36E-074B-821F-BE455B99C872}" name="Column13056"/>
    <tableColumn id="13075" xr3:uid="{E3168335-9F2A-4A49-821A-26259A736AB6}" name="Column13057"/>
    <tableColumn id="13076" xr3:uid="{10779D9A-B088-6F43-946E-65108172B322}" name="Column13058"/>
    <tableColumn id="13077" xr3:uid="{E6787883-889B-A54E-BD0C-DE245D7F8E8C}" name="Column13059"/>
    <tableColumn id="13078" xr3:uid="{F6DD27F6-5A61-DB4B-A5C5-B701422D4E13}" name="Column13060"/>
    <tableColumn id="13079" xr3:uid="{782547FA-77F5-7349-AF00-9CF1783E44DA}" name="Column13061"/>
    <tableColumn id="13080" xr3:uid="{00FF88B6-A870-1B49-9768-79F61353B41D}" name="Column13062"/>
    <tableColumn id="13081" xr3:uid="{C95878BD-3344-DC47-BB17-931A22E01AE9}" name="Column13063"/>
    <tableColumn id="13082" xr3:uid="{E02C105D-1B70-F241-8F57-6B672A2AC5AA}" name="Column13064"/>
    <tableColumn id="13083" xr3:uid="{905D6D73-0949-104D-9985-C3F9CD310269}" name="Column13065"/>
    <tableColumn id="13084" xr3:uid="{855F97F3-54AC-0E40-A9BC-0524B4471EC0}" name="Column13066"/>
    <tableColumn id="13085" xr3:uid="{871AA411-2BDA-1F4B-991F-DF8D44304F49}" name="Column13067"/>
    <tableColumn id="13086" xr3:uid="{7E7DD5C4-B271-CC40-ADB8-740B7E837353}" name="Column13068"/>
    <tableColumn id="13087" xr3:uid="{A5A65D29-10F9-9C4C-A730-F375A675AE3A}" name="Column13069"/>
    <tableColumn id="13088" xr3:uid="{5E8348F6-DC15-DD49-886E-E7BC83FF320C}" name="Column13070"/>
    <tableColumn id="13089" xr3:uid="{4B0A70B2-8E9E-8742-8FCD-975159F6C9EF}" name="Column13071"/>
    <tableColumn id="13090" xr3:uid="{7C2CA950-B5F5-EA42-9B1F-056B348F1E9A}" name="Column13072"/>
    <tableColumn id="13091" xr3:uid="{E2686811-F3B5-1545-9060-9E1E3EBAE055}" name="Column13073"/>
    <tableColumn id="13092" xr3:uid="{820AA405-55B8-BD46-A92F-10F8AC076ABF}" name="Column13074"/>
    <tableColumn id="13093" xr3:uid="{CF115EE7-BC97-BC40-902A-68E16D3ED650}" name="Column13075"/>
    <tableColumn id="13094" xr3:uid="{5FDEBAA1-B5E7-BE4D-A1D9-5B1BC11AC035}" name="Column13076"/>
    <tableColumn id="13095" xr3:uid="{CF9F8784-D09B-0F40-BE5C-9F1032B5B5E6}" name="Column13077"/>
    <tableColumn id="13096" xr3:uid="{7B0FF09E-F773-0A45-B8ED-2B48CD3E313C}" name="Column13078"/>
    <tableColumn id="13097" xr3:uid="{3805C776-7DB1-E349-A3E6-C0C005B17817}" name="Column13079"/>
    <tableColumn id="13098" xr3:uid="{6A0D5F2E-1797-0B43-8739-1BC4D96C5BC4}" name="Column13080"/>
    <tableColumn id="13099" xr3:uid="{E58A99F5-C04B-8C4D-BCBE-2554A074E298}" name="Column13081"/>
    <tableColumn id="13100" xr3:uid="{C290F461-A8FE-FA43-B7A1-D1CED0A504D4}" name="Column13082"/>
    <tableColumn id="13101" xr3:uid="{2D28E109-5C13-3545-B90B-8CB399ED6866}" name="Column13083"/>
    <tableColumn id="13102" xr3:uid="{17310E14-84BC-3E4A-AB39-2B8AE8B1E09E}" name="Column13084"/>
    <tableColumn id="13103" xr3:uid="{62BBCA87-6DE4-984E-BAB1-263B8FD63C39}" name="Column13085"/>
    <tableColumn id="13104" xr3:uid="{4BC0B359-6319-8C4E-B85D-07A827D8EE67}" name="Column13086"/>
    <tableColumn id="13105" xr3:uid="{6F7F3C0B-F734-7E48-9097-17535D6E9727}" name="Column13087"/>
    <tableColumn id="13106" xr3:uid="{272B8925-5E1A-DD47-A254-77529FC89BB8}" name="Column13088"/>
    <tableColumn id="13107" xr3:uid="{A76B235A-F061-544F-822B-50D34C96BDD0}" name="Column13089"/>
    <tableColumn id="13108" xr3:uid="{32E16B7A-9D92-0041-BE4B-728B0EFB6216}" name="Column13090"/>
    <tableColumn id="13109" xr3:uid="{AD8E0D3E-80E1-504B-8133-4C92A4CF84E4}" name="Column13091"/>
    <tableColumn id="13110" xr3:uid="{E6120C44-E7C6-0641-854A-E790FAA492F3}" name="Column13092"/>
    <tableColumn id="13111" xr3:uid="{84B23295-C8BC-DC43-9FFC-77DD2FC829C4}" name="Column13093"/>
    <tableColumn id="13112" xr3:uid="{D62A4580-D55B-7C42-8DC6-E4A2FB0EA2B3}" name="Column13094"/>
    <tableColumn id="13113" xr3:uid="{F7397750-9290-934B-9526-542E707F8F68}" name="Column13095"/>
    <tableColumn id="13114" xr3:uid="{EBA7F407-71FC-1447-A5C4-D7BD2450CE2B}" name="Column13096"/>
    <tableColumn id="13115" xr3:uid="{1E035DEA-814D-8045-BEB5-1D29F5D5BB42}" name="Column13097"/>
    <tableColumn id="13116" xr3:uid="{4E673EB3-DFFE-0042-AE87-118E225AF159}" name="Column13098"/>
    <tableColumn id="13117" xr3:uid="{AAC5FF0C-D42A-CE4A-B692-27111463D64D}" name="Column13099"/>
    <tableColumn id="13118" xr3:uid="{25C83DF3-BDA8-AE4D-A308-7B69D7CB55E8}" name="Column13100"/>
    <tableColumn id="13119" xr3:uid="{5BB7EF13-2AF9-6C48-B2A1-0914FE4CB0A6}" name="Column13101"/>
    <tableColumn id="13120" xr3:uid="{6BFEF7C2-C7D3-524C-BAFD-408E843BF7D2}" name="Column13102"/>
    <tableColumn id="13121" xr3:uid="{59A01D22-7CAF-C24A-AB4F-AD7D51F567DF}" name="Column13103"/>
    <tableColumn id="13122" xr3:uid="{589E1F82-E8F3-6245-B451-4F7D7E61989C}" name="Column13104"/>
    <tableColumn id="13123" xr3:uid="{F632F80B-275B-8843-8560-F13DCFB6647F}" name="Column13105"/>
    <tableColumn id="13124" xr3:uid="{1CCC644F-4A53-6E40-974C-4918ACC2D628}" name="Column13106"/>
    <tableColumn id="13125" xr3:uid="{409F2E5A-E4E2-084A-A76F-05847CF17ED8}" name="Column13107"/>
    <tableColumn id="13126" xr3:uid="{59C8F7C3-D3D9-7440-8215-11B08FDDDD8A}" name="Column13108"/>
    <tableColumn id="13127" xr3:uid="{AAAE5466-6ED5-034C-A0B3-8D3A2BC45447}" name="Column13109"/>
    <tableColumn id="13128" xr3:uid="{E5FF8AF1-F2F4-7B43-950C-859EABEE38DA}" name="Column13110"/>
    <tableColumn id="13129" xr3:uid="{791BFDDD-E338-A44C-A2B2-775B02AAAE32}" name="Column13111"/>
    <tableColumn id="13130" xr3:uid="{EE852B41-C447-B640-A5C7-0F375281494E}" name="Column13112"/>
    <tableColumn id="13131" xr3:uid="{75B3FC88-8B6A-0C42-95D3-674E12493037}" name="Column13113"/>
    <tableColumn id="13132" xr3:uid="{B72138AD-DD65-8841-B2E2-D681E55D7565}" name="Column13114"/>
    <tableColumn id="13133" xr3:uid="{77BF684C-8CC8-8545-AB1C-6EAB8D8947B6}" name="Column13115"/>
    <tableColumn id="13134" xr3:uid="{708C8864-CC30-C84F-98A3-1324177E23EF}" name="Column13116"/>
    <tableColumn id="13135" xr3:uid="{068D460E-E049-8D45-9896-0F08A8717E09}" name="Column13117"/>
    <tableColumn id="13136" xr3:uid="{1CA98108-F8EA-5540-92B7-79037A4D5E62}" name="Column13118"/>
    <tableColumn id="13137" xr3:uid="{441BA390-A59B-C049-AD48-F3A652CA6D01}" name="Column13119"/>
    <tableColumn id="13138" xr3:uid="{6CDAE3C9-10ED-B244-A4CE-D391F3097250}" name="Column13120"/>
    <tableColumn id="13139" xr3:uid="{F6F9B855-917B-D347-B918-CB38147BAB4C}" name="Column13121"/>
    <tableColumn id="13140" xr3:uid="{BEC19E03-3D68-B14A-89FC-BA52DF70EF82}" name="Column13122"/>
    <tableColumn id="13141" xr3:uid="{F8A1E70D-097D-F940-B953-CF4D8C1B1FDD}" name="Column13123"/>
    <tableColumn id="13142" xr3:uid="{8D8D1852-C1C5-F047-9686-DE6AB346033E}" name="Column13124"/>
    <tableColumn id="13143" xr3:uid="{14D6C1AD-DFFE-0C44-8DA6-0B25FA0493B5}" name="Column13125"/>
    <tableColumn id="13144" xr3:uid="{F7E2F028-CC84-5740-AB9B-E06E098D32E4}" name="Column13126"/>
    <tableColumn id="13145" xr3:uid="{01EB7E01-03F7-AD41-97BE-4886C957698D}" name="Column13127"/>
    <tableColumn id="13146" xr3:uid="{61AE0AA3-D9C6-7340-9EA8-76E24C8B76B2}" name="Column13128"/>
    <tableColumn id="13147" xr3:uid="{D59BE9E1-1C7C-D746-96B8-246573D4E5D6}" name="Column13129"/>
    <tableColumn id="13148" xr3:uid="{1A3F5AC0-C3DD-4A49-9785-4D59791C10E8}" name="Column13130"/>
    <tableColumn id="13149" xr3:uid="{0F93E513-9A13-DF44-A17A-0314F9FF6889}" name="Column13131"/>
    <tableColumn id="13150" xr3:uid="{BC526F8B-EA8F-BF4F-951F-402F5FB9D4A6}" name="Column13132"/>
    <tableColumn id="13151" xr3:uid="{9C5A56C1-89E0-7347-B866-8A9895FF78DF}" name="Column13133"/>
    <tableColumn id="13152" xr3:uid="{F0FE3ECA-B728-1F4D-A24E-AA6DEB6C4303}" name="Column13134"/>
    <tableColumn id="13153" xr3:uid="{D9F6F278-2FC1-4941-A04E-7FB62F140726}" name="Column13135"/>
    <tableColumn id="13154" xr3:uid="{C040DC48-0697-184C-BE54-6E9EE432DF7E}" name="Column13136"/>
    <tableColumn id="13155" xr3:uid="{9EDFC800-225B-064C-B7A2-57869A59268F}" name="Column13137"/>
    <tableColumn id="13156" xr3:uid="{20FC4F12-8EFC-D542-A215-0B51EFE9F350}" name="Column13138"/>
    <tableColumn id="13157" xr3:uid="{A3482F4E-9F58-8A47-AE4B-6FE70A31E2BA}" name="Column13139"/>
    <tableColumn id="13158" xr3:uid="{B29E3B4F-7683-C349-975D-49A30A03FD03}" name="Column13140"/>
    <tableColumn id="13159" xr3:uid="{E7AA79DA-A46E-FD4A-BEA9-3004A1B51E30}" name="Column13141"/>
    <tableColumn id="13160" xr3:uid="{A0BA760E-02D3-0445-8CEC-F1E10B24413A}" name="Column13142"/>
    <tableColumn id="13161" xr3:uid="{92B098FE-035E-6543-B4FC-2F0FF7180A32}" name="Column13143"/>
    <tableColumn id="13162" xr3:uid="{B5ABD21A-E41A-D44C-8362-F0C87CA1600D}" name="Column13144"/>
    <tableColumn id="13163" xr3:uid="{5D242927-A935-AF4D-83F1-628A8D958A04}" name="Column13145"/>
    <tableColumn id="13164" xr3:uid="{271F7E70-E205-324E-87DC-AEC722427220}" name="Column13146"/>
    <tableColumn id="13165" xr3:uid="{8D662B0E-934C-3D46-BB2B-9994A92CA694}" name="Column13147"/>
    <tableColumn id="13166" xr3:uid="{F203850E-D103-8E4C-BFF5-AF999ABF3E06}" name="Column13148"/>
    <tableColumn id="13167" xr3:uid="{59BA575E-5CCB-EF4D-BBBF-082ACD2D8E8F}" name="Column13149"/>
    <tableColumn id="13168" xr3:uid="{7B21994B-C662-A74D-B3D1-DD2B243E0BD2}" name="Column13150"/>
    <tableColumn id="13169" xr3:uid="{10C3CB50-8B57-A945-8276-028A3A760AF9}" name="Column13151"/>
    <tableColumn id="13170" xr3:uid="{145CD727-9160-C74C-8175-C4A384F70483}" name="Column13152"/>
    <tableColumn id="13171" xr3:uid="{049E363C-E80F-DB48-AC5A-2C1B9A3F8135}" name="Column13153"/>
    <tableColumn id="13172" xr3:uid="{49A345DA-99C5-3346-8EAC-D26777DE9A67}" name="Column13154"/>
    <tableColumn id="13173" xr3:uid="{666BE4DE-8B7A-F84E-BCC2-F02E9895597F}" name="Column13155"/>
    <tableColumn id="13174" xr3:uid="{6857499F-164F-C54F-8A8A-5EFA7D49C2DA}" name="Column13156"/>
    <tableColumn id="13175" xr3:uid="{04606DDD-85BD-244C-A75C-BA94809A7DF4}" name="Column13157"/>
    <tableColumn id="13176" xr3:uid="{91D5C2C2-8E8A-6C4A-91FB-BFAE36DE9771}" name="Column13158"/>
    <tableColumn id="13177" xr3:uid="{60BDC148-B63B-1B43-92C9-A89B2E023E5F}" name="Column13159"/>
    <tableColumn id="13178" xr3:uid="{80235067-2065-3245-BF7E-3F07E20189E9}" name="Column13160"/>
    <tableColumn id="13179" xr3:uid="{36CAC3E6-B7D8-1E49-9330-FE3EB9201C6D}" name="Column13161"/>
    <tableColumn id="13180" xr3:uid="{A1EA5C90-34E6-E64A-B0F4-9EE1E3041490}" name="Column13162"/>
    <tableColumn id="13181" xr3:uid="{FB15B151-A329-B847-B6B9-9B88F53428C0}" name="Column13163"/>
    <tableColumn id="13182" xr3:uid="{048B0AB2-85E6-B541-B173-4C3728CB0372}" name="Column13164"/>
    <tableColumn id="13183" xr3:uid="{2EB8F859-379F-0541-8472-0293574CD1B0}" name="Column13165"/>
    <tableColumn id="13184" xr3:uid="{F562EC36-833F-464D-BBCB-8666B3CD180B}" name="Column13166"/>
    <tableColumn id="13185" xr3:uid="{82E0BB6A-1D59-F74F-B9F5-EF96E74FB238}" name="Column13167"/>
    <tableColumn id="13186" xr3:uid="{E07E3DD5-3825-0540-BD54-50C9758851EE}" name="Column13168"/>
    <tableColumn id="13187" xr3:uid="{AD5E89E4-8715-E649-975B-6C33ADE37C7C}" name="Column13169"/>
    <tableColumn id="13188" xr3:uid="{F2B27BC9-1C32-754C-A01A-FE951E109A18}" name="Column13170"/>
    <tableColumn id="13189" xr3:uid="{A092FBEE-C272-2147-9D45-04CBFC441DCD}" name="Column13171"/>
    <tableColumn id="13190" xr3:uid="{D8F98B0C-3002-F048-B390-A756D21EE721}" name="Column13172"/>
    <tableColumn id="13191" xr3:uid="{90CAF68D-041E-3349-9148-ACD7402E9081}" name="Column13173"/>
    <tableColumn id="13192" xr3:uid="{BE9CC601-1DAF-6C4E-9E1A-9F38D2BF00F7}" name="Column13174"/>
    <tableColumn id="13193" xr3:uid="{CF423227-98AC-654A-BC37-E9644B7F298C}" name="Column13175"/>
    <tableColumn id="13194" xr3:uid="{145098A7-750A-F146-92AA-DA3DA1F3D591}" name="Column13176"/>
    <tableColumn id="13195" xr3:uid="{B9BB7AD2-5149-D343-8E65-1D633E956F74}" name="Column13177"/>
    <tableColumn id="13196" xr3:uid="{53C9D272-7BA6-6543-8D6D-27E87AE3EC4C}" name="Column13178"/>
    <tableColumn id="13197" xr3:uid="{DD597AFF-E033-5344-B76F-A74A27747B9B}" name="Column13179"/>
    <tableColumn id="13198" xr3:uid="{AEF429CB-8F66-5C46-A918-BA51E7D9D176}" name="Column13180"/>
    <tableColumn id="13199" xr3:uid="{563B1213-E8A0-3049-A17F-3A4583911D6F}" name="Column13181"/>
    <tableColumn id="13200" xr3:uid="{BDF10474-DE84-EC45-9CFA-B4CB48E9473C}" name="Column13182"/>
    <tableColumn id="13201" xr3:uid="{E2A04BE2-7AB8-284A-A558-916E33E77A1E}" name="Column13183"/>
    <tableColumn id="13202" xr3:uid="{5AC104C2-3B1C-404B-87F5-E116B1753076}" name="Column13184"/>
    <tableColumn id="13203" xr3:uid="{D03C7DD5-B38B-4244-A4DB-2195A9CA4F5E}" name="Column13185"/>
    <tableColumn id="13204" xr3:uid="{DBF930E0-D7D7-E746-BE29-6D263B74E6EE}" name="Column13186"/>
    <tableColumn id="13205" xr3:uid="{10D8821F-25D2-0B4A-BA04-59D30B15E073}" name="Column13187"/>
    <tableColumn id="13206" xr3:uid="{FFF1538E-7C81-6740-8A40-D1856271CD4F}" name="Column13188"/>
    <tableColumn id="13207" xr3:uid="{FE1E12BC-335C-C948-8BC0-3C30DCC11FB1}" name="Column13189"/>
    <tableColumn id="13208" xr3:uid="{49503F89-A860-C743-B0A0-226BCD634508}" name="Column13190"/>
    <tableColumn id="13209" xr3:uid="{C920A54A-FA97-AC48-8A85-FB283A36092E}" name="Column13191"/>
    <tableColumn id="13210" xr3:uid="{53547F32-9AAF-5441-8794-9A2D6686B6BE}" name="Column13192"/>
    <tableColumn id="13211" xr3:uid="{350942F6-CC8A-C045-A3CB-7BD965C2BB35}" name="Column13193"/>
    <tableColumn id="13212" xr3:uid="{5A204892-1BEA-4441-A31E-21F2CA82BF1C}" name="Column13194"/>
    <tableColumn id="13213" xr3:uid="{2CB239AF-CEC8-234E-9CB3-F432418F6EEB}" name="Column13195"/>
    <tableColumn id="13214" xr3:uid="{58698460-2139-724D-887C-3143637AA6F3}" name="Column13196"/>
    <tableColumn id="13215" xr3:uid="{AE9CA243-89DE-6342-86F6-F4E67BDF938F}" name="Column13197"/>
    <tableColumn id="13216" xr3:uid="{DC63EC57-932C-6B4B-921D-0D2BE295CB50}" name="Column13198"/>
    <tableColumn id="13217" xr3:uid="{E9F8B951-3403-1A47-B0BB-B871C4D7B068}" name="Column13199"/>
    <tableColumn id="13218" xr3:uid="{6BD80B00-2AF5-BB4A-9A19-FE52E4DEBBE0}" name="Column13200"/>
    <tableColumn id="13219" xr3:uid="{25E1E568-E0B7-674E-8E7F-AE905D28C45B}" name="Column13201"/>
    <tableColumn id="13220" xr3:uid="{CE36CE20-43F5-5D46-8345-6E00ED6C2E1F}" name="Column13202"/>
    <tableColumn id="13221" xr3:uid="{1C8322E2-B3BF-EE45-B277-20E842850965}" name="Column13203"/>
    <tableColumn id="13222" xr3:uid="{70F1CB3E-39FE-0E43-B660-CBFC4423C99C}" name="Column13204"/>
    <tableColumn id="13223" xr3:uid="{0CAA3A94-D708-C34A-B45F-3B1139C114E1}" name="Column13205"/>
    <tableColumn id="13224" xr3:uid="{9A68A5C9-EBBD-3144-8339-8F1ECCB73C21}" name="Column13206"/>
    <tableColumn id="13225" xr3:uid="{1F36DB6E-51B9-BD4F-93F8-44760F637B92}" name="Column13207"/>
    <tableColumn id="13226" xr3:uid="{F704AACC-C444-CA4A-A01D-FA26F98D25C8}" name="Column13208"/>
    <tableColumn id="13227" xr3:uid="{34C306B2-1958-4C41-86D6-E29FBE077502}" name="Column13209"/>
    <tableColumn id="13228" xr3:uid="{516F4CEC-D900-1F4E-9594-A87B7D36F749}" name="Column13210"/>
    <tableColumn id="13229" xr3:uid="{FC8C4F99-AFD0-7148-8450-A43FBA17F7BD}" name="Column13211"/>
    <tableColumn id="13230" xr3:uid="{0858ACF4-65AF-314F-ABEE-8D3BF1967FC5}" name="Column13212"/>
    <tableColumn id="13231" xr3:uid="{23FB069F-F4A0-1742-9D19-9E013724E658}" name="Column13213"/>
    <tableColumn id="13232" xr3:uid="{17302E33-6F98-FE4F-80C9-100108113525}" name="Column13214"/>
    <tableColumn id="13233" xr3:uid="{F5470F3B-04C7-AA4A-B32C-9C1C436A620B}" name="Column13215"/>
    <tableColumn id="13234" xr3:uid="{B9B8E2FF-1D3D-9D48-A855-962FB463D927}" name="Column13216"/>
    <tableColumn id="13235" xr3:uid="{E8E55B89-8F43-3549-A7E7-BF5D9DB93892}" name="Column13217"/>
    <tableColumn id="13236" xr3:uid="{959D2A5A-1893-7742-AC1B-7FCC185BCE87}" name="Column13218"/>
    <tableColumn id="13237" xr3:uid="{97958E2F-EF9E-6F41-9563-B69ECFB28E32}" name="Column13219"/>
    <tableColumn id="13238" xr3:uid="{828579CE-974F-D241-9F2B-EBC8EDB80080}" name="Column13220"/>
    <tableColumn id="13239" xr3:uid="{C9268C7B-195E-7F49-9FC6-517ED52386DB}" name="Column13221"/>
    <tableColumn id="13240" xr3:uid="{31AA3FD8-A2E4-464F-AA79-785F139511D9}" name="Column13222"/>
    <tableColumn id="13241" xr3:uid="{DBBC2C58-601D-3D48-B695-D363F5911BB2}" name="Column13223"/>
    <tableColumn id="13242" xr3:uid="{78804236-5D4C-F04F-B9BD-E1D17A5216BE}" name="Column13224"/>
    <tableColumn id="13243" xr3:uid="{609BE9DB-2174-C848-BDBA-3A88E3BB930D}" name="Column13225"/>
    <tableColumn id="13244" xr3:uid="{3F0FC78E-2493-F24E-BEA8-1BFC9AF8C155}" name="Column13226"/>
    <tableColumn id="13245" xr3:uid="{800CD779-9B08-074D-9954-43F85FC29B43}" name="Column13227"/>
    <tableColumn id="13246" xr3:uid="{D4836B0D-F367-4343-B7AC-CCEE1ED75B9D}" name="Column13228"/>
    <tableColumn id="13247" xr3:uid="{28EDFEBC-4DB9-B14E-AC59-C1533B2A6934}" name="Column13229"/>
    <tableColumn id="13248" xr3:uid="{73B3065F-6BDD-5A4E-B57C-FA83F0B6E815}" name="Column13230"/>
    <tableColumn id="13249" xr3:uid="{DF292A5F-726F-334C-9C13-B9F951A303FF}" name="Column13231"/>
    <tableColumn id="13250" xr3:uid="{2EA7003D-5CAE-1C45-87B5-870BC18302E5}" name="Column13232"/>
    <tableColumn id="13251" xr3:uid="{3DC47668-4CF5-AC48-9190-25301EAFF839}" name="Column13233"/>
    <tableColumn id="13252" xr3:uid="{408E1003-8D65-3D45-A3FD-2FE8CEDFF172}" name="Column13234"/>
    <tableColumn id="13253" xr3:uid="{BF44424D-F3DA-ED40-95F4-28045DC85468}" name="Column13235"/>
    <tableColumn id="13254" xr3:uid="{0E1F45C7-67CE-F047-8CD6-52362BC318CD}" name="Column13236"/>
    <tableColumn id="13255" xr3:uid="{A0610E31-B1D7-7E43-90FE-F238588FD021}" name="Column13237"/>
    <tableColumn id="13256" xr3:uid="{F02D3D8E-76FE-4C48-9A85-2F9E650E84B7}" name="Column13238"/>
    <tableColumn id="13257" xr3:uid="{DDC95F07-DF28-7548-9FCC-664EB398220D}" name="Column13239"/>
    <tableColumn id="13258" xr3:uid="{68124D8F-9EAF-B347-A41E-6C8235D98E5F}" name="Column13240"/>
    <tableColumn id="13259" xr3:uid="{3CAB148A-F2E8-2943-80D5-0938C83EE9EB}" name="Column13241"/>
    <tableColumn id="13260" xr3:uid="{9A76E9B8-F03E-DD45-A672-E4A820222249}" name="Column13242"/>
    <tableColumn id="13261" xr3:uid="{66B69588-4334-7A49-A537-DA2FB0562108}" name="Column13243"/>
    <tableColumn id="13262" xr3:uid="{EE192B21-2E25-5E42-88C5-1119E4983A2A}" name="Column13244"/>
    <tableColumn id="13263" xr3:uid="{961A4F5A-5EBE-A240-A10B-9F38B93357B7}" name="Column13245"/>
    <tableColumn id="13264" xr3:uid="{B78BE139-970F-3048-8015-ECD67DDFC3AD}" name="Column13246"/>
    <tableColumn id="13265" xr3:uid="{FE3EC598-FC47-2045-BFEA-F2C4A9B2DD17}" name="Column13247"/>
    <tableColumn id="13266" xr3:uid="{BF9EE59E-D74E-4843-8E99-510F8D2E40FE}" name="Column13248"/>
    <tableColumn id="13267" xr3:uid="{7172C5F4-F6B7-E242-835C-E318BFF1B18C}" name="Column13249"/>
    <tableColumn id="13268" xr3:uid="{7DEBFAF8-2C00-3745-AF23-CF988D9C8D8B}" name="Column13250"/>
    <tableColumn id="13269" xr3:uid="{B1DECD71-F267-A546-9885-A76FB111B048}" name="Column13251"/>
    <tableColumn id="13270" xr3:uid="{BFF0422D-7342-7849-AFFB-F3D0BCC9986F}" name="Column13252"/>
    <tableColumn id="13271" xr3:uid="{915D8DFA-43F5-B648-AA2B-EBB1E92EC321}" name="Column13253"/>
    <tableColumn id="13272" xr3:uid="{DE5231A1-2BB8-0842-BE15-6D4C723F4B6B}" name="Column13254"/>
    <tableColumn id="13273" xr3:uid="{253BC588-9DB8-9546-9E62-D3303F3DAFA0}" name="Column13255"/>
    <tableColumn id="13274" xr3:uid="{8A3B9440-55DB-7941-B5C0-7FB4FA593F9E}" name="Column13256"/>
    <tableColumn id="13275" xr3:uid="{8B84408B-D9B8-AA47-B56C-83E10E8C5F55}" name="Column13257"/>
    <tableColumn id="13276" xr3:uid="{CB70D6A2-8B49-EC4D-ADCC-38616539CBFE}" name="Column13258"/>
    <tableColumn id="13277" xr3:uid="{BDFD126A-280C-DB4B-A5C2-56062AF7ADA4}" name="Column13259"/>
    <tableColumn id="13278" xr3:uid="{E64BA682-C8E3-AA49-801D-3A8867E90B97}" name="Column13260"/>
    <tableColumn id="13279" xr3:uid="{A2773E66-B9DE-4C4E-8A7E-CFBC51D6DD37}" name="Column13261"/>
    <tableColumn id="13280" xr3:uid="{B4AB2BE0-AEDB-504F-BC3E-72338526D944}" name="Column13262"/>
    <tableColumn id="13281" xr3:uid="{04F132CD-6707-894C-9949-E92BBA502D2F}" name="Column13263"/>
    <tableColumn id="13282" xr3:uid="{BE5F5B92-8FBA-D54A-8322-7E3E8DC321C1}" name="Column13264"/>
    <tableColumn id="13283" xr3:uid="{CFCED4A4-9690-9E49-B0D4-50E20263C93F}" name="Column13265"/>
    <tableColumn id="13284" xr3:uid="{A5A81679-3840-FA4E-91BE-443340478CDF}" name="Column13266"/>
    <tableColumn id="13285" xr3:uid="{B49B11ED-3246-A84F-9B0E-C6BF91A9110E}" name="Column13267"/>
    <tableColumn id="13286" xr3:uid="{53AB0A05-89C2-424E-957D-CD50D49D575E}" name="Column13268"/>
    <tableColumn id="13287" xr3:uid="{7A764CF2-0C66-154C-98A4-4ED8148CB109}" name="Column13269"/>
    <tableColumn id="13288" xr3:uid="{6C9ED4B6-7561-144A-8C67-BE18675A5C6F}" name="Column13270"/>
    <tableColumn id="13289" xr3:uid="{1F9C77D7-13F2-CA4F-9D36-64E684451109}" name="Column13271"/>
    <tableColumn id="13290" xr3:uid="{A5F4ADCF-5C14-484C-BA52-ED4A4124F97E}" name="Column13272"/>
    <tableColumn id="13291" xr3:uid="{3C0F8A6C-3174-0249-BCD0-5316E97A2190}" name="Column13273"/>
    <tableColumn id="13292" xr3:uid="{A4F59999-308F-E440-82D3-E62CFABD4C3E}" name="Column13274"/>
    <tableColumn id="13293" xr3:uid="{540E995A-06DE-8848-A3F3-5DA0B8359CAF}" name="Column13275"/>
    <tableColumn id="13294" xr3:uid="{1F264937-A8C6-D248-8DE9-50E0FAB5632D}" name="Column13276"/>
    <tableColumn id="13295" xr3:uid="{5CBC76D4-F84D-984F-A59B-D34DF04DFE43}" name="Column13277"/>
    <tableColumn id="13296" xr3:uid="{B3F19363-7F56-7349-9A1F-2CA1B2BB9EFA}" name="Column13278"/>
    <tableColumn id="13297" xr3:uid="{418C71D6-E67E-BF44-818F-86E0FE811BD3}" name="Column13279"/>
    <tableColumn id="13298" xr3:uid="{604154DA-0C43-724A-B97A-423416A24D5B}" name="Column13280"/>
    <tableColumn id="13299" xr3:uid="{A557CFD9-599D-9B42-81DB-0E0A058A340C}" name="Column13281"/>
    <tableColumn id="13300" xr3:uid="{82A65247-9CA5-AB43-8200-4E883FED8AA7}" name="Column13282"/>
    <tableColumn id="13301" xr3:uid="{C40E7B6F-A841-4648-BD3A-7AE60AD7A3D0}" name="Column13283"/>
    <tableColumn id="13302" xr3:uid="{7E7D55C8-EE8C-C343-BC08-1804CD2A7F9B}" name="Column13284"/>
    <tableColumn id="13303" xr3:uid="{A6342977-7A27-424F-80E6-29106DF95828}" name="Column13285"/>
    <tableColumn id="13304" xr3:uid="{113DF915-7909-514E-9B55-E2CA874937E5}" name="Column13286"/>
    <tableColumn id="13305" xr3:uid="{A568C8A0-5C35-0D4B-B344-050FE1FFA72C}" name="Column13287"/>
    <tableColumn id="13306" xr3:uid="{1C2122F8-1CFF-2B4C-9B5C-7CA9B66A29B3}" name="Column13288"/>
    <tableColumn id="13307" xr3:uid="{D4AF354D-5042-AF43-B460-6E314283F675}" name="Column13289"/>
    <tableColumn id="13308" xr3:uid="{59EE6A31-B9BE-F240-9012-4CAAD65E28D7}" name="Column13290"/>
    <tableColumn id="13309" xr3:uid="{092D0A12-381E-3F4F-B82B-F29CCCC1B214}" name="Column13291"/>
    <tableColumn id="13310" xr3:uid="{4130FCF8-8C2C-6C44-8182-8A5EEE53BBE1}" name="Column13292"/>
    <tableColumn id="13311" xr3:uid="{4798CB90-9FA4-D44D-BAAE-6FA0CE847756}" name="Column13293"/>
    <tableColumn id="13312" xr3:uid="{3DAF0F7D-96B8-6542-B6BE-150B5E23D28A}" name="Column13294"/>
    <tableColumn id="13313" xr3:uid="{715EB4DC-7D97-AA47-9783-921FFA5A0005}" name="Column13295"/>
    <tableColumn id="13314" xr3:uid="{7F5C5C37-1A70-DE48-B204-59D84C5216F7}" name="Column13296"/>
    <tableColumn id="13315" xr3:uid="{FE67FE89-5675-A847-A867-367B5F468DD9}" name="Column13297"/>
    <tableColumn id="13316" xr3:uid="{2FA2A935-EBC4-5E41-AFC2-C68A6B7CCAA2}" name="Column13298"/>
    <tableColumn id="13317" xr3:uid="{BB66D9B9-9182-2D49-BE68-6CC226F93CA9}" name="Column13299"/>
    <tableColumn id="13318" xr3:uid="{41F53461-E94D-C742-84BE-DE9FC6B960DB}" name="Column13300"/>
    <tableColumn id="13319" xr3:uid="{7A63CC31-2E68-1946-B3E9-23A0D0576719}" name="Column13301"/>
    <tableColumn id="13320" xr3:uid="{3AA3439E-1D52-6649-88E3-23DEFD9738C2}" name="Column13302"/>
    <tableColumn id="13321" xr3:uid="{2F981866-E764-0348-A4CA-ADF9FDF6D4A6}" name="Column13303"/>
    <tableColumn id="13322" xr3:uid="{1114E8C4-8F15-9445-A814-FA89604E6683}" name="Column13304"/>
    <tableColumn id="13323" xr3:uid="{D9C3EF7C-041E-6E4D-BA7B-662F0E890BC1}" name="Column13305"/>
    <tableColumn id="13324" xr3:uid="{C3F4499F-0897-DD47-A8C5-E387BFBC7B6E}" name="Column13306"/>
    <tableColumn id="13325" xr3:uid="{4B5CBD46-58E5-BE44-A5E9-78264ED904B6}" name="Column13307"/>
    <tableColumn id="13326" xr3:uid="{CD4B1CF7-14E5-5345-9151-2DCF286ABD04}" name="Column13308"/>
    <tableColumn id="13327" xr3:uid="{DBBE3537-6AE4-6E4A-B50A-E0FAE89E7707}" name="Column13309"/>
    <tableColumn id="13328" xr3:uid="{8B8430D4-0BFD-B848-96B1-C6C107623EF5}" name="Column13310"/>
    <tableColumn id="13329" xr3:uid="{CDB34FEA-4FC0-A641-84F2-5E00CD29F376}" name="Column13311"/>
    <tableColumn id="13330" xr3:uid="{EAC5EDE2-0AFE-F246-9644-BE64304EB169}" name="Column13312"/>
    <tableColumn id="13331" xr3:uid="{4AAC4F39-0ED2-5F41-90DC-D55C9C23D4FC}" name="Column13313"/>
    <tableColumn id="13332" xr3:uid="{9D717701-342A-234C-A5D8-FE6D5347A5CC}" name="Column13314"/>
    <tableColumn id="13333" xr3:uid="{81FB2019-DF2D-B44D-8DB0-12C928878FDB}" name="Column13315"/>
    <tableColumn id="13334" xr3:uid="{17E3139E-1221-1843-ACFA-D29F11584792}" name="Column13316"/>
    <tableColumn id="13335" xr3:uid="{C7CBCA6A-1A4B-7D48-9F25-4FBA2CDB328F}" name="Column13317"/>
    <tableColumn id="13336" xr3:uid="{3011385A-6DAC-594B-9A12-B829C8077339}" name="Column13318"/>
    <tableColumn id="13337" xr3:uid="{799C87B9-5E8D-D24E-A1D1-310C88227CE5}" name="Column13319"/>
    <tableColumn id="13338" xr3:uid="{D0198286-8643-0948-8299-7DC2B06D1634}" name="Column13320"/>
    <tableColumn id="13339" xr3:uid="{2F8868C2-DB82-1B42-8FEA-72EB5EE9D79F}" name="Column13321"/>
    <tableColumn id="13340" xr3:uid="{A7A18396-2154-CC4F-B66E-748AD7ECBBB5}" name="Column13322"/>
    <tableColumn id="13341" xr3:uid="{5642484C-01FE-3C4A-8FB9-3ECFDA6B801D}" name="Column13323"/>
    <tableColumn id="13342" xr3:uid="{AFD105B6-1BEF-2F4D-B378-F0CA36F7FACA}" name="Column13324"/>
    <tableColumn id="13343" xr3:uid="{0524FA21-6FB4-FA4D-84EB-8955B2CF8B73}" name="Column13325"/>
    <tableColumn id="13344" xr3:uid="{64232ED4-36F6-4D4B-AEF0-77DB2E71A5B2}" name="Column13326"/>
    <tableColumn id="13345" xr3:uid="{533C807F-A262-214D-BC36-6C52C0F32775}" name="Column13327"/>
    <tableColumn id="13346" xr3:uid="{1FC55EC3-D4DC-8743-94AE-547B93E40EDC}" name="Column13328"/>
    <tableColumn id="13347" xr3:uid="{1B268685-6AE3-FA44-8E7E-0E76FF76DB93}" name="Column13329"/>
    <tableColumn id="13348" xr3:uid="{6531E7DA-DBA7-9D4B-8F68-71C1799A0EFC}" name="Column13330"/>
    <tableColumn id="13349" xr3:uid="{494DF64F-D106-5E4C-AB91-368F0F1D6371}" name="Column13331"/>
    <tableColumn id="13350" xr3:uid="{F107266E-93B5-D240-9416-C8B42E28FA22}" name="Column13332"/>
    <tableColumn id="13351" xr3:uid="{933B4AF8-60CF-E343-8430-112BF2F7AE25}" name="Column13333"/>
    <tableColumn id="13352" xr3:uid="{6587DDC6-3874-954C-9A2D-FED4456187D3}" name="Column13334"/>
    <tableColumn id="13353" xr3:uid="{573043DB-9EB8-CD45-A273-DB4F9522653A}" name="Column13335"/>
    <tableColumn id="13354" xr3:uid="{6DDF3043-E23B-2F42-8710-74EEB93AB22E}" name="Column13336"/>
    <tableColumn id="13355" xr3:uid="{A6E3D05B-583D-6344-A080-5DA39A96ED09}" name="Column13337"/>
    <tableColumn id="13356" xr3:uid="{F04B3D7E-ED7E-7346-B59F-1C13ECDEAA52}" name="Column13338"/>
    <tableColumn id="13357" xr3:uid="{7128CC57-B59B-8249-93E1-817FAB9D4FC1}" name="Column13339"/>
    <tableColumn id="13358" xr3:uid="{34F0F903-E1BE-6B4C-AE85-7FDE2B065E24}" name="Column13340"/>
    <tableColumn id="13359" xr3:uid="{DE0D0F24-A056-B543-9269-C5E222CA162E}" name="Column13341"/>
    <tableColumn id="13360" xr3:uid="{CB8F2EC2-4DC0-1644-BF6F-4AEDEFEA4A10}" name="Column13342"/>
    <tableColumn id="13361" xr3:uid="{C3FDB36A-49AB-4748-A513-BE1C77D350B1}" name="Column13343"/>
    <tableColumn id="13362" xr3:uid="{3F66EDB2-6BC5-884A-84FB-14A46440ACED}" name="Column13344"/>
    <tableColumn id="13363" xr3:uid="{45B699F6-E564-0B45-9D43-FE733430D8E6}" name="Column13345"/>
    <tableColumn id="13364" xr3:uid="{C977ABC7-1E54-1042-BD44-9F9D033BCA74}" name="Column13346"/>
    <tableColumn id="13365" xr3:uid="{E2914303-ABDB-CE44-AD81-96DBEA1A4DF1}" name="Column13347"/>
    <tableColumn id="13366" xr3:uid="{8C836738-5DE6-B64F-B923-4CBF174FDAE1}" name="Column13348"/>
    <tableColumn id="13367" xr3:uid="{578CCED2-D367-FF4D-87E7-406C6D66F87F}" name="Column13349"/>
    <tableColumn id="13368" xr3:uid="{B7EBCCC9-44BD-364D-9DD9-9159B4C89F5A}" name="Column13350"/>
    <tableColumn id="13369" xr3:uid="{ABE6471E-DE98-D147-BAC7-B463CD5B0C77}" name="Column13351"/>
    <tableColumn id="13370" xr3:uid="{47AB529F-E473-0746-B245-CE974970FA28}" name="Column13352"/>
    <tableColumn id="13371" xr3:uid="{82C3DFE7-5BE9-9C48-AE5B-AB006EE26703}" name="Column13353"/>
    <tableColumn id="13372" xr3:uid="{9C290D3C-6F13-6D48-AC69-B98B657CB5B7}" name="Column13354"/>
    <tableColumn id="13373" xr3:uid="{162ECBFA-79CD-054F-99C3-614483130C37}" name="Column13355"/>
    <tableColumn id="13374" xr3:uid="{A384CD85-3955-A64A-8056-327AA5F5FD41}" name="Column13356"/>
    <tableColumn id="13375" xr3:uid="{85FA7B51-0938-A74E-BF41-37E9E8A6380C}" name="Column13357"/>
    <tableColumn id="13376" xr3:uid="{A57DF0E3-8383-084F-B0C7-FA7E2582745F}" name="Column13358"/>
    <tableColumn id="13377" xr3:uid="{5BF0F1B6-3FC5-8341-A2A4-538FBD84857F}" name="Column13359"/>
    <tableColumn id="13378" xr3:uid="{FBF1FB92-7F53-5A43-8799-01EEC4E9D58F}" name="Column13360"/>
    <tableColumn id="13379" xr3:uid="{253C9BC0-9ED5-9845-BF06-4D2881645C4B}" name="Column13361"/>
    <tableColumn id="13380" xr3:uid="{57BFB973-B221-EB42-941F-AB84613667BB}" name="Column13362"/>
    <tableColumn id="13381" xr3:uid="{D69845D3-96DE-614C-9953-88978F5CA8A2}" name="Column13363"/>
    <tableColumn id="13382" xr3:uid="{D3592C44-B24F-5E4F-956C-20A1C6E4AFF4}" name="Column13364"/>
    <tableColumn id="13383" xr3:uid="{B357F0DE-1191-1045-A486-F9B50D4506C5}" name="Column13365"/>
    <tableColumn id="13384" xr3:uid="{B3B5950F-921F-8A4E-B43C-C649F838AF0D}" name="Column13366"/>
    <tableColumn id="13385" xr3:uid="{1A9AA78B-606D-DF41-B1B4-8076FF4CFCBD}" name="Column13367"/>
    <tableColumn id="13386" xr3:uid="{2A64AD0A-9992-8943-864F-809AB2AEDF2E}" name="Column13368"/>
    <tableColumn id="13387" xr3:uid="{E4FC5023-4531-AA48-BB37-565A4EF592B8}" name="Column13369"/>
    <tableColumn id="13388" xr3:uid="{064D6E1A-A387-2B4A-B6D1-4CD6B4E5502F}" name="Column13370"/>
    <tableColumn id="13389" xr3:uid="{C27E4B3B-BACE-B344-BB39-98F485D7F80E}" name="Column13371"/>
    <tableColumn id="13390" xr3:uid="{EE77B951-C452-AC41-A980-477B7236D99E}" name="Column13372"/>
    <tableColumn id="13391" xr3:uid="{7F6A468B-A0FB-4C41-873B-2DA2E020A287}" name="Column13373"/>
    <tableColumn id="13392" xr3:uid="{8AB713D9-42AB-6640-ABF0-2E997395FC1A}" name="Column13374"/>
    <tableColumn id="13393" xr3:uid="{A347F091-0808-7F44-BB01-3FD0D100C372}" name="Column13375"/>
    <tableColumn id="13394" xr3:uid="{B1517C5F-E17C-1C4C-93BC-1CAA8C074B3F}" name="Column13376"/>
    <tableColumn id="13395" xr3:uid="{E7CD22E4-8ABB-5044-A1A1-E29E62160ADA}" name="Column13377"/>
    <tableColumn id="13396" xr3:uid="{663C2CF1-340C-084F-9E4E-18C082C31255}" name="Column13378"/>
    <tableColumn id="13397" xr3:uid="{F56431AC-A6BC-4D49-9390-395FFB0F100E}" name="Column13379"/>
    <tableColumn id="13398" xr3:uid="{F3C23D50-0CE7-4145-8D2A-3CD192708388}" name="Column13380"/>
    <tableColumn id="13399" xr3:uid="{F57084A0-E0BC-1D4F-B5FD-7FE643850FDF}" name="Column13381"/>
    <tableColumn id="13400" xr3:uid="{75D1DAA6-8731-494A-ACE5-2D7C25C9FC89}" name="Column13382"/>
    <tableColumn id="13401" xr3:uid="{BCB4A9AC-1FB0-2B46-8BD0-5E6E5E63B412}" name="Column13383"/>
    <tableColumn id="13402" xr3:uid="{674C1517-6C83-5744-A24E-54E0F0C6E640}" name="Column13384"/>
    <tableColumn id="13403" xr3:uid="{98093E5E-997A-0842-99E8-1560798F30E8}" name="Column13385"/>
    <tableColumn id="13404" xr3:uid="{418B2752-051B-8B46-97F2-D4C9910BE032}" name="Column13386"/>
    <tableColumn id="13405" xr3:uid="{E0B43FAE-2C7A-D04F-8502-8531DFCEBDF3}" name="Column13387"/>
    <tableColumn id="13406" xr3:uid="{4C0F5977-46B1-A141-AB19-A1939EC1AE9B}" name="Column13388"/>
    <tableColumn id="13407" xr3:uid="{CD2C1CFC-3F60-5745-B537-EBD04ED7A8D6}" name="Column13389"/>
    <tableColumn id="13408" xr3:uid="{FB65666F-799D-1943-B07E-60446280BEEB}" name="Column13390"/>
    <tableColumn id="13409" xr3:uid="{33F8150A-9958-F44A-97D5-D20DEE888A87}" name="Column13391"/>
    <tableColumn id="13410" xr3:uid="{0394CAE3-643A-A941-97ED-8CBD95748581}" name="Column13392"/>
    <tableColumn id="13411" xr3:uid="{CDEEBF6A-4F4E-B840-B5BD-5BED086626C9}" name="Column13393"/>
    <tableColumn id="13412" xr3:uid="{1E25CE2E-2965-924C-97E8-B873DB6B4698}" name="Column13394"/>
    <tableColumn id="13413" xr3:uid="{7B9FE630-56F7-2340-87B6-7259ED41BEE2}" name="Column13395"/>
    <tableColumn id="13414" xr3:uid="{35F24314-A76E-5544-99B5-C340A3904E28}" name="Column13396"/>
    <tableColumn id="13415" xr3:uid="{D07614D6-4F51-3148-8D2D-5D324EB9C041}" name="Column13397"/>
    <tableColumn id="13416" xr3:uid="{3D36DDE7-5BC8-AD48-ABAE-E83FC65249D8}" name="Column13398"/>
    <tableColumn id="13417" xr3:uid="{4AA123A3-7496-F240-83EF-AE112A1CEB7F}" name="Column13399"/>
    <tableColumn id="13418" xr3:uid="{AA71B524-2748-B945-8BD2-6C528F72F8DE}" name="Column13400"/>
    <tableColumn id="13419" xr3:uid="{F06FF8F8-651D-9643-AE38-79BC4282DFFE}" name="Column13401"/>
    <tableColumn id="13420" xr3:uid="{5CBFFB66-3BAD-1047-9E4F-DDCCB6C61216}" name="Column13402"/>
    <tableColumn id="13421" xr3:uid="{F45D2E20-3B37-954E-9079-BD95C2A388AC}" name="Column13403"/>
    <tableColumn id="13422" xr3:uid="{99F47D75-8A81-9944-BA9E-A4B2311C59FF}" name="Column13404"/>
    <tableColumn id="13423" xr3:uid="{DD6B0596-AB4D-114E-8C0B-4CD309ABD320}" name="Column13405"/>
    <tableColumn id="13424" xr3:uid="{BBAFC089-4407-1243-A6A8-E2400240FF69}" name="Column13406"/>
    <tableColumn id="13425" xr3:uid="{AA7210BE-772C-4B49-A29E-FC167FD6FA37}" name="Column13407"/>
    <tableColumn id="13426" xr3:uid="{B625E9FC-BFAB-044D-8827-EB5DFF06ED36}" name="Column13408"/>
    <tableColumn id="13427" xr3:uid="{C42E935B-FC01-DD44-B247-BC1428AF030B}" name="Column13409"/>
    <tableColumn id="13428" xr3:uid="{D990C9ED-95D0-4F48-BE32-DC4310D1FFCA}" name="Column13410"/>
    <tableColumn id="13429" xr3:uid="{4A0A08C1-335B-D24A-B7DC-BBA285069150}" name="Column13411"/>
    <tableColumn id="13430" xr3:uid="{DDAA14E9-FDBA-A547-8620-F3823CCB72FE}" name="Column13412"/>
    <tableColumn id="13431" xr3:uid="{842029AA-71E5-CD42-9DAE-F50C2C858958}" name="Column13413"/>
    <tableColumn id="13432" xr3:uid="{E9E85A20-DD6B-F94F-93F2-AFD8C12CF08A}" name="Column13414"/>
    <tableColumn id="13433" xr3:uid="{A1CCCD27-30A9-E642-9853-B767C7739771}" name="Column13415"/>
    <tableColumn id="13434" xr3:uid="{901FC3D3-308F-284D-BBFD-2E0DB625C877}" name="Column13416"/>
    <tableColumn id="13435" xr3:uid="{215CF3FF-BD89-2B40-B609-4FB9E3398D92}" name="Column13417"/>
    <tableColumn id="13436" xr3:uid="{636C03EE-D297-A245-B5E5-8F976CFE8A0A}" name="Column13418"/>
    <tableColumn id="13437" xr3:uid="{2E5FDD52-C672-9943-9D7F-4DF0238989FE}" name="Column13419"/>
    <tableColumn id="13438" xr3:uid="{9F93410F-2BE7-7540-AC41-BF91D278DAE9}" name="Column13420"/>
    <tableColumn id="13439" xr3:uid="{1ECA05C8-5154-F645-8750-A90A2F8CDCBA}" name="Column13421"/>
    <tableColumn id="13440" xr3:uid="{1A014C1E-8D7D-214A-9618-081F34035515}" name="Column13422"/>
    <tableColumn id="13441" xr3:uid="{D5CE2ECE-E266-7F47-BF93-6EB4C864B7EF}" name="Column13423"/>
    <tableColumn id="13442" xr3:uid="{D36D04F5-478B-0C41-A71B-B20F33B35BEC}" name="Column13424"/>
    <tableColumn id="13443" xr3:uid="{9E476E5A-8AD3-E54B-8988-C14F526578F1}" name="Column13425"/>
    <tableColumn id="13444" xr3:uid="{182F215A-CFF8-D549-BBA7-2DF9569F7691}" name="Column13426"/>
    <tableColumn id="13445" xr3:uid="{E0CBB2A0-62FF-E04D-91E0-2E4B7E63DD4F}" name="Column13427"/>
    <tableColumn id="13446" xr3:uid="{B86390A4-39F5-9A4F-8FE8-93A2908B92B8}" name="Column13428"/>
    <tableColumn id="13447" xr3:uid="{BA20436C-8CFF-2F40-84F1-6D82E009AA75}" name="Column13429"/>
    <tableColumn id="13448" xr3:uid="{685FAC0E-6818-124B-9F8D-869BA1365C9F}" name="Column13430"/>
    <tableColumn id="13449" xr3:uid="{4C8FC512-67AF-1843-A7F6-3DDFBC1E9787}" name="Column13431"/>
    <tableColumn id="13450" xr3:uid="{5DF7B25C-4C7C-9740-ADF5-586750A20D87}" name="Column13432"/>
    <tableColumn id="13451" xr3:uid="{C7E89BEC-9297-BE4E-A4FB-2EFBF27CBE6A}" name="Column13433"/>
    <tableColumn id="13452" xr3:uid="{1A6F96D1-1EE2-CF4B-B365-61530B74C566}" name="Column13434"/>
    <tableColumn id="13453" xr3:uid="{64BEF6C5-346D-E64E-98CF-565FC6662C2F}" name="Column13435"/>
    <tableColumn id="13454" xr3:uid="{66CB5454-4423-0142-A0C7-8507808CDB17}" name="Column13436"/>
    <tableColumn id="13455" xr3:uid="{A2ED6B26-0851-724D-A05C-9E1E072D8B4C}" name="Column13437"/>
    <tableColumn id="13456" xr3:uid="{2AB3F46F-B128-614A-B518-288A7383B7FA}" name="Column13438"/>
    <tableColumn id="13457" xr3:uid="{F8F36C05-54D5-4D46-9A73-5062BC21454E}" name="Column13439"/>
    <tableColumn id="13458" xr3:uid="{F6000341-7C54-1247-8DE1-B76671456855}" name="Column13440"/>
    <tableColumn id="13459" xr3:uid="{1DBDC166-E007-A142-B2EC-9FF9F102BF80}" name="Column13441"/>
    <tableColumn id="13460" xr3:uid="{7155E601-F4ED-2D46-BCA0-324234560C07}" name="Column13442"/>
    <tableColumn id="13461" xr3:uid="{970F9551-2D80-594E-A2DB-F3D3DA7CEA02}" name="Column13443"/>
    <tableColumn id="13462" xr3:uid="{E1FD95BC-CC1B-7847-AABC-B3B7ACDB94ED}" name="Column13444"/>
    <tableColumn id="13463" xr3:uid="{0D8E2B0A-D8A9-4B4F-8561-BE5D2778722D}" name="Column13445"/>
    <tableColumn id="13464" xr3:uid="{E00E3943-052F-8E42-95C6-A55A59CDE340}" name="Column13446"/>
    <tableColumn id="13465" xr3:uid="{D3FF75AF-58B2-7D42-BB93-402741064CFF}" name="Column13447"/>
    <tableColumn id="13466" xr3:uid="{85519FF7-84D7-3542-B9CE-1301E5864118}" name="Column13448"/>
    <tableColumn id="13467" xr3:uid="{6A89798D-24B2-3543-9F04-D5BE9A635408}" name="Column13449"/>
    <tableColumn id="13468" xr3:uid="{70FC5347-3B5D-7547-A1A4-45CC958681B7}" name="Column13450"/>
    <tableColumn id="13469" xr3:uid="{B3BC4D13-17EE-3B41-9B66-3C87BF975B3D}" name="Column13451"/>
    <tableColumn id="13470" xr3:uid="{73042773-0D73-BF44-8076-03CB5A812500}" name="Column13452"/>
    <tableColumn id="13471" xr3:uid="{115F1BA3-9EDB-1745-9265-D9A131D558D8}" name="Column13453"/>
    <tableColumn id="13472" xr3:uid="{07DC7DEB-FEDD-5543-9D41-D51492AE6AAB}" name="Column13454"/>
    <tableColumn id="13473" xr3:uid="{2584974C-87F1-D44E-8011-D49343B6E7C1}" name="Column13455"/>
    <tableColumn id="13474" xr3:uid="{52490D50-B382-4145-86CF-3A1F7800CB52}" name="Column13456"/>
    <tableColumn id="13475" xr3:uid="{F356F1B0-B662-114B-9173-16449DF24289}" name="Column13457"/>
    <tableColumn id="13476" xr3:uid="{FB57F571-3262-F44A-B07A-8FB9CBCFED05}" name="Column13458"/>
    <tableColumn id="13477" xr3:uid="{2A379164-357D-AC46-82F5-9BED9F20C0AD}" name="Column13459"/>
    <tableColumn id="13478" xr3:uid="{A159DA75-CDD2-0343-BCBF-F6664200BEAE}" name="Column13460"/>
    <tableColumn id="13479" xr3:uid="{13C8FA7D-9983-9046-A4BA-5C4CE8BFBDE5}" name="Column13461"/>
    <tableColumn id="13480" xr3:uid="{E4D78A9D-63F9-9B4A-8EF1-428E0A202016}" name="Column13462"/>
    <tableColumn id="13481" xr3:uid="{E7F4091C-ED29-A346-A6CF-005CD3ED8D9D}" name="Column13463"/>
    <tableColumn id="13482" xr3:uid="{E091B333-2DFA-CF4C-B8FD-08E00D9BDB61}" name="Column13464"/>
    <tableColumn id="13483" xr3:uid="{3DCAA1E7-0158-1D46-8851-4157C63ED2D5}" name="Column13465"/>
    <tableColumn id="13484" xr3:uid="{E3E92D88-ACE7-8142-A586-FC909FC7961D}" name="Column13466"/>
    <tableColumn id="13485" xr3:uid="{4E4404F5-E532-5244-95C5-F3FB77F3A632}" name="Column13467"/>
    <tableColumn id="13486" xr3:uid="{D7D05877-FEE2-D847-B084-84319620E3FF}" name="Column13468"/>
    <tableColumn id="13487" xr3:uid="{2CC26634-B0A8-5A4E-8694-3F5E4E31F10C}" name="Column13469"/>
    <tableColumn id="13488" xr3:uid="{85753776-9F62-CA49-BC77-B5D4DA1FDDA1}" name="Column13470"/>
    <tableColumn id="13489" xr3:uid="{AD1C5ADE-BA77-8E49-87CB-1E7D804E3A60}" name="Column13471"/>
    <tableColumn id="13490" xr3:uid="{9AB8505C-5D7E-8E44-BB0C-BEDA3020A55E}" name="Column13472"/>
    <tableColumn id="13491" xr3:uid="{E2A3076D-9BD2-0B47-9114-4092B946F26D}" name="Column13473"/>
    <tableColumn id="13492" xr3:uid="{E2524D0F-85F1-BB41-B7BA-41A6F49F0851}" name="Column13474"/>
    <tableColumn id="13493" xr3:uid="{634645FB-9F78-2641-B9CC-5821E3E64907}" name="Column13475"/>
    <tableColumn id="13494" xr3:uid="{013A9CE4-EC95-6248-A1BE-E36339A11DED}" name="Column13476"/>
    <tableColumn id="13495" xr3:uid="{AA039B41-FD41-7E4F-8D3E-C2955532C251}" name="Column13477"/>
    <tableColumn id="13496" xr3:uid="{C933674C-02C9-EF47-A517-1BA26FD5B4DF}" name="Column13478"/>
    <tableColumn id="13497" xr3:uid="{15ED62EF-8B03-0248-9E32-8FC424C7E642}" name="Column13479"/>
    <tableColumn id="13498" xr3:uid="{3E97DCA5-B687-DA41-8312-3642FBA061AF}" name="Column13480"/>
    <tableColumn id="13499" xr3:uid="{51A69B5C-F1C3-6946-A1E3-23257D67E3A7}" name="Column13481"/>
    <tableColumn id="13500" xr3:uid="{F3969BEA-BB40-814B-BAB6-28B824F72372}" name="Column13482"/>
    <tableColumn id="13501" xr3:uid="{80E5D3C5-78C6-F047-B57F-ED3A103111B5}" name="Column13483"/>
    <tableColumn id="13502" xr3:uid="{591AF9E4-B21B-144B-B488-6C8BA1786AF7}" name="Column13484"/>
    <tableColumn id="13503" xr3:uid="{206695C7-2B35-7042-B2C9-790F99485214}" name="Column13485"/>
    <tableColumn id="13504" xr3:uid="{8805D914-7280-424C-901B-F691E78176FC}" name="Column13486"/>
    <tableColumn id="13505" xr3:uid="{AD9BBE47-9A91-B34E-A819-9CD21958AFA1}" name="Column13487"/>
    <tableColumn id="13506" xr3:uid="{D836C293-5A9A-5E4D-B7C0-8B1E1C3BBB33}" name="Column13488"/>
    <tableColumn id="13507" xr3:uid="{7B37F70F-87D7-B94C-B1DC-AB6D0F3D795E}" name="Column13489"/>
    <tableColumn id="13508" xr3:uid="{5200FF7E-BDA2-4143-B9F0-B571D2CF9C3F}" name="Column13490"/>
    <tableColumn id="13509" xr3:uid="{2A7D1C32-E0EE-BA4C-ABBD-D02A699D53D7}" name="Column13491"/>
    <tableColumn id="13510" xr3:uid="{3B3CAFC2-F5EB-354E-8E23-A6D6A29BA01C}" name="Column13492"/>
    <tableColumn id="13511" xr3:uid="{024CD476-AE37-2144-93D9-AF413DD54369}" name="Column13493"/>
    <tableColumn id="13512" xr3:uid="{7D182AEE-F0CB-044F-A893-CD4CDE1F04B3}" name="Column13494"/>
    <tableColumn id="13513" xr3:uid="{CF76B8F6-06BB-7D45-B4EF-D065F41413BF}" name="Column13495"/>
    <tableColumn id="13514" xr3:uid="{6AE93999-A7CB-D94F-82F6-E3F3EF1C0B9D}" name="Column13496"/>
    <tableColumn id="13515" xr3:uid="{630DC0AF-0385-BD4E-A77D-CA210C27A065}" name="Column13497"/>
    <tableColumn id="13516" xr3:uid="{4A24DFEE-D2CA-0D42-A16E-AB3FC0C51A83}" name="Column13498"/>
    <tableColumn id="13517" xr3:uid="{18A5CCB7-80F8-CA47-957E-0C3BD72BDFF7}" name="Column13499"/>
    <tableColumn id="13518" xr3:uid="{F557F451-DC01-674A-A960-40CFE1C4A7D1}" name="Column13500"/>
    <tableColumn id="13519" xr3:uid="{EDE64019-4BD2-5641-ACFF-E8EE23B5C443}" name="Column13501"/>
    <tableColumn id="13520" xr3:uid="{2DF7591C-B35E-1B47-A761-87196DFFF403}" name="Column13502"/>
    <tableColumn id="13521" xr3:uid="{5E710A7C-FC0E-E045-BD7B-11DEE40810F3}" name="Column13503"/>
    <tableColumn id="13522" xr3:uid="{F33F2774-7424-4342-95D2-918D633EA039}" name="Column13504"/>
    <tableColumn id="13523" xr3:uid="{56748C82-DA76-5341-9475-155AEC0D6ACB}" name="Column13505"/>
    <tableColumn id="13524" xr3:uid="{9C393BB8-151F-7244-893A-502DCDDB9F2E}" name="Column13506"/>
    <tableColumn id="13525" xr3:uid="{040165E0-AB02-A843-8266-D30AE4593ABE}" name="Column13507"/>
    <tableColumn id="13526" xr3:uid="{8DB2DE65-AD59-2D47-A3E2-CABD02C70DF1}" name="Column13508"/>
    <tableColumn id="13527" xr3:uid="{247D34C4-2249-FA49-B560-7FD3F9138ECD}" name="Column13509"/>
    <tableColumn id="13528" xr3:uid="{941A0E75-C4CA-8541-BA49-FE21FDEC5760}" name="Column13510"/>
    <tableColumn id="13529" xr3:uid="{01859555-4E37-0F4B-B9C8-C6C75154AC03}" name="Column13511"/>
    <tableColumn id="13530" xr3:uid="{DAB46670-895C-0347-ACBF-7844827FA3D9}" name="Column13512"/>
    <tableColumn id="13531" xr3:uid="{60E135D0-20E8-444C-9CEF-E6C1C3EE227A}" name="Column13513"/>
    <tableColumn id="13532" xr3:uid="{A9EA7BC3-F298-7546-94C1-53E4CB737611}" name="Column13514"/>
    <tableColumn id="13533" xr3:uid="{5C13FC8B-D8F8-B547-8958-DF98F21A9D93}" name="Column13515"/>
    <tableColumn id="13534" xr3:uid="{1ADDF2A0-DDD6-DA45-9255-8F5E2D516756}" name="Column13516"/>
    <tableColumn id="13535" xr3:uid="{46C42A22-86F1-D44F-A3F4-2B276AF441BC}" name="Column13517"/>
    <tableColumn id="13536" xr3:uid="{F25F2B9A-3794-6B45-BA2F-030D6B70F729}" name="Column13518"/>
    <tableColumn id="13537" xr3:uid="{1B86E939-9459-904F-9DAF-629F949F92CF}" name="Column13519"/>
    <tableColumn id="13538" xr3:uid="{70F48509-0B68-3643-A1B2-2C6264A80BE3}" name="Column13520"/>
    <tableColumn id="13539" xr3:uid="{25B8C538-D2AD-1349-9002-7F8A41B99337}" name="Column13521"/>
    <tableColumn id="13540" xr3:uid="{E338DC4C-F3AD-B740-B15E-D51451E1AA44}" name="Column13522"/>
    <tableColumn id="13541" xr3:uid="{31E01F12-D7C2-2D4D-920E-941EE2BE6D18}" name="Column13523"/>
    <tableColumn id="13542" xr3:uid="{DDC9DA69-7C05-9A47-866D-FE824CA19632}" name="Column13524"/>
    <tableColumn id="13543" xr3:uid="{43AAA5CD-405F-E043-AFB3-FA395835E3D7}" name="Column13525"/>
    <tableColumn id="13544" xr3:uid="{25ED3C48-FA3E-AF4C-BE49-580DD3E98E93}" name="Column13526"/>
    <tableColumn id="13545" xr3:uid="{16CF73BB-32F6-F749-BB26-FD4DCAA336D9}" name="Column13527"/>
    <tableColumn id="13546" xr3:uid="{BCB452DA-F463-E645-8BE5-88F7354CB498}" name="Column13528"/>
    <tableColumn id="13547" xr3:uid="{E09B7D43-A34C-CD4B-AF2A-1D76BCF3AAF4}" name="Column13529"/>
    <tableColumn id="13548" xr3:uid="{510B4FAE-BFA1-6B4C-828B-4BA834164504}" name="Column13530"/>
    <tableColumn id="13549" xr3:uid="{13DCEB14-7042-A34C-BC9E-CB8456E2F7DD}" name="Column13531"/>
    <tableColumn id="13550" xr3:uid="{CBB57447-1E65-034C-BB2C-94D99C95D9DD}" name="Column13532"/>
    <tableColumn id="13551" xr3:uid="{83C9664D-D0C6-9B44-8307-E1B2865A4713}" name="Column13533"/>
    <tableColumn id="13552" xr3:uid="{2821D317-71B5-C241-8A05-DDCD93B780F6}" name="Column13534"/>
    <tableColumn id="13553" xr3:uid="{CB51F94F-12F7-4C44-B343-8AC8F638D680}" name="Column13535"/>
    <tableColumn id="13554" xr3:uid="{A4F2E395-F4E9-EA41-942F-96055694D979}" name="Column13536"/>
    <tableColumn id="13555" xr3:uid="{D019E2C1-7BF4-9B43-A543-5C3FF231D1B6}" name="Column13537"/>
    <tableColumn id="13556" xr3:uid="{3371CCA4-71EB-BF48-8FB1-325E434826A8}" name="Column13538"/>
    <tableColumn id="13557" xr3:uid="{046C6F79-B512-114F-B756-A2AD05C0CE58}" name="Column13539"/>
    <tableColumn id="13558" xr3:uid="{0EEE21A3-E554-9F4B-8E32-B384EF04A575}" name="Column13540"/>
    <tableColumn id="13559" xr3:uid="{24F907EE-EA40-9243-8962-FDC90E0C7209}" name="Column13541"/>
    <tableColumn id="13560" xr3:uid="{548F6D3D-F495-BB4F-AEAA-CEDD5F83D900}" name="Column13542"/>
    <tableColumn id="13561" xr3:uid="{4F8F9CA5-BA46-F44B-A836-7B137A038D7A}" name="Column13543"/>
    <tableColumn id="13562" xr3:uid="{35EF18FF-4EF6-7B43-866B-BBACB50ECF1F}" name="Column13544"/>
    <tableColumn id="13563" xr3:uid="{603C200C-6FBB-C741-BC39-49E077CB7F2B}" name="Column13545"/>
    <tableColumn id="13564" xr3:uid="{AB172106-9B28-5E4B-A000-D7FDB20B4514}" name="Column13546"/>
    <tableColumn id="13565" xr3:uid="{3222062F-5448-A542-82C7-E0498B9ECD23}" name="Column13547"/>
    <tableColumn id="13566" xr3:uid="{A91E485F-144C-4F4A-9831-5708FFBAB243}" name="Column13548"/>
    <tableColumn id="13567" xr3:uid="{EEE30EDF-517F-5746-899D-74F9AB016F32}" name="Column13549"/>
    <tableColumn id="13568" xr3:uid="{66FE081A-53C8-BF4B-B698-082920FC5A7A}" name="Column13550"/>
    <tableColumn id="13569" xr3:uid="{8D973E7F-1F2F-3F4F-AFA4-8CAD29A77B26}" name="Column13551"/>
    <tableColumn id="13570" xr3:uid="{FFB34BB5-6D65-2441-A6B5-D6062E192C14}" name="Column13552"/>
    <tableColumn id="13571" xr3:uid="{2E3A5F1F-6B28-6D46-BF28-68DB6CF450B8}" name="Column13553"/>
    <tableColumn id="13572" xr3:uid="{CC77DA6D-1F91-AB44-885F-5CA49E166878}" name="Column13554"/>
    <tableColumn id="13573" xr3:uid="{AFADE3CE-6C84-F346-9950-8388D5099780}" name="Column13555"/>
    <tableColumn id="13574" xr3:uid="{DF7C9349-8761-7343-B185-84940070008B}" name="Column13556"/>
    <tableColumn id="13575" xr3:uid="{56454383-BBDF-A54C-BD5C-311D6C37BDF6}" name="Column13557"/>
    <tableColumn id="13576" xr3:uid="{97D530B7-0DB7-4643-85B7-C704127978B1}" name="Column13558"/>
    <tableColumn id="13577" xr3:uid="{E2A90718-D935-5B44-AC1F-D1EB8436B9C2}" name="Column13559"/>
    <tableColumn id="13578" xr3:uid="{2522F107-8207-F346-B832-8C638B1EE53F}" name="Column13560"/>
    <tableColumn id="13579" xr3:uid="{B914E362-39A2-6441-8C6B-68AF8269708F}" name="Column13561"/>
    <tableColumn id="13580" xr3:uid="{A39D6418-FB1D-DC4C-B2F8-FFBAA7F3EEA0}" name="Column13562"/>
    <tableColumn id="13581" xr3:uid="{DE9073EF-1C13-0448-B6B6-600294EB5D3E}" name="Column13563"/>
    <tableColumn id="13582" xr3:uid="{7F1E03AB-3480-9543-99A4-57C248E2AEC5}" name="Column13564"/>
    <tableColumn id="13583" xr3:uid="{04B24EBA-88B6-9245-8722-79A22290C80D}" name="Column13565"/>
    <tableColumn id="13584" xr3:uid="{C41BEAC3-923F-1E4B-975E-EBB528C67428}" name="Column13566"/>
    <tableColumn id="13585" xr3:uid="{682348ED-DA16-0242-8246-97F5A6424CE6}" name="Column13567"/>
    <tableColumn id="13586" xr3:uid="{D2AF702C-EF8F-A445-9222-B0DC95F3D786}" name="Column13568"/>
    <tableColumn id="13587" xr3:uid="{B6EA4DFA-59DD-294B-898A-53A885623E97}" name="Column13569"/>
    <tableColumn id="13588" xr3:uid="{04A4AB1B-B0DD-1547-8095-DE9918DFC89B}" name="Column13570"/>
    <tableColumn id="13589" xr3:uid="{C93D4088-9968-8243-B388-5A6CB6AC2FCD}" name="Column13571"/>
    <tableColumn id="13590" xr3:uid="{1F7AC0F3-DC41-1046-AB29-6B2C4720E729}" name="Column13572"/>
    <tableColumn id="13591" xr3:uid="{F9211CB8-8914-3F4E-9539-F56ECEA435DE}" name="Column13573"/>
    <tableColumn id="13592" xr3:uid="{1CB8CC3A-F67F-C24F-87AA-FE607D1B976B}" name="Column13574"/>
    <tableColumn id="13593" xr3:uid="{331446F5-E24A-034E-80B2-C7E31BF4930B}" name="Column13575"/>
    <tableColumn id="13594" xr3:uid="{9ADC674F-0014-A14B-8827-1A9F720858AD}" name="Column13576"/>
    <tableColumn id="13595" xr3:uid="{43A95D6C-D704-B841-8892-C2907D9C2CD0}" name="Column13577"/>
    <tableColumn id="13596" xr3:uid="{F9016093-F602-0E4A-8DC2-282B400BFC3B}" name="Column13578"/>
    <tableColumn id="13597" xr3:uid="{EDC53019-904B-B145-AFB6-261566C82B6D}" name="Column13579"/>
    <tableColumn id="13598" xr3:uid="{0EF70730-433E-494E-A107-22270A3C665A}" name="Column13580"/>
    <tableColumn id="13599" xr3:uid="{896207B0-F8EB-6446-86A0-C51299DE4869}" name="Column13581"/>
    <tableColumn id="13600" xr3:uid="{2F30CDE3-E2A3-DD4C-82FA-67D6AFBE5A30}" name="Column13582"/>
    <tableColumn id="13601" xr3:uid="{F95EDB63-118F-5148-A520-4F7D4AA905BF}" name="Column13583"/>
    <tableColumn id="13602" xr3:uid="{A11A9861-3DF9-DE48-A2A1-B828A33BE3E7}" name="Column13584"/>
    <tableColumn id="13603" xr3:uid="{BA90C35B-38E1-F846-B7DE-9F39FECECCAD}" name="Column13585"/>
    <tableColumn id="13604" xr3:uid="{1D8C5904-F3D9-9641-A64B-E4B6E2804F76}" name="Column13586"/>
    <tableColumn id="13605" xr3:uid="{F267C7F2-1F25-7044-9BA1-B1C30F1DEB0F}" name="Column13587"/>
    <tableColumn id="13606" xr3:uid="{52712E4D-CEAD-7E45-9951-A92615EFB109}" name="Column13588"/>
    <tableColumn id="13607" xr3:uid="{9206B6DE-BA45-A949-8FFC-6EDE0E0A59F3}" name="Column13589"/>
    <tableColumn id="13608" xr3:uid="{5CB8C4B7-CF60-624A-AC8C-3C2D24E1DCEB}" name="Column13590"/>
    <tableColumn id="13609" xr3:uid="{53087A98-D15A-D74D-8BDE-873ED7C0D205}" name="Column13591"/>
    <tableColumn id="13610" xr3:uid="{BD62FBBB-DBE1-1948-8E4F-283A913F9820}" name="Column13592"/>
    <tableColumn id="13611" xr3:uid="{6E6028B6-CEDE-5A4B-8F2B-00B3740DF952}" name="Column13593"/>
    <tableColumn id="13612" xr3:uid="{7AE38F03-0CEC-FD40-9810-78F8E1A4377F}" name="Column13594"/>
    <tableColumn id="13613" xr3:uid="{056E950E-2DCD-D54C-9D6F-A91186936145}" name="Column13595"/>
    <tableColumn id="13614" xr3:uid="{E1D4A528-0C42-AD4E-AE6E-E0DBBC57D0CF}" name="Column13596"/>
    <tableColumn id="13615" xr3:uid="{0FF152CA-532E-C34A-A182-51108867021D}" name="Column13597"/>
    <tableColumn id="13616" xr3:uid="{BBC98CB8-E5AC-B444-ABA2-1CFAD97168A4}" name="Column13598"/>
    <tableColumn id="13617" xr3:uid="{96810806-F052-A949-8CEC-9DF1B7028EAF}" name="Column13599"/>
    <tableColumn id="13618" xr3:uid="{A286CB17-7597-3B4C-BC58-007B3123AB3E}" name="Column13600"/>
    <tableColumn id="13619" xr3:uid="{407D3288-51E4-3F46-96A0-D2B454AEFF7E}" name="Column13601"/>
    <tableColumn id="13620" xr3:uid="{AF66B1F8-ED73-4B47-AF21-A6BBFDF887FB}" name="Column13602"/>
    <tableColumn id="13621" xr3:uid="{CD7CB4B0-4A58-E941-9A5E-E11AE896EC54}" name="Column13603"/>
    <tableColumn id="13622" xr3:uid="{20A31EC5-BE55-0E45-BC61-14527C7E9ECB}" name="Column13604"/>
    <tableColumn id="13623" xr3:uid="{D5071404-2841-7F46-B1E6-EB0F6988B76B}" name="Column13605"/>
    <tableColumn id="13624" xr3:uid="{7139BCE2-C807-8E49-AE0B-C695871B405B}" name="Column13606"/>
    <tableColumn id="13625" xr3:uid="{7F8D6432-E034-E24B-9BBA-70DF70FB6C5E}" name="Column13607"/>
    <tableColumn id="13626" xr3:uid="{594636F6-EB92-D243-A5F1-D1FA9A163854}" name="Column13608"/>
    <tableColumn id="13627" xr3:uid="{C2653F5F-AF8B-5747-9BAB-F2B8D982B8CB}" name="Column13609"/>
    <tableColumn id="13628" xr3:uid="{7A8DE30C-69F1-5942-88B7-C62AE811FBFF}" name="Column13610"/>
    <tableColumn id="13629" xr3:uid="{984A1A51-4849-CB42-9337-D17B0F68E5B4}" name="Column13611"/>
    <tableColumn id="13630" xr3:uid="{B59BE09F-0B49-944C-86A9-B139FE989309}" name="Column13612"/>
    <tableColumn id="13631" xr3:uid="{0B01E114-427C-814D-8352-17BA9B27FCDA}" name="Column13613"/>
    <tableColumn id="13632" xr3:uid="{8C0D2E9F-4419-8E4D-BE5F-AC8B0B84F301}" name="Column13614"/>
    <tableColumn id="13633" xr3:uid="{574A19EA-C492-614B-AB3F-9F3CDF16BBC2}" name="Column13615"/>
    <tableColumn id="13634" xr3:uid="{65570E9E-D953-FF46-9EDE-B5161AF298AD}" name="Column13616"/>
    <tableColumn id="13635" xr3:uid="{94F7CFF4-AC0F-4746-9747-CA48ACF84B6A}" name="Column13617"/>
    <tableColumn id="13636" xr3:uid="{15795B4F-3784-0C4D-BE6C-2FD650EB3B63}" name="Column13618"/>
    <tableColumn id="13637" xr3:uid="{B99C0874-7D12-9740-9FF6-18E2A1E8318E}" name="Column13619"/>
    <tableColumn id="13638" xr3:uid="{0231617C-331D-834A-A64C-DFF7D829D1A8}" name="Column13620"/>
    <tableColumn id="13639" xr3:uid="{F413B1FD-D4CD-B54F-8D98-2FF53D19AD81}" name="Column13621"/>
    <tableColumn id="13640" xr3:uid="{83246E23-8D91-E241-9D55-8ED6423C6EB4}" name="Column13622"/>
    <tableColumn id="13641" xr3:uid="{3773DB5D-4889-E048-915F-6A954FEA75DC}" name="Column13623"/>
    <tableColumn id="13642" xr3:uid="{45BBF9A4-93FC-144A-B2E9-13899C828B4A}" name="Column13624"/>
    <tableColumn id="13643" xr3:uid="{CC152C1A-BF34-3148-872D-6FFE5742435A}" name="Column13625"/>
    <tableColumn id="13644" xr3:uid="{9C292F9A-D3EE-654A-9063-227AB380556A}" name="Column13626"/>
    <tableColumn id="13645" xr3:uid="{45658D2C-2856-CC4E-AD93-7DF8A72B91A8}" name="Column13627"/>
    <tableColumn id="13646" xr3:uid="{0EF2E500-605B-6C47-9388-CBB7E163118A}" name="Column13628"/>
    <tableColumn id="13647" xr3:uid="{BA2B6D7D-57C7-AE4B-94C9-AFFB58C15D0A}" name="Column13629"/>
    <tableColumn id="13648" xr3:uid="{DAF308CD-138D-BF4D-8C06-B2C9D9F42B0C}" name="Column13630"/>
    <tableColumn id="13649" xr3:uid="{CD60CB81-39CC-744B-BCFA-33C2969B18CB}" name="Column13631"/>
    <tableColumn id="13650" xr3:uid="{0561C28E-10D4-E84D-977B-863598B45D10}" name="Column13632"/>
    <tableColumn id="13651" xr3:uid="{70E53417-ACD0-9E44-9F42-ECB743BFF196}" name="Column13633"/>
    <tableColumn id="13652" xr3:uid="{9623204F-0752-DF4B-9B4D-05FD921E3F8C}" name="Column13634"/>
    <tableColumn id="13653" xr3:uid="{BD49CF91-3C5B-9F4A-88FA-F8AA6B233D77}" name="Column13635"/>
    <tableColumn id="13654" xr3:uid="{83E763B9-BFF6-8F4D-9710-EA0E125F700B}" name="Column13636"/>
    <tableColumn id="13655" xr3:uid="{DD4E4A85-BE4F-9C47-B496-3CC4CEC314AA}" name="Column13637"/>
    <tableColumn id="13656" xr3:uid="{B5D16CE5-8F7F-284A-BB99-F0CED0E86F81}" name="Column13638"/>
    <tableColumn id="13657" xr3:uid="{53C0EDED-0C05-D34A-BB8C-FC579BB11CA1}" name="Column13639"/>
    <tableColumn id="13658" xr3:uid="{439B8739-A82B-3C43-91DA-98172572C7CD}" name="Column13640"/>
    <tableColumn id="13659" xr3:uid="{57563AA9-A22A-ED43-9EBC-CF89E1A83724}" name="Column13641"/>
    <tableColumn id="13660" xr3:uid="{C07379CC-5BFC-9147-B122-04A29C8E8DDF}" name="Column13642"/>
    <tableColumn id="13661" xr3:uid="{FDCDFC45-FA1B-464D-820A-92ED9B21061D}" name="Column13643"/>
    <tableColumn id="13662" xr3:uid="{91A8DC36-9CAF-2A47-81DD-5965C4D3D763}" name="Column13644"/>
    <tableColumn id="13663" xr3:uid="{6EA81384-FAF3-F448-B3AF-35FF4797FDDB}" name="Column13645"/>
    <tableColumn id="13664" xr3:uid="{DC8207AE-DC67-B148-8C32-178FEE39ACA0}" name="Column13646"/>
    <tableColumn id="13665" xr3:uid="{2E19A3F0-B476-ED43-B675-F4B1C18411E5}" name="Column13647"/>
    <tableColumn id="13666" xr3:uid="{B2CC441A-F640-4D43-B1BA-FF4C625DC050}" name="Column13648"/>
    <tableColumn id="13667" xr3:uid="{D8100B55-0C15-C349-9EF5-1B44679157F6}" name="Column13649"/>
    <tableColumn id="13668" xr3:uid="{689E77A9-6924-F746-B9E1-5725F47860DE}" name="Column13650"/>
    <tableColumn id="13669" xr3:uid="{3A0F1787-9201-3B4E-B19F-A66F421FBF85}" name="Column13651"/>
    <tableColumn id="13670" xr3:uid="{984B0284-D95D-F34C-90C0-573B6A44F6C9}" name="Column13652"/>
    <tableColumn id="13671" xr3:uid="{27DDAAF8-BE06-EE4E-999D-17349AEA6FCD}" name="Column13653"/>
    <tableColumn id="13672" xr3:uid="{5CDDEC88-F190-184D-A1FC-7DCC8215C228}" name="Column13654"/>
    <tableColumn id="13673" xr3:uid="{7418E058-3E04-1647-B36F-4C5770C5B459}" name="Column13655"/>
    <tableColumn id="13674" xr3:uid="{6772A731-AE6C-3945-A237-E49A76A33DB5}" name="Column13656"/>
    <tableColumn id="13675" xr3:uid="{A1CF744D-019A-C64B-B78E-438A6C53F9EB}" name="Column13657"/>
    <tableColumn id="13676" xr3:uid="{4BBBE51D-5251-E543-BC48-D7795C5A6CF1}" name="Column13658"/>
    <tableColumn id="13677" xr3:uid="{BFDC347C-1128-B04F-910D-AC29826CC7F1}" name="Column13659"/>
    <tableColumn id="13678" xr3:uid="{E87DCA56-A99F-2B46-8EAE-BA08C1B36684}" name="Column13660"/>
    <tableColumn id="13679" xr3:uid="{68466EFA-8142-4B4E-867C-DC625237555E}" name="Column13661"/>
    <tableColumn id="13680" xr3:uid="{82265326-081A-594B-9FA8-B475070428A7}" name="Column13662"/>
    <tableColumn id="13681" xr3:uid="{654C7D88-C81C-EC4F-978C-4E040D3F6E94}" name="Column13663"/>
    <tableColumn id="13682" xr3:uid="{0ACDFA37-2650-8542-8E32-912F5144FF24}" name="Column13664"/>
    <tableColumn id="13683" xr3:uid="{DBBE9A19-A74B-ED4D-832C-FAC757BB60B4}" name="Column13665"/>
    <tableColumn id="13684" xr3:uid="{51CA6D4E-5DDF-CE4A-91E1-4BC515F6D8FE}" name="Column13666"/>
    <tableColumn id="13685" xr3:uid="{19D1A6C2-14DB-484D-9905-6DB2EF6A0158}" name="Column13667"/>
    <tableColumn id="13686" xr3:uid="{EFA48279-700D-0440-A0A1-73B7048B300E}" name="Column13668"/>
    <tableColumn id="13687" xr3:uid="{E996262E-EF34-F14C-B93C-0C355692F6C0}" name="Column13669"/>
    <tableColumn id="13688" xr3:uid="{C1900239-7009-6F47-87DF-364E40367623}" name="Column13670"/>
    <tableColumn id="13689" xr3:uid="{77DB08B9-5081-CF42-B6F9-F2256EE1F6E3}" name="Column13671"/>
    <tableColumn id="13690" xr3:uid="{82EF880A-1073-DF40-A73D-12CB6A5BCA23}" name="Column13672"/>
    <tableColumn id="13691" xr3:uid="{3D8E4F89-3E65-9A49-B597-D228D7FACC63}" name="Column13673"/>
    <tableColumn id="13692" xr3:uid="{BBCDBEF2-E8A4-5E49-8E65-B3A645DB7896}" name="Column13674"/>
    <tableColumn id="13693" xr3:uid="{C5D2A3A7-3FB8-C643-BC73-1493C9D38441}" name="Column13675"/>
    <tableColumn id="13694" xr3:uid="{AE742713-785D-E647-9222-9A8C75F64E48}" name="Column13676"/>
    <tableColumn id="13695" xr3:uid="{EBA3C6F3-1A47-BF4B-B865-B14198F257FE}" name="Column13677"/>
    <tableColumn id="13696" xr3:uid="{13E7B576-1FBD-7E4C-8846-A6849190F504}" name="Column13678"/>
    <tableColumn id="13697" xr3:uid="{F500314D-B70A-0D43-90F8-1C6193D72A94}" name="Column13679"/>
    <tableColumn id="13698" xr3:uid="{4DA29CA4-79EA-4340-A942-4577377910CC}" name="Column13680"/>
    <tableColumn id="13699" xr3:uid="{6016F895-2F0F-0B41-9911-0A411730E5D9}" name="Column13681"/>
    <tableColumn id="13700" xr3:uid="{C351B1C1-D623-404F-82C0-4FC9E09A2475}" name="Column13682"/>
    <tableColumn id="13701" xr3:uid="{0D6D11A6-6846-494E-B59E-813D3BB6FF07}" name="Column13683"/>
    <tableColumn id="13702" xr3:uid="{455B8AB0-4885-A64D-85C8-EC80AFFA22B1}" name="Column13684"/>
    <tableColumn id="13703" xr3:uid="{C6FAFC30-2F01-2F40-A0D0-2F064568AF4E}" name="Column13685"/>
    <tableColumn id="13704" xr3:uid="{92B0CF8C-70E1-9E40-9242-0A17DA6F0E25}" name="Column13686"/>
    <tableColumn id="13705" xr3:uid="{335E3C3F-35AB-164E-8475-B0CE7519A3DC}" name="Column13687"/>
    <tableColumn id="13706" xr3:uid="{75740EDC-3A79-B84B-8644-25EBA140B54C}" name="Column13688"/>
    <tableColumn id="13707" xr3:uid="{560BF892-BCE7-0A45-905D-CF099DD62B8A}" name="Column13689"/>
    <tableColumn id="13708" xr3:uid="{3562CEC1-C62D-4044-9403-CBCB32AECF7C}" name="Column13690"/>
    <tableColumn id="13709" xr3:uid="{2227E31C-2A98-4C49-ABE1-039A827D4E9B}" name="Column13691"/>
    <tableColumn id="13710" xr3:uid="{8A2343ED-0100-3849-9A15-F38A4AE5B4E3}" name="Column13692"/>
    <tableColumn id="13711" xr3:uid="{7EB0875D-D216-4C4D-8EFE-2E7B66D2A6F6}" name="Column13693"/>
    <tableColumn id="13712" xr3:uid="{CB5328F4-BCF4-7149-90B4-4E1FF4D3FDF8}" name="Column13694"/>
    <tableColumn id="13713" xr3:uid="{C5E3AA36-F954-D54D-BB2B-E8F62228FE83}" name="Column13695"/>
    <tableColumn id="13714" xr3:uid="{43289FB8-2786-9A48-A4B0-ACBA5425F615}" name="Column13696"/>
    <tableColumn id="13715" xr3:uid="{76A8797B-50DE-E14B-AFFE-D1EAAA38D55C}" name="Column13697"/>
    <tableColumn id="13716" xr3:uid="{8421BB36-345B-AD4B-9A12-16B3F7733902}" name="Column13698"/>
    <tableColumn id="13717" xr3:uid="{A9A2F39D-232E-3B45-B6B9-0D24B15EAC71}" name="Column13699"/>
    <tableColumn id="13718" xr3:uid="{7788CEFC-6973-2148-9895-956CCECD4223}" name="Column13700"/>
    <tableColumn id="13719" xr3:uid="{3CD53EFC-A9F9-D342-9C64-B02EDAE420E7}" name="Column13701"/>
    <tableColumn id="13720" xr3:uid="{0ED177E3-EC73-EA42-9006-BC22877B8974}" name="Column13702"/>
    <tableColumn id="13721" xr3:uid="{BE142CC7-2E92-5F42-966D-E0CFB34F85A3}" name="Column13703"/>
    <tableColumn id="13722" xr3:uid="{D6E1552D-D053-504A-A388-1C08CE2EE646}" name="Column13704"/>
    <tableColumn id="13723" xr3:uid="{E9D50D4F-95FE-8846-A00B-D5B23BBDD29E}" name="Column13705"/>
    <tableColumn id="13724" xr3:uid="{AF859661-9708-FD41-92AB-D50FC1354C95}" name="Column13706"/>
    <tableColumn id="13725" xr3:uid="{65EBAE87-6EBF-E94B-9B65-75CB2E025A68}" name="Column13707"/>
    <tableColumn id="13726" xr3:uid="{62555951-AFAD-3A4A-8DCB-DA57307A0B8D}" name="Column13708"/>
    <tableColumn id="13727" xr3:uid="{91F3C184-684A-FF41-8A20-CCB4A0850DFA}" name="Column13709"/>
    <tableColumn id="13728" xr3:uid="{8CCB94DC-F4B2-B846-8DA6-8EE3D34430AF}" name="Column13710"/>
    <tableColumn id="13729" xr3:uid="{C3F27DD2-1693-AA4A-B2C4-2429BAA34792}" name="Column13711"/>
    <tableColumn id="13730" xr3:uid="{BA7840A2-3E94-ED4A-BCC7-56111B484B3F}" name="Column13712"/>
    <tableColumn id="13731" xr3:uid="{183DE57E-73F7-6648-963D-56C9C0C9A5E3}" name="Column13713"/>
    <tableColumn id="13732" xr3:uid="{1F6A856E-10B7-0D48-B870-95521285D332}" name="Column13714"/>
    <tableColumn id="13733" xr3:uid="{6A7D16F9-FEC3-7E45-A8ED-D45595286572}" name="Column13715"/>
    <tableColumn id="13734" xr3:uid="{3C70D6F4-FED1-214A-A7F6-6C3BC8E881F0}" name="Column13716"/>
    <tableColumn id="13735" xr3:uid="{CE72A8F6-6774-1946-98F2-A177D6917247}" name="Column13717"/>
    <tableColumn id="13736" xr3:uid="{3F7A1339-FB26-6A4B-AB25-765745DA5E61}" name="Column13718"/>
    <tableColumn id="13737" xr3:uid="{D34DE221-A2CE-A747-80D7-DC4069F7C326}" name="Column13719"/>
    <tableColumn id="13738" xr3:uid="{CCDBEB7A-6ECE-AA4C-B12D-0D825C563E7B}" name="Column13720"/>
    <tableColumn id="13739" xr3:uid="{74C91E59-3466-2347-A62B-1C2D30D09337}" name="Column13721"/>
    <tableColumn id="13740" xr3:uid="{9909F978-523F-B74F-A3B6-CD7D6D8BB680}" name="Column13722"/>
    <tableColumn id="13741" xr3:uid="{DC8F975A-41B3-6845-8A2E-DD1EC56156CF}" name="Column13723"/>
    <tableColumn id="13742" xr3:uid="{12461AC2-16AF-3945-8024-47C339E7EB31}" name="Column13724"/>
    <tableColumn id="13743" xr3:uid="{08C40DAE-92F0-194F-BB00-D1157371A8FB}" name="Column13725"/>
    <tableColumn id="13744" xr3:uid="{3F63B560-8AC9-914B-BE23-2AC679C42D05}" name="Column13726"/>
    <tableColumn id="13745" xr3:uid="{E2856682-08B5-4C42-BF64-F54B23155156}" name="Column13727"/>
    <tableColumn id="13746" xr3:uid="{1E8CEF76-51F5-504E-8405-A6434C302DBE}" name="Column13728"/>
    <tableColumn id="13747" xr3:uid="{89F178A5-1146-C348-9011-AB1227E48AC7}" name="Column13729"/>
    <tableColumn id="13748" xr3:uid="{6987E21C-B24D-C448-A24B-66362A384E89}" name="Column13730"/>
    <tableColumn id="13749" xr3:uid="{0DF0D491-2CE1-864B-B108-1467C457D21C}" name="Column13731"/>
    <tableColumn id="13750" xr3:uid="{2348D122-A0B0-E64E-9CA9-D4EF4F7391FE}" name="Column13732"/>
    <tableColumn id="13751" xr3:uid="{5F93F8E0-60AF-E145-8FB2-7514D97814D7}" name="Column13733"/>
    <tableColumn id="13752" xr3:uid="{1D46E5AD-D035-5048-BACD-425D30EF759B}" name="Column13734"/>
    <tableColumn id="13753" xr3:uid="{D2D46275-8BF0-4A43-AF4D-0CF2362207B1}" name="Column13735"/>
    <tableColumn id="13754" xr3:uid="{B1FB3F55-CAD9-0648-A713-F7344EAC8B12}" name="Column13736"/>
    <tableColumn id="13755" xr3:uid="{2B65E4EA-5009-CB4D-9DFE-F2CB4897B0BA}" name="Column13737"/>
    <tableColumn id="13756" xr3:uid="{2F813646-6734-EA40-AA8E-2FA0F1E1FCDE}" name="Column13738"/>
    <tableColumn id="13757" xr3:uid="{A5CFC2A5-342A-734B-8D79-F1689FBD859B}" name="Column13739"/>
    <tableColumn id="13758" xr3:uid="{F42B83F4-A0CF-194D-8AAC-EE6C918FC767}" name="Column13740"/>
    <tableColumn id="13759" xr3:uid="{2FB78E35-664A-264B-9856-046F668A150E}" name="Column13741"/>
    <tableColumn id="13760" xr3:uid="{CD2A523D-4B32-1A42-8990-7D631D4C173D}" name="Column13742"/>
    <tableColumn id="13761" xr3:uid="{2BD3345C-9995-6C41-B32E-4CB71488641E}" name="Column13743"/>
    <tableColumn id="13762" xr3:uid="{AB8717C3-2B58-EF4C-9E51-4A9C6E2CF9DE}" name="Column13744"/>
    <tableColumn id="13763" xr3:uid="{54543CC5-12D8-D547-A205-1B9AF1FD13D9}" name="Column13745"/>
    <tableColumn id="13764" xr3:uid="{B7C993B2-509B-EC42-B30C-E19EEDBC8879}" name="Column13746"/>
    <tableColumn id="13765" xr3:uid="{0215B55F-D2DC-134C-B54C-6886FE390DBD}" name="Column13747"/>
    <tableColumn id="13766" xr3:uid="{3E31C60B-5061-9949-90AF-08B4086462EC}" name="Column13748"/>
    <tableColumn id="13767" xr3:uid="{73981EBD-15A1-8242-8E17-A74413486DDC}" name="Column13749"/>
    <tableColumn id="13768" xr3:uid="{76C93ED3-B002-4F47-83EC-931F070BC8C7}" name="Column13750"/>
    <tableColumn id="13769" xr3:uid="{8FB287E5-7813-A140-8D52-2D76DD62236B}" name="Column13751"/>
    <tableColumn id="13770" xr3:uid="{EB7766D8-E4A5-5845-BFE1-18F70B654600}" name="Column13752"/>
    <tableColumn id="13771" xr3:uid="{E9C8C361-ACCA-0349-B015-A691D665DAE7}" name="Column13753"/>
    <tableColumn id="13772" xr3:uid="{19C2266F-945A-0041-96C4-A40899A84069}" name="Column13754"/>
    <tableColumn id="13773" xr3:uid="{42F64ABF-580C-D14C-B323-F6B61AF77AE0}" name="Column13755"/>
    <tableColumn id="13774" xr3:uid="{669DB152-3130-004F-B20A-51262F34FAF2}" name="Column13756"/>
    <tableColumn id="13775" xr3:uid="{0209634F-2E0A-F743-9B73-8FFABD60CF5C}" name="Column13757"/>
    <tableColumn id="13776" xr3:uid="{73EB5DF1-5EB5-3240-9B23-1244A56F4ED3}" name="Column13758"/>
    <tableColumn id="13777" xr3:uid="{C11EB2E2-59E2-6340-93B8-CB3580499CDA}" name="Column13759"/>
    <tableColumn id="13778" xr3:uid="{AFE04FC8-3141-3D4A-9424-40D8F3C0C7E5}" name="Column13760"/>
    <tableColumn id="13779" xr3:uid="{17D186E5-5926-114C-B896-D3C6A2A9310C}" name="Column13761"/>
    <tableColumn id="13780" xr3:uid="{CAF9F5F8-B8A3-EB41-B080-CDC8A79B524C}" name="Column13762"/>
    <tableColumn id="13781" xr3:uid="{31987D78-20A1-9A45-9241-B8455FEE446D}" name="Column13763"/>
    <tableColumn id="13782" xr3:uid="{E32F4474-39EB-674F-A135-C7F89ABA0018}" name="Column13764"/>
    <tableColumn id="13783" xr3:uid="{C8E10EE2-5936-CB4B-8EB4-1C0BEA65D307}" name="Column13765"/>
    <tableColumn id="13784" xr3:uid="{1E50E670-FF1B-304F-87A6-82982B9BD3DF}" name="Column13766"/>
    <tableColumn id="13785" xr3:uid="{CD59F513-349C-B243-AC76-36277BDABB21}" name="Column13767"/>
    <tableColumn id="13786" xr3:uid="{AB673AEB-1F3A-C846-A8D2-9DA3C093BBA9}" name="Column13768"/>
    <tableColumn id="13787" xr3:uid="{8EE6984D-8339-B94A-8A82-FF3AAB1094CF}" name="Column13769"/>
    <tableColumn id="13788" xr3:uid="{DF8DD402-9F86-A34B-9184-081B5E79887E}" name="Column13770"/>
    <tableColumn id="13789" xr3:uid="{B5C2FAEC-D0F4-2941-B7CD-CCD08A420B60}" name="Column13771"/>
    <tableColumn id="13790" xr3:uid="{8C886F4F-6B2E-CE46-A072-941451F87CCF}" name="Column13772"/>
    <tableColumn id="13791" xr3:uid="{EB080368-46AD-EB42-84A4-64D94B682BE7}" name="Column13773"/>
    <tableColumn id="13792" xr3:uid="{920E73F0-8FC3-F54A-B575-CA4212AEA962}" name="Column13774"/>
    <tableColumn id="13793" xr3:uid="{01F0C201-127F-C74D-B48D-E1C58411A4F7}" name="Column13775"/>
    <tableColumn id="13794" xr3:uid="{76FE9064-C1D5-3B46-9187-3FC2633CD57C}" name="Column13776"/>
    <tableColumn id="13795" xr3:uid="{D4D69BD1-EB51-044C-8E65-391AD86B675A}" name="Column13777"/>
    <tableColumn id="13796" xr3:uid="{ADDA499B-491A-C841-8F72-34C03529A541}" name="Column13778"/>
    <tableColumn id="13797" xr3:uid="{03B7567C-829C-2246-A754-2A3D701EDC7F}" name="Column13779"/>
    <tableColumn id="13798" xr3:uid="{995797E1-D2C6-984B-A340-8415D1C5D65A}" name="Column13780"/>
    <tableColumn id="13799" xr3:uid="{5FB581BF-687B-A640-B71A-81DA8CAF7120}" name="Column13781"/>
    <tableColumn id="13800" xr3:uid="{91C70F10-584C-7347-A26E-FF27403C10AB}" name="Column13782"/>
    <tableColumn id="13801" xr3:uid="{ABF1E802-5A40-744F-9157-737B63DFABC7}" name="Column13783"/>
    <tableColumn id="13802" xr3:uid="{F3B7A203-CEE3-9042-BC92-92E69E409AC1}" name="Column13784"/>
    <tableColumn id="13803" xr3:uid="{3CC63CC2-9E25-EC40-A9FA-F852A5FAFB5C}" name="Column13785"/>
    <tableColumn id="13804" xr3:uid="{321B6155-E685-024D-AA3F-8972C34C0638}" name="Column13786"/>
    <tableColumn id="13805" xr3:uid="{63C5A1D2-9760-8446-9B7F-B938E1D55F5E}" name="Column13787"/>
    <tableColumn id="13806" xr3:uid="{07F42C9E-F303-0B4A-9BDE-B5E5C6D12089}" name="Column13788"/>
    <tableColumn id="13807" xr3:uid="{260B1116-A1C1-D244-AB06-2733CE3485EF}" name="Column13789"/>
    <tableColumn id="13808" xr3:uid="{E3CA3CC8-8DEC-AA4C-8FE2-D7C1C65A3652}" name="Column13790"/>
    <tableColumn id="13809" xr3:uid="{B56BE24B-8A84-5243-854D-39BA30143B9E}" name="Column13791"/>
    <tableColumn id="13810" xr3:uid="{E2E92113-546B-CC46-AED9-C8A2AD841FC6}" name="Column13792"/>
    <tableColumn id="13811" xr3:uid="{06D4D819-5F5B-8045-B274-1183AF6CF278}" name="Column13793"/>
    <tableColumn id="13812" xr3:uid="{A2F61581-28C2-964D-B400-040D0FF29D51}" name="Column13794"/>
    <tableColumn id="13813" xr3:uid="{075BFC9A-BF03-9149-B0DC-804027E412B9}" name="Column13795"/>
    <tableColumn id="13814" xr3:uid="{2D5F9D37-A670-3E4A-AC27-06BE5B99947C}" name="Column13796"/>
    <tableColumn id="13815" xr3:uid="{311D8381-AE23-DF41-8B1A-C7341883425F}" name="Column13797"/>
    <tableColumn id="13816" xr3:uid="{845E3251-E5B7-3542-8B70-D8BF4B341B8F}" name="Column13798"/>
    <tableColumn id="13817" xr3:uid="{87EE925A-2057-F848-98F3-D8BC1E5DE781}" name="Column13799"/>
    <tableColumn id="13818" xr3:uid="{B82D1283-7BEE-CF47-97BD-4877F3B1BF0B}" name="Column13800"/>
    <tableColumn id="13819" xr3:uid="{19E77525-2B2C-D048-ABC2-C2FDC2E01452}" name="Column13801"/>
    <tableColumn id="13820" xr3:uid="{27B7CDAC-5A2E-A74B-B838-D28343B349FB}" name="Column13802"/>
    <tableColumn id="13821" xr3:uid="{856BD6FA-78D6-6C4C-8C2D-7725AC20D34C}" name="Column13803"/>
    <tableColumn id="13822" xr3:uid="{FE14942E-574D-544D-996F-78F06C7B90D0}" name="Column13804"/>
    <tableColumn id="13823" xr3:uid="{75FB4233-F106-7045-96EA-318E5623321D}" name="Column13805"/>
    <tableColumn id="13824" xr3:uid="{8193BDB3-8A67-7B48-B87F-E4B9B5097C04}" name="Column13806"/>
    <tableColumn id="13825" xr3:uid="{A5AC38FC-1436-324C-97DE-16B44CF62B35}" name="Column13807"/>
    <tableColumn id="13826" xr3:uid="{2AF82F7A-CBC4-E740-B0DD-31312B350E1F}" name="Column13808"/>
    <tableColumn id="13827" xr3:uid="{520377A9-D8EC-9B46-9095-50F6ADD47D6B}" name="Column13809"/>
    <tableColumn id="13828" xr3:uid="{6C99BF6F-188A-994D-A88B-4B61A6AA94E5}" name="Column13810"/>
    <tableColumn id="13829" xr3:uid="{8A8E05FB-1539-0046-B057-995BBE8606E0}" name="Column13811"/>
    <tableColumn id="13830" xr3:uid="{EE4E76F5-90C2-E64E-96C6-EF857DC5962F}" name="Column13812"/>
    <tableColumn id="13831" xr3:uid="{4481F990-B9AF-EC46-8183-C0A1081FE78A}" name="Column13813"/>
    <tableColumn id="13832" xr3:uid="{096C35D1-A1A1-F746-B314-6C1B79EBF856}" name="Column13814"/>
    <tableColumn id="13833" xr3:uid="{BCE1FA35-C8CA-E349-91DD-16F89443B0A8}" name="Column13815"/>
    <tableColumn id="13834" xr3:uid="{98803693-7D60-4B42-AF1D-B1FE7AEAE159}" name="Column13816"/>
    <tableColumn id="13835" xr3:uid="{488E0366-0789-5649-A9DA-CDF1C51E35C1}" name="Column13817"/>
    <tableColumn id="13836" xr3:uid="{2494EBB6-78E3-2C47-B9CA-7A8B0367E98E}" name="Column13818"/>
    <tableColumn id="13837" xr3:uid="{55542308-98F6-FF45-A82E-23CF64528535}" name="Column13819"/>
    <tableColumn id="13838" xr3:uid="{DE81E71A-C0A0-444E-B7B0-A1662182814C}" name="Column13820"/>
    <tableColumn id="13839" xr3:uid="{EFC69D23-7EE1-F147-A655-8EFBC2FDB4B5}" name="Column13821"/>
    <tableColumn id="13840" xr3:uid="{8EACAA05-ABEA-B143-BD15-2B1BCAB3C739}" name="Column13822"/>
    <tableColumn id="13841" xr3:uid="{52D66CCC-ECC2-3341-B99C-CEA79E19B64A}" name="Column13823"/>
    <tableColumn id="13842" xr3:uid="{4D5BB172-126A-F442-B078-1ED71A0D2FDA}" name="Column13824"/>
    <tableColumn id="13843" xr3:uid="{D0E43826-E3E3-5C44-901D-FBAFA2653FBD}" name="Column13825"/>
    <tableColumn id="13844" xr3:uid="{37BFFDED-B488-BF46-A3F2-418D02A78583}" name="Column13826"/>
    <tableColumn id="13845" xr3:uid="{12DDF6B9-C8F0-DE46-80F7-C02DF379AA28}" name="Column13827"/>
    <tableColumn id="13846" xr3:uid="{7B0C17BE-F325-A141-B6C0-2794EDA505DD}" name="Column13828"/>
    <tableColumn id="13847" xr3:uid="{E8416847-B20F-914D-B258-915A382FC5D2}" name="Column13829"/>
    <tableColumn id="13848" xr3:uid="{E68A4DAF-F156-4B46-B5CB-0A3C9ABC0AE3}" name="Column13830"/>
    <tableColumn id="13849" xr3:uid="{50914F72-59AB-E74B-A8DE-A8EC5FE613D3}" name="Column13831"/>
    <tableColumn id="13850" xr3:uid="{4F213AAF-CFCE-274A-9381-2E82C11FE438}" name="Column13832"/>
    <tableColumn id="13851" xr3:uid="{72D8588E-C59D-D243-9B9A-5B0BDAEDE809}" name="Column13833"/>
    <tableColumn id="13852" xr3:uid="{88195A5B-4CE3-2443-957B-529F71D6E82E}" name="Column13834"/>
    <tableColumn id="13853" xr3:uid="{3264AD53-8394-EC46-9697-C8BD690AF41F}" name="Column13835"/>
    <tableColumn id="13854" xr3:uid="{47B4E3D1-ED85-0D4F-8D8E-5B135A00A0F5}" name="Column13836"/>
    <tableColumn id="13855" xr3:uid="{288C5035-74D9-9747-9397-B1B889CA6111}" name="Column13837"/>
    <tableColumn id="13856" xr3:uid="{7D74CB3A-8CB0-3947-8C46-1B23BD7E47D9}" name="Column13838"/>
    <tableColumn id="13857" xr3:uid="{FB915DA8-DF4B-F944-BDA2-AE46A3531636}" name="Column13839"/>
    <tableColumn id="13858" xr3:uid="{6740D880-8D1A-C945-9858-83F7361CC512}" name="Column13840"/>
    <tableColumn id="13859" xr3:uid="{B073E5A3-90E9-4E41-A423-FA6B8A77BD8E}" name="Column13841"/>
    <tableColumn id="13860" xr3:uid="{FB1AC569-2E53-024E-9B52-7EF961D8A31D}" name="Column13842"/>
    <tableColumn id="13861" xr3:uid="{85581C74-61B6-0A44-A200-C70DE4136726}" name="Column13843"/>
    <tableColumn id="13862" xr3:uid="{8F3B7F9E-D8BA-4F4A-8D29-992043FE0035}" name="Column13844"/>
    <tableColumn id="13863" xr3:uid="{C2D65FEF-4209-EB4F-BBC7-09BD52F3AD2B}" name="Column13845"/>
    <tableColumn id="13864" xr3:uid="{0102180A-AF01-E04D-8822-C54316ADE250}" name="Column13846"/>
    <tableColumn id="13865" xr3:uid="{7AF0F74D-668D-C24E-AC67-B0D5BD513934}" name="Column13847"/>
    <tableColumn id="13866" xr3:uid="{727AEEA6-B5EB-3B41-9F8B-831FF4023797}" name="Column13848"/>
    <tableColumn id="13867" xr3:uid="{31A7217C-FCCF-1F4B-9A81-F06BD614D88A}" name="Column13849"/>
    <tableColumn id="13868" xr3:uid="{F47D8ED9-D566-8344-A95A-6EF0C6D8ADBE}" name="Column13850"/>
    <tableColumn id="13869" xr3:uid="{44408C79-03C7-F544-BBB1-0F349BCB8154}" name="Column13851"/>
    <tableColumn id="13870" xr3:uid="{7974214D-AA28-084F-938F-E388B47CA10E}" name="Column13852"/>
    <tableColumn id="13871" xr3:uid="{85EC4B47-9173-054E-901C-10F6334F115E}" name="Column13853"/>
    <tableColumn id="13872" xr3:uid="{F2AD035C-64D4-5643-A4FE-1D9637A32DFD}" name="Column13854"/>
    <tableColumn id="13873" xr3:uid="{A7E3EC8C-2B6F-944C-834E-415CC0389651}" name="Column13855"/>
    <tableColumn id="13874" xr3:uid="{ABD0090B-0185-504E-9690-17536A0942A4}" name="Column13856"/>
    <tableColumn id="13875" xr3:uid="{BC080AA4-8139-DD44-8366-66494AB7A2B7}" name="Column13857"/>
    <tableColumn id="13876" xr3:uid="{FD338FCE-7642-1941-A9D4-B7C4416BCFCD}" name="Column13858"/>
    <tableColumn id="13877" xr3:uid="{940F7CA4-04DD-D34B-8DCF-99DA11D9FF50}" name="Column13859"/>
    <tableColumn id="13878" xr3:uid="{79336EF5-6C15-924D-BCDC-F9EB31589618}" name="Column13860"/>
    <tableColumn id="13879" xr3:uid="{9445BF9D-D045-5C45-B10A-F1E2A37B50AB}" name="Column13861"/>
    <tableColumn id="13880" xr3:uid="{FB54987A-793F-154B-8A34-2B0DC1E8CA8D}" name="Column13862"/>
    <tableColumn id="13881" xr3:uid="{77959C0D-5008-E44E-9609-F96B376B0D87}" name="Column13863"/>
    <tableColumn id="13882" xr3:uid="{32A9C639-A075-2042-AA89-88D9BE182B0E}" name="Column13864"/>
    <tableColumn id="13883" xr3:uid="{4030A243-1DF9-8245-B6AD-74500F5CCBC6}" name="Column13865"/>
    <tableColumn id="13884" xr3:uid="{9CF7EDF7-4392-0C41-972B-B5531FD6F2DA}" name="Column13866"/>
    <tableColumn id="13885" xr3:uid="{41FBC926-6D7D-F64B-B7F2-03652F1D4A90}" name="Column13867"/>
    <tableColumn id="13886" xr3:uid="{25AAB1CF-C04A-6C40-BDD4-EF1EC211639C}" name="Column13868"/>
    <tableColumn id="13887" xr3:uid="{AA448A27-AF96-1D40-9B05-C22B95256021}" name="Column13869"/>
    <tableColumn id="13888" xr3:uid="{A503D2D2-66D4-A04F-9168-DC7D4EE0FE1A}" name="Column13870"/>
    <tableColumn id="13889" xr3:uid="{37D75F91-D8D1-644C-B150-D8417ED95320}" name="Column13871"/>
    <tableColumn id="13890" xr3:uid="{75782C0D-6921-864F-8EF3-1C640D449E70}" name="Column13872"/>
    <tableColumn id="13891" xr3:uid="{2793D6E5-2A82-F942-BBE6-9970B6BCD2B7}" name="Column13873"/>
    <tableColumn id="13892" xr3:uid="{89B46007-04CC-0644-8851-6C78DC9B0D69}" name="Column13874"/>
    <tableColumn id="13893" xr3:uid="{2B0D1D76-350B-7E4C-BFCC-3B5E2275F114}" name="Column13875"/>
    <tableColumn id="13894" xr3:uid="{C05DCA37-D48B-4B44-AF79-57E0E9A351B0}" name="Column13876"/>
    <tableColumn id="13895" xr3:uid="{9F6008C8-D9D8-8440-AE68-3E35E845ABA7}" name="Column13877"/>
    <tableColumn id="13896" xr3:uid="{E65127D0-37FA-1F43-866F-5B3E621EB051}" name="Column13878"/>
    <tableColumn id="13897" xr3:uid="{F8FC55BE-4DF8-0B45-828A-7EF98249934C}" name="Column13879"/>
    <tableColumn id="13898" xr3:uid="{1CAD9C19-0D13-4E4E-B294-691C0EAFE446}" name="Column13880"/>
    <tableColumn id="13899" xr3:uid="{17F2F6FF-4B35-174B-A6E6-FD79F842C775}" name="Column13881"/>
    <tableColumn id="13900" xr3:uid="{C5B1AFD8-0EA0-B045-9938-9A18CF08BC97}" name="Column13882"/>
    <tableColumn id="13901" xr3:uid="{0BD3929E-89D8-4A41-9538-98891C501436}" name="Column13883"/>
    <tableColumn id="13902" xr3:uid="{93FE598F-F5E2-3749-A397-B7F406FCBAAC}" name="Column13884"/>
    <tableColumn id="13903" xr3:uid="{84CDE55C-E7B8-EE40-B28B-4D204AB96AF5}" name="Column13885"/>
    <tableColumn id="13904" xr3:uid="{46DEA018-EFC3-0B4B-B969-A75939694A2A}" name="Column13886"/>
    <tableColumn id="13905" xr3:uid="{DE0688B0-16D9-3C44-9555-ED5251F6C667}" name="Column13887"/>
    <tableColumn id="13906" xr3:uid="{CEBE2193-5E37-E541-8328-22F42AD2AA52}" name="Column13888"/>
    <tableColumn id="13907" xr3:uid="{D3C05A90-34A6-B546-A720-31E03516D6C1}" name="Column13889"/>
    <tableColumn id="13908" xr3:uid="{B83642A6-8B03-C54D-939D-D3F17FFD3AA7}" name="Column13890"/>
    <tableColumn id="13909" xr3:uid="{4B59C49C-1899-D648-9186-1247E4882910}" name="Column13891"/>
    <tableColumn id="13910" xr3:uid="{A1ADC91F-1580-1447-A67E-5F85D5060B49}" name="Column13892"/>
    <tableColumn id="13911" xr3:uid="{D50E478E-EF55-0244-BFAE-F6876DB28978}" name="Column13893"/>
    <tableColumn id="13912" xr3:uid="{FD7B4A66-F351-4D4C-A7EB-0EB3EE9B4673}" name="Column13894"/>
    <tableColumn id="13913" xr3:uid="{9F273608-4DA8-B44A-80D4-D3737B9F1391}" name="Column13895"/>
    <tableColumn id="13914" xr3:uid="{795E09C5-CA32-8348-BB90-1FC858963542}" name="Column13896"/>
    <tableColumn id="13915" xr3:uid="{C4B74FF3-F4A1-6648-AD3C-361AC728BB6C}" name="Column13897"/>
    <tableColumn id="13916" xr3:uid="{8D76F7BB-3835-5E4B-802E-A7BEC15DDDD4}" name="Column13898"/>
    <tableColumn id="13917" xr3:uid="{3631CA06-A1EB-0540-A14B-7256D26F7A3A}" name="Column13899"/>
    <tableColumn id="13918" xr3:uid="{8CBD3989-2A12-A848-9B68-14402AC628A0}" name="Column13900"/>
    <tableColumn id="13919" xr3:uid="{9FB2C070-7996-A749-9A15-CE8E6E40A184}" name="Column13901"/>
    <tableColumn id="13920" xr3:uid="{9C73A264-66B0-E143-997B-D69161440041}" name="Column13902"/>
    <tableColumn id="13921" xr3:uid="{6D37E7C8-A4A3-2C47-ABF4-067E0D1D2374}" name="Column13903"/>
    <tableColumn id="13922" xr3:uid="{E7E72783-4200-D241-87C9-397737143142}" name="Column13904"/>
    <tableColumn id="13923" xr3:uid="{50222DA4-2D85-A443-81C5-975615F7AF5A}" name="Column13905"/>
    <tableColumn id="13924" xr3:uid="{4B0DFE27-90F6-A544-AFC6-015C4562ED81}" name="Column13906"/>
    <tableColumn id="13925" xr3:uid="{C9CEF74C-1C20-824D-A9DC-CF46328C066E}" name="Column13907"/>
    <tableColumn id="13926" xr3:uid="{CCB601C7-947B-E940-AC00-2F16B1FD030D}" name="Column13908"/>
    <tableColumn id="13927" xr3:uid="{2D331A76-0B18-4B4B-9DA5-41585902157B}" name="Column13909"/>
    <tableColumn id="13928" xr3:uid="{111827B1-757C-6A47-A984-53830436AA0D}" name="Column13910"/>
    <tableColumn id="13929" xr3:uid="{869FBCA4-9A0C-364B-97AD-26F30C1BB60F}" name="Column13911"/>
    <tableColumn id="13930" xr3:uid="{E706DC0E-FA98-B149-BF88-F9FE54C10020}" name="Column13912"/>
    <tableColumn id="13931" xr3:uid="{ADBA81AD-9419-4841-8EC7-7D9B2601A8ED}" name="Column13913"/>
    <tableColumn id="13932" xr3:uid="{87484BB4-AAD5-E44B-8470-4CC957244188}" name="Column13914"/>
    <tableColumn id="13933" xr3:uid="{36E537B5-2ED9-CE42-AB73-8E1DC7CD8F82}" name="Column13915"/>
    <tableColumn id="13934" xr3:uid="{2039C1B2-68FA-BC4E-83C4-5A2638021903}" name="Column13916"/>
    <tableColumn id="13935" xr3:uid="{19841280-5A7D-A34F-ACA7-1647C0E9DB66}" name="Column13917"/>
    <tableColumn id="13936" xr3:uid="{3D9E4401-ADFE-264D-9527-BCF52024E361}" name="Column13918"/>
    <tableColumn id="13937" xr3:uid="{8B260456-9BBF-784F-9B4E-E392001186AD}" name="Column13919"/>
    <tableColumn id="13938" xr3:uid="{ECE5E7E7-5D71-A545-82C8-4258F7AB33FB}" name="Column13920"/>
    <tableColumn id="13939" xr3:uid="{A2CB9FF1-CCFA-2641-B739-F034D8442866}" name="Column13921"/>
    <tableColumn id="13940" xr3:uid="{E0A5F0A2-1BE8-B74E-BDB3-7E25ACBB7C36}" name="Column13922"/>
    <tableColumn id="13941" xr3:uid="{FC018503-8D04-0B47-8FC2-1696029334A5}" name="Column13923"/>
    <tableColumn id="13942" xr3:uid="{E6AD001D-5F75-C443-8D3E-58DC0FEF36A1}" name="Column13924"/>
    <tableColumn id="13943" xr3:uid="{EDDD2987-D9A5-E944-B3FC-9B4F09719009}" name="Column13925"/>
    <tableColumn id="13944" xr3:uid="{7E15EA92-6FF4-624D-9D6C-73AA7AB3C438}" name="Column13926"/>
    <tableColumn id="13945" xr3:uid="{1BB588E7-7608-4944-88BF-299AFC9B0FE0}" name="Column13927"/>
    <tableColumn id="13946" xr3:uid="{FEEFABE6-93EC-2E4F-83E0-D122DA33181B}" name="Column13928"/>
    <tableColumn id="13947" xr3:uid="{9D2AF3AC-97C1-3E41-AB40-EB2496686B80}" name="Column13929"/>
    <tableColumn id="13948" xr3:uid="{A577C49E-ACE5-7147-A532-85ACB4350418}" name="Column13930"/>
    <tableColumn id="13949" xr3:uid="{12C508FE-BE8C-084C-8123-D12F047B3AF6}" name="Column13931"/>
    <tableColumn id="13950" xr3:uid="{4B44DBE4-71BF-1D48-8239-D5BCF8DF3EFB}" name="Column13932"/>
    <tableColumn id="13951" xr3:uid="{8DF20438-9159-A14B-B21A-3DBB911B2CC4}" name="Column13933"/>
    <tableColumn id="13952" xr3:uid="{3E8F93DB-CAD4-2A4A-8B30-F5A291261A51}" name="Column13934"/>
    <tableColumn id="13953" xr3:uid="{CEECB87F-94AD-5548-A9E5-58A2F879AF1E}" name="Column13935"/>
    <tableColumn id="13954" xr3:uid="{EAF659F1-59E0-6141-B6BA-D1E6BD647CC9}" name="Column13936"/>
    <tableColumn id="13955" xr3:uid="{1D6B2D1A-091C-624B-AED7-495EF7C7C071}" name="Column13937"/>
    <tableColumn id="13956" xr3:uid="{FF858B40-1AE3-334D-B04C-0B798110F3C3}" name="Column13938"/>
    <tableColumn id="13957" xr3:uid="{E2146AC7-A46F-E048-A6A6-1B1242E1DEEC}" name="Column13939"/>
    <tableColumn id="13958" xr3:uid="{C84E0CEC-7A04-D740-8ED9-96CC82238B23}" name="Column13940"/>
    <tableColumn id="13959" xr3:uid="{3DF11415-0599-C640-80C9-757B45F92DD2}" name="Column13941"/>
    <tableColumn id="13960" xr3:uid="{C9CDA930-811D-6948-BC73-6D2643599169}" name="Column13942"/>
    <tableColumn id="13961" xr3:uid="{5E09EE26-01C7-4744-BDDF-A6034C1CFA99}" name="Column13943"/>
    <tableColumn id="13962" xr3:uid="{EB3D74BC-2BE5-1447-9A02-EF699AF46F61}" name="Column13944"/>
    <tableColumn id="13963" xr3:uid="{BDEBABAD-9F39-DC45-B79F-DE92D18235DB}" name="Column13945"/>
    <tableColumn id="13964" xr3:uid="{60D37A09-253B-B64A-BBC6-52342FE55306}" name="Column13946"/>
    <tableColumn id="13965" xr3:uid="{B56D5E93-ECFE-0B40-8C70-B5555B5BEFFF}" name="Column13947"/>
    <tableColumn id="13966" xr3:uid="{82E406B5-6D68-BF44-AE14-32969C1AB69E}" name="Column13948"/>
    <tableColumn id="13967" xr3:uid="{16D123E1-05C3-2A42-8944-AE1F4293CF99}" name="Column13949"/>
    <tableColumn id="13968" xr3:uid="{677475E2-7C4F-FD42-B79F-BFC1835318D4}" name="Column13950"/>
    <tableColumn id="13969" xr3:uid="{2AF30EA7-82D3-1049-B2CE-102B08E26566}" name="Column13951"/>
    <tableColumn id="13970" xr3:uid="{68CAE620-5494-2748-B587-185C8A46D26D}" name="Column13952"/>
    <tableColumn id="13971" xr3:uid="{530C10EF-0884-4D46-84EC-9D46D5B1139C}" name="Column13953"/>
    <tableColumn id="13972" xr3:uid="{D89429CD-A91A-6C46-B532-EDCE56A1AB8F}" name="Column13954"/>
    <tableColumn id="13973" xr3:uid="{7C4B1D7B-2E24-C541-B8BC-73FD04BCC4AF}" name="Column13955"/>
    <tableColumn id="13974" xr3:uid="{1B0560BD-5DD4-F34F-A5FE-AFDA4388802E}" name="Column13956"/>
    <tableColumn id="13975" xr3:uid="{3CB6617B-3264-F94C-8680-3A36C6CDCC93}" name="Column13957"/>
    <tableColumn id="13976" xr3:uid="{A767AEE5-5A08-1A49-B42F-B9D9AFEADFDD}" name="Column13958"/>
    <tableColumn id="13977" xr3:uid="{3B756EAE-C51E-1248-95BA-60E597CBCED2}" name="Column13959"/>
    <tableColumn id="13978" xr3:uid="{3432304D-C64D-C246-A194-C151E4EAB96F}" name="Column13960"/>
    <tableColumn id="13979" xr3:uid="{BEE053EA-E169-714D-82A7-A98679367AAD}" name="Column13961"/>
    <tableColumn id="13980" xr3:uid="{3F55E0A1-5937-4348-9BBB-463E2E4AD658}" name="Column13962"/>
    <tableColumn id="13981" xr3:uid="{57D8943A-DB3D-7946-A7F3-460260B1B700}" name="Column13963"/>
    <tableColumn id="13982" xr3:uid="{986F8E46-53E9-164B-8040-4B44D25B3070}" name="Column13964"/>
    <tableColumn id="13983" xr3:uid="{36394DFA-4973-0E48-A491-129574509CC9}" name="Column13965"/>
    <tableColumn id="13984" xr3:uid="{438085A6-8D8B-EE49-AFEA-E8F92C4D0F84}" name="Column13966"/>
    <tableColumn id="13985" xr3:uid="{0111DBBA-330A-9348-B53B-45181088A7BA}" name="Column13967"/>
    <tableColumn id="13986" xr3:uid="{2F3263EA-C78C-4E40-AA26-F74D6F3EEA3C}" name="Column13968"/>
    <tableColumn id="13987" xr3:uid="{EFAF85E3-285C-D344-99D0-5F51E1D44786}" name="Column13969"/>
    <tableColumn id="13988" xr3:uid="{48E3BF5E-FEB7-F042-8313-15077BE6C017}" name="Column13970"/>
    <tableColumn id="13989" xr3:uid="{94F50491-AB0B-6741-A7A4-9203B7E43F40}" name="Column13971"/>
    <tableColumn id="13990" xr3:uid="{A7310DEF-195D-114B-B536-44DB0D4E2766}" name="Column13972"/>
    <tableColumn id="13991" xr3:uid="{98D0053A-75AF-1D40-B978-D432CE3FB47D}" name="Column13973"/>
    <tableColumn id="13992" xr3:uid="{2767F728-C7D9-3142-AC37-25DA5A42C9A7}" name="Column13974"/>
    <tableColumn id="13993" xr3:uid="{24C7A8AA-821A-BD4C-ADE6-A8F5FC6E0685}" name="Column13975"/>
    <tableColumn id="13994" xr3:uid="{D08D16A0-6EBF-2243-B16A-3A2564C672C9}" name="Column13976"/>
    <tableColumn id="13995" xr3:uid="{DBA94939-7869-5247-84A3-4238EDB231F7}" name="Column13977"/>
    <tableColumn id="13996" xr3:uid="{2DAC7D27-C77C-6D4A-954D-D748F970E575}" name="Column13978"/>
    <tableColumn id="13997" xr3:uid="{30B99117-EF3C-0647-8203-D76E56A59CCF}" name="Column13979"/>
    <tableColumn id="13998" xr3:uid="{6326714C-F51C-0E44-8973-BD1786CE2B1E}" name="Column13980"/>
    <tableColumn id="13999" xr3:uid="{477988B0-E783-6746-9A89-76C0C6353486}" name="Column13981"/>
    <tableColumn id="14000" xr3:uid="{D37778CE-72B3-6B47-8768-5389C520F8DF}" name="Column13982"/>
    <tableColumn id="14001" xr3:uid="{CAE904F5-925D-D541-A1EC-224E402247E0}" name="Column13983"/>
    <tableColumn id="14002" xr3:uid="{18A4624F-B0A4-0948-9636-3B880E13E319}" name="Column13984"/>
    <tableColumn id="14003" xr3:uid="{3BA2DBF1-552D-E045-9808-67CC052E88C0}" name="Column13985"/>
    <tableColumn id="14004" xr3:uid="{96A8C0CC-AD05-9645-B53D-1EDD8A906D18}" name="Column13986"/>
    <tableColumn id="14005" xr3:uid="{26707FB5-2A2A-CF43-ABA0-58A46797DB3A}" name="Column13987"/>
    <tableColumn id="14006" xr3:uid="{18405B03-68A9-1645-8AD6-122F5320D88C}" name="Column13988"/>
    <tableColumn id="14007" xr3:uid="{DD0FBFCB-4996-A041-8E51-3B83D149EC61}" name="Column13989"/>
    <tableColumn id="14008" xr3:uid="{CF37049F-0599-E545-BDE4-5EEA369309A6}" name="Column13990"/>
    <tableColumn id="14009" xr3:uid="{E4BC7100-44AE-4346-9BF1-48EB3873A262}" name="Column13991"/>
    <tableColumn id="14010" xr3:uid="{8394B9FA-4D79-9D4E-A80C-FDECD1EFCD63}" name="Column13992"/>
    <tableColumn id="14011" xr3:uid="{09AA9B9C-C5F0-D94F-82D2-B6AEB7C4C482}" name="Column13993"/>
    <tableColumn id="14012" xr3:uid="{C74AC5C3-778D-0549-A9D6-C3F3CEFA376F}" name="Column13994"/>
    <tableColumn id="14013" xr3:uid="{F2F2A6ED-CAB4-9E40-A559-CBAE0DFDA071}" name="Column13995"/>
    <tableColumn id="14014" xr3:uid="{93E3A3D5-7A3D-7C46-A249-DFDF771405E5}" name="Column13996"/>
    <tableColumn id="14015" xr3:uid="{FB523A31-2C54-7E40-BDC5-B33AAAE40F52}" name="Column13997"/>
    <tableColumn id="14016" xr3:uid="{77776E75-88DA-CD4E-AD27-B893429AE7B6}" name="Column13998"/>
    <tableColumn id="14017" xr3:uid="{E20DEC90-D244-894E-A57F-8D50B5021DC8}" name="Column13999"/>
    <tableColumn id="14018" xr3:uid="{A217A857-5D39-594F-8DBE-28EE7A13C238}" name="Column14000"/>
    <tableColumn id="14019" xr3:uid="{5CD7B1E7-B990-734C-B1A3-124EBC56E238}" name="Column14001"/>
    <tableColumn id="14020" xr3:uid="{9575289E-8330-2A4C-B997-E0FD0307E52A}" name="Column14002"/>
    <tableColumn id="14021" xr3:uid="{83026F68-69D8-3B40-BCED-68E5832B3833}" name="Column14003"/>
    <tableColumn id="14022" xr3:uid="{F00E90A3-2853-0640-BF8B-A3367925EC77}" name="Column14004"/>
    <tableColumn id="14023" xr3:uid="{0E64AEC9-0C93-064C-B876-3FCA57D081DD}" name="Column14005"/>
    <tableColumn id="14024" xr3:uid="{9E635E61-857F-D247-B901-C6D317D85C5F}" name="Column14006"/>
    <tableColumn id="14025" xr3:uid="{EDA3F93F-55F9-AA45-B758-E166A1D1F0BD}" name="Column14007"/>
    <tableColumn id="14026" xr3:uid="{F29EE35F-D35B-D64D-9624-D0C8E48DE5CF}" name="Column14008"/>
    <tableColumn id="14027" xr3:uid="{B18C1A93-772E-7A49-904E-467E89600804}" name="Column14009"/>
    <tableColumn id="14028" xr3:uid="{1AE9ACF3-F4C6-8545-9708-F72E25E2D392}" name="Column14010"/>
    <tableColumn id="14029" xr3:uid="{099FD01A-9F33-A242-A243-DFBFB15AC347}" name="Column14011"/>
    <tableColumn id="14030" xr3:uid="{2E369D2D-793B-3B46-9A22-FD6A9A52A101}" name="Column14012"/>
    <tableColumn id="14031" xr3:uid="{C75501B4-45AB-7A4F-9F61-21B970D1DF1C}" name="Column14013"/>
    <tableColumn id="14032" xr3:uid="{34B53815-82C5-504B-B33A-72289AB6471C}" name="Column14014"/>
    <tableColumn id="14033" xr3:uid="{CA7E05E3-DF55-2D4C-822C-053F35BA47F5}" name="Column14015"/>
    <tableColumn id="14034" xr3:uid="{19871371-BFDE-3746-97D4-0FA800F4F37D}" name="Column14016"/>
    <tableColumn id="14035" xr3:uid="{C7C44E1F-4220-B54E-A702-58F357A625FA}" name="Column14017"/>
    <tableColumn id="14036" xr3:uid="{D96678B3-5E39-1049-84D8-F45CC152CD1D}" name="Column14018"/>
    <tableColumn id="14037" xr3:uid="{A40DA3E1-54FA-114F-9566-9875D6CEAA8E}" name="Column14019"/>
    <tableColumn id="14038" xr3:uid="{DED5AC46-93EF-6C41-850C-A9B1914534EC}" name="Column14020"/>
    <tableColumn id="14039" xr3:uid="{0A1ED365-ED80-9B48-828D-889FA1963F43}" name="Column14021"/>
    <tableColumn id="14040" xr3:uid="{CF6ED3B8-EEDF-3341-B998-CD45A6625972}" name="Column14022"/>
    <tableColumn id="14041" xr3:uid="{8BB4907A-20A8-8D49-AB8B-75ACB3D3A3AA}" name="Column14023"/>
    <tableColumn id="14042" xr3:uid="{22F8F23E-0744-524D-97FB-3CBD6E0D0632}" name="Column14024"/>
    <tableColumn id="14043" xr3:uid="{CF81E42B-274F-A844-870A-792DAD8E8131}" name="Column14025"/>
    <tableColumn id="14044" xr3:uid="{23B15801-9075-B54B-A907-13B6763A539E}" name="Column14026"/>
    <tableColumn id="14045" xr3:uid="{22148D8B-46A5-BA4F-A805-1A4830C83640}" name="Column14027"/>
    <tableColumn id="14046" xr3:uid="{4A2BE8BC-3783-A54C-A5A7-627F22F6B690}" name="Column14028"/>
    <tableColumn id="14047" xr3:uid="{E42BEE7C-E717-474A-887E-CE0420668DBB}" name="Column14029"/>
    <tableColumn id="14048" xr3:uid="{9B7573F1-AB71-D741-98B2-B5471A7DCF21}" name="Column14030"/>
    <tableColumn id="14049" xr3:uid="{9B22FCE3-0A6C-214B-9E62-8C722C42BC27}" name="Column14031"/>
    <tableColumn id="14050" xr3:uid="{4BBE73AE-C563-B54E-A23E-8B127F2BCF7E}" name="Column14032"/>
    <tableColumn id="14051" xr3:uid="{59746E1E-FDC7-3D49-8AEC-D3EE895B89E6}" name="Column14033"/>
    <tableColumn id="14052" xr3:uid="{3543D891-4495-014D-9475-12E9C97A7F5B}" name="Column14034"/>
    <tableColumn id="14053" xr3:uid="{55585FC3-D1DD-F84C-989B-E6217BA441EB}" name="Column14035"/>
    <tableColumn id="14054" xr3:uid="{853E1F39-3881-0443-819B-1A748C1A1891}" name="Column14036"/>
    <tableColumn id="14055" xr3:uid="{45E517FB-002F-194D-91EC-3AD8E8EF9CBF}" name="Column14037"/>
    <tableColumn id="14056" xr3:uid="{0A9DB43B-3F1D-1046-817E-2ED60A486CC9}" name="Column14038"/>
    <tableColumn id="14057" xr3:uid="{BA7A9DDA-B78F-D347-81F3-A6802F2D1568}" name="Column14039"/>
    <tableColumn id="14058" xr3:uid="{E3DD07DC-7CBA-664C-A981-5C521A90242F}" name="Column14040"/>
    <tableColumn id="14059" xr3:uid="{7A3C592E-87F5-5049-96F6-3B4D62CD71D4}" name="Column14041"/>
    <tableColumn id="14060" xr3:uid="{02E0048B-131B-404A-97BB-AE65634B4307}" name="Column14042"/>
    <tableColumn id="14061" xr3:uid="{1A3E657D-E058-DF47-91D3-A35138880BA4}" name="Column14043"/>
    <tableColumn id="14062" xr3:uid="{E23B4976-C3EC-154D-BE47-CE35EB765484}" name="Column14044"/>
    <tableColumn id="14063" xr3:uid="{598A02D4-DE74-4B48-BC3A-B097DDAFD22C}" name="Column14045"/>
    <tableColumn id="14064" xr3:uid="{EA840385-741C-DF4A-A407-4D05193B5A13}" name="Column14046"/>
    <tableColumn id="14065" xr3:uid="{50DA53A6-ADB9-4248-86FA-B4C37ADBD111}" name="Column14047"/>
    <tableColumn id="14066" xr3:uid="{9BC2B8E9-B819-9A40-9D5E-14CE556B170E}" name="Column14048"/>
    <tableColumn id="14067" xr3:uid="{2775FBF0-90D2-7542-8C9B-3F4865BA5331}" name="Column14049"/>
    <tableColumn id="14068" xr3:uid="{706B1800-CF68-214C-81F4-B870C45F78BD}" name="Column14050"/>
    <tableColumn id="14069" xr3:uid="{ABB5B893-950F-704C-B225-5DBAD0B87F88}" name="Column14051"/>
    <tableColumn id="14070" xr3:uid="{916B7CFD-FD8E-DF4A-B1B0-0998B9EBCC05}" name="Column14052"/>
    <tableColumn id="14071" xr3:uid="{038A268D-E1DF-A34E-8FF0-89037406F115}" name="Column14053"/>
    <tableColumn id="14072" xr3:uid="{306FB4EB-F042-6B4C-9183-B677EE722AC3}" name="Column14054"/>
    <tableColumn id="14073" xr3:uid="{3A553B09-592E-114F-B268-B8C6B5035F1C}" name="Column14055"/>
    <tableColumn id="14074" xr3:uid="{DBFF647E-A5F0-2C4C-AD0C-E7200FD5EB26}" name="Column14056"/>
    <tableColumn id="14075" xr3:uid="{D12AD3DA-5EF8-C54A-A0DE-D58EF63F3BD0}" name="Column14057"/>
    <tableColumn id="14076" xr3:uid="{6665E3E5-0959-B345-84BF-4C60FC305CC2}" name="Column14058"/>
    <tableColumn id="14077" xr3:uid="{E0A1E715-EA66-B24D-8816-0D7B8265BB37}" name="Column14059"/>
    <tableColumn id="14078" xr3:uid="{661E0B00-EA86-7449-A4EA-FF03164AA2A7}" name="Column14060"/>
    <tableColumn id="14079" xr3:uid="{646BF269-498B-FE4B-B315-15AA91D88071}" name="Column14061"/>
    <tableColumn id="14080" xr3:uid="{56F801F1-D984-B24C-A378-2C748F21E495}" name="Column14062"/>
    <tableColumn id="14081" xr3:uid="{A49F2874-EC6F-2246-A7CD-F183D8D187A6}" name="Column14063"/>
    <tableColumn id="14082" xr3:uid="{B36BC429-ACED-F845-8763-982785E5E27A}" name="Column14064"/>
    <tableColumn id="14083" xr3:uid="{2D232C05-3A9D-9C4A-98AD-D74DEC7915D5}" name="Column14065"/>
    <tableColumn id="14084" xr3:uid="{F77D7771-ACA4-4842-8DFB-BBA852EA4C28}" name="Column14066"/>
    <tableColumn id="14085" xr3:uid="{28F8E3FB-9D98-BF42-B00E-E86FB31BA75A}" name="Column14067"/>
    <tableColumn id="14086" xr3:uid="{382C4753-0E56-5941-932B-8166A615C1D1}" name="Column14068"/>
    <tableColumn id="14087" xr3:uid="{07BB1473-BA5D-F549-B930-4A035BA764F7}" name="Column14069"/>
    <tableColumn id="14088" xr3:uid="{FFBC1B1B-BFC6-0449-9429-66D14619867D}" name="Column14070"/>
    <tableColumn id="14089" xr3:uid="{82E93A8F-00D2-2947-B077-8C9213925D0D}" name="Column14071"/>
    <tableColumn id="14090" xr3:uid="{7355C133-026C-994B-9D36-091B90F642C5}" name="Column14072"/>
    <tableColumn id="14091" xr3:uid="{2C4AC354-EE03-254E-B0AA-B086A7EF9368}" name="Column14073"/>
    <tableColumn id="14092" xr3:uid="{008C1488-F5F6-0B46-9D44-78AF69D68ED5}" name="Column14074"/>
    <tableColumn id="14093" xr3:uid="{F67CCFA6-E435-A448-B11A-D29AE66B20BB}" name="Column14075"/>
    <tableColumn id="14094" xr3:uid="{2F5A7C4A-5C34-D641-8471-910B79550033}" name="Column14076"/>
    <tableColumn id="14095" xr3:uid="{EF798519-55AC-464D-90B4-C9FEFEFEC1ED}" name="Column14077"/>
    <tableColumn id="14096" xr3:uid="{A8A56863-1502-5342-8684-E97686759B64}" name="Column14078"/>
    <tableColumn id="14097" xr3:uid="{14D7A176-06CF-9347-AA7F-4C73E3CBCF67}" name="Column14079"/>
    <tableColumn id="14098" xr3:uid="{80D9DC46-C837-8143-AEF1-F7C80E5CBC4C}" name="Column14080"/>
    <tableColumn id="14099" xr3:uid="{EB8C7755-7631-124A-AD04-CB3A076D7D58}" name="Column14081"/>
    <tableColumn id="14100" xr3:uid="{5E4EB6A9-31AE-3042-9EA6-C66630690156}" name="Column14082"/>
    <tableColumn id="14101" xr3:uid="{54CDF1DA-8D69-404D-B715-69266BDBA5D2}" name="Column14083"/>
    <tableColumn id="14102" xr3:uid="{E2BBE2B6-073F-2A4D-98EF-CC69E2B733FE}" name="Column14084"/>
    <tableColumn id="14103" xr3:uid="{6727C776-DB7D-AB4E-B731-8A2D9B91A57D}" name="Column14085"/>
    <tableColumn id="14104" xr3:uid="{7FCD5074-BD98-854B-B768-73E7592AD860}" name="Column14086"/>
    <tableColumn id="14105" xr3:uid="{FED6E237-BAF1-FB47-A058-99CBEE4AC69A}" name="Column14087"/>
    <tableColumn id="14106" xr3:uid="{F1C9BCFC-6A23-224C-83B8-513910FCCFC2}" name="Column14088"/>
    <tableColumn id="14107" xr3:uid="{1BB47143-F1B9-E440-B96A-9435CCAEBAEE}" name="Column14089"/>
    <tableColumn id="14108" xr3:uid="{C039CB52-F891-FC4D-A2B0-A527E93BD9B8}" name="Column14090"/>
    <tableColumn id="14109" xr3:uid="{3A4B4D39-AFA0-2047-88CD-EE017AE7119B}" name="Column14091"/>
    <tableColumn id="14110" xr3:uid="{9843DFA8-3EE3-AA48-B910-5B2BDDC1DAD7}" name="Column14092"/>
    <tableColumn id="14111" xr3:uid="{F36D809B-8135-5A45-8D31-36CF3E6C297D}" name="Column14093"/>
    <tableColumn id="14112" xr3:uid="{BB00CCC2-A6BC-1344-AD2A-B4D9BFF1309B}" name="Column14094"/>
    <tableColumn id="14113" xr3:uid="{532D53EA-F96B-2C4A-B527-3DD741C7F6BE}" name="Column14095"/>
    <tableColumn id="14114" xr3:uid="{837A6A6A-1EFE-EC44-AABB-C6F2BC456616}" name="Column14096"/>
    <tableColumn id="14115" xr3:uid="{65266142-1FF2-0F48-B7D6-CE2111B03F8E}" name="Column14097"/>
    <tableColumn id="14116" xr3:uid="{85E49377-3E6F-2F4C-B316-F546CBB03FDA}" name="Column14098"/>
    <tableColumn id="14117" xr3:uid="{2FBEACEB-9672-014A-B8A7-563E7A7F3755}" name="Column14099"/>
    <tableColumn id="14118" xr3:uid="{D23261CE-E16E-434D-A01D-F99B7D1B3965}" name="Column14100"/>
    <tableColumn id="14119" xr3:uid="{8E398ED5-503A-B343-9349-FB84ECB8E130}" name="Column14101"/>
    <tableColumn id="14120" xr3:uid="{1CE70D1C-53F5-384F-9902-A4C6FCDE7024}" name="Column14102"/>
    <tableColumn id="14121" xr3:uid="{F15EBEDB-C204-FE4A-9BD3-590EB463249A}" name="Column14103"/>
    <tableColumn id="14122" xr3:uid="{4CDF0942-0638-5247-83D1-F14094454163}" name="Column14104"/>
    <tableColumn id="14123" xr3:uid="{015A089A-3693-FD46-8BDC-0EA35FCAB337}" name="Column14105"/>
    <tableColumn id="14124" xr3:uid="{3007AB99-2F14-6048-9A36-561C2016BF6D}" name="Column14106"/>
    <tableColumn id="14125" xr3:uid="{5A93DF1B-174D-3D49-AE71-1E13CE6DD2AF}" name="Column14107"/>
    <tableColumn id="14126" xr3:uid="{BDC61E02-1028-CB46-B11F-D74FB1658421}" name="Column14108"/>
    <tableColumn id="14127" xr3:uid="{2B9DC18F-5B1B-A04B-9B17-D0EDCF0310D3}" name="Column14109"/>
    <tableColumn id="14128" xr3:uid="{780C12DD-5462-544B-A8E7-D03CAEDFA9CB}" name="Column14110"/>
    <tableColumn id="14129" xr3:uid="{25CF4652-FBE8-CE4E-A1BA-FA505DA994D8}" name="Column14111"/>
    <tableColumn id="14130" xr3:uid="{AD5C2C82-2D89-DE42-81E0-CE945A4C3074}" name="Column14112"/>
    <tableColumn id="14131" xr3:uid="{6BAE564A-95B6-C643-BBBA-A5F8B49977F1}" name="Column14113"/>
    <tableColumn id="14132" xr3:uid="{5125DF63-4D22-224F-B53F-ADE6538C8A9F}" name="Column14114"/>
    <tableColumn id="14133" xr3:uid="{389573EA-9F04-EE42-BAFB-D59E0018B55C}" name="Column14115"/>
    <tableColumn id="14134" xr3:uid="{2F059310-7F02-884C-B5F1-B28901C28AB1}" name="Column14116"/>
    <tableColumn id="14135" xr3:uid="{EC49EC9A-0896-394E-BC41-03AC574C8462}" name="Column14117"/>
    <tableColumn id="14136" xr3:uid="{E0F48E32-66AB-7C4F-A6C1-9B9CF902B708}" name="Column14118"/>
    <tableColumn id="14137" xr3:uid="{6A533895-A07D-B841-8C45-66A47B6EF527}" name="Column14119"/>
    <tableColumn id="14138" xr3:uid="{17685D21-68D0-464E-A0B8-73CDC7E71075}" name="Column14120"/>
    <tableColumn id="14139" xr3:uid="{65BCBE6A-8108-C643-A299-D193BFF7AF4E}" name="Column14121"/>
    <tableColumn id="14140" xr3:uid="{22592DB7-E74E-DF46-8A32-FA29A85C9BB6}" name="Column14122"/>
    <tableColumn id="14141" xr3:uid="{42BE82FD-4C1F-A54A-A97E-0376CCE306FE}" name="Column14123"/>
    <tableColumn id="14142" xr3:uid="{65F28FFC-E808-8940-B057-280C0ED75087}" name="Column14124"/>
    <tableColumn id="14143" xr3:uid="{F2A63CE4-8859-EE44-9388-A7656C016016}" name="Column14125"/>
    <tableColumn id="14144" xr3:uid="{2B47EC14-5BAD-8042-BB44-36D1ACA5C7ED}" name="Column14126"/>
    <tableColumn id="14145" xr3:uid="{DFEF9422-152D-FD41-B777-036588E63806}" name="Column14127"/>
    <tableColumn id="14146" xr3:uid="{8530C9F5-E8AC-024A-A794-28F024E2492B}" name="Column14128"/>
    <tableColumn id="14147" xr3:uid="{849FA61B-9BB4-1E4C-9189-0FD6C79AEA3D}" name="Column14129"/>
    <tableColumn id="14148" xr3:uid="{8ECE4870-F3B5-F346-A624-004DDC9F1D07}" name="Column14130"/>
    <tableColumn id="14149" xr3:uid="{93B1FC44-CA84-D647-A0D1-5713FD254336}" name="Column14131"/>
    <tableColumn id="14150" xr3:uid="{BC11733B-5E64-D549-A393-76CFA610A92A}" name="Column14132"/>
    <tableColumn id="14151" xr3:uid="{787F0603-D108-014A-A4E2-911686699112}" name="Column14133"/>
    <tableColumn id="14152" xr3:uid="{AEBFD9B0-EB33-BA40-A6DF-0E12FC76F2CB}" name="Column14134"/>
    <tableColumn id="14153" xr3:uid="{07F729E9-4661-2D4D-B2F1-31B677F966BC}" name="Column14135"/>
    <tableColumn id="14154" xr3:uid="{2D9F7B09-8EF8-E144-A993-322EBAAD7492}" name="Column14136"/>
    <tableColumn id="14155" xr3:uid="{D724414A-E7CD-584F-97C6-49586B60A85C}" name="Column14137"/>
    <tableColumn id="14156" xr3:uid="{5ECD3666-17BC-5A45-AC65-7E23D04F0A17}" name="Column14138"/>
    <tableColumn id="14157" xr3:uid="{3D07654C-6316-CA4E-A31A-D6A4E7007A0D}" name="Column14139"/>
    <tableColumn id="14158" xr3:uid="{DF1F5A17-A489-6546-9B01-1A7F29066A4C}" name="Column14140"/>
    <tableColumn id="14159" xr3:uid="{B793E10E-8C0D-1F48-B5D2-04AB9EF5AD6D}" name="Column14141"/>
    <tableColumn id="14160" xr3:uid="{9968F58A-26ED-BD41-B8C5-1C21F808E460}" name="Column14142"/>
    <tableColumn id="14161" xr3:uid="{6AB840A1-89DC-494D-9DA4-C172D137DB47}" name="Column14143"/>
    <tableColumn id="14162" xr3:uid="{C237C64E-FEB3-9D41-8368-A26D8E5103FE}" name="Column14144"/>
    <tableColumn id="14163" xr3:uid="{F2B7CDBF-7B20-B843-B405-460F4FFBC8EA}" name="Column14145"/>
    <tableColumn id="14164" xr3:uid="{89A650B5-B7E6-D04A-80B1-A868F07AB40F}" name="Column14146"/>
    <tableColumn id="14165" xr3:uid="{F58AC4FD-7972-4945-8A5B-DAE77C896B56}" name="Column14147"/>
    <tableColumn id="14166" xr3:uid="{DB407C43-12E0-C945-9914-4A9B350954A4}" name="Column14148"/>
    <tableColumn id="14167" xr3:uid="{991F3C07-1527-214E-99F8-C06466FB894D}" name="Column14149"/>
    <tableColumn id="14168" xr3:uid="{73ADA85C-DEAD-F840-9A65-5A9FFAC6636C}" name="Column14150"/>
    <tableColumn id="14169" xr3:uid="{94E80868-136C-894F-84DA-AA1B6B079069}" name="Column14151"/>
    <tableColumn id="14170" xr3:uid="{DA4A38D4-296B-6A49-BD53-88FD9E54D314}" name="Column14152"/>
    <tableColumn id="14171" xr3:uid="{4CF155DB-CEE4-2348-9BDB-D566EED47F5F}" name="Column14153"/>
    <tableColumn id="14172" xr3:uid="{B2459199-DD98-C042-811F-C28395075F0E}" name="Column14154"/>
    <tableColumn id="14173" xr3:uid="{817037F9-8791-D647-992C-D3ADAC71111C}" name="Column14155"/>
    <tableColumn id="14174" xr3:uid="{19CA0ADA-7277-194B-A85F-64E51011D86C}" name="Column14156"/>
    <tableColumn id="14175" xr3:uid="{9B356D54-E8A9-D648-970F-AF0E34837312}" name="Column14157"/>
    <tableColumn id="14176" xr3:uid="{44E3445B-E2FB-F74F-AF0C-5A2545CB5F06}" name="Column14158"/>
    <tableColumn id="14177" xr3:uid="{98688F7C-5306-7E4E-88BB-6138CB4F932F}" name="Column14159"/>
    <tableColumn id="14178" xr3:uid="{AB0C6AA6-A681-9D4D-BD12-3FE410157A45}" name="Column14160"/>
    <tableColumn id="14179" xr3:uid="{758D1B7E-9E56-904C-9A5E-CA29685EE911}" name="Column14161"/>
    <tableColumn id="14180" xr3:uid="{032012A3-2D1E-4540-8FA1-67D7BCD4DD75}" name="Column14162"/>
    <tableColumn id="14181" xr3:uid="{520D631E-0107-0D4F-AA17-F548A4BE6FAA}" name="Column14163"/>
    <tableColumn id="14182" xr3:uid="{16518406-798D-0645-B41A-0E93454314E8}" name="Column14164"/>
    <tableColumn id="14183" xr3:uid="{C5DD4FD6-A2BB-1C40-9227-B03479BD5D1D}" name="Column14165"/>
    <tableColumn id="14184" xr3:uid="{3CC1C886-9B0D-9740-ABD5-0656EDD5AEF5}" name="Column14166"/>
    <tableColumn id="14185" xr3:uid="{3CD24301-8235-BB44-93F8-E69437C3875F}" name="Column14167"/>
    <tableColumn id="14186" xr3:uid="{27722EAF-70DC-4649-A436-21FF3B293EE9}" name="Column14168"/>
    <tableColumn id="14187" xr3:uid="{FFAF617F-8E65-7741-A66B-3E1DB1BB1338}" name="Column14169"/>
    <tableColumn id="14188" xr3:uid="{574A5A6C-773D-FD43-A753-7DC0AB2B6464}" name="Column14170"/>
    <tableColumn id="14189" xr3:uid="{FC0EB2F7-2C4A-CA47-8F09-3270FF853DB6}" name="Column14171"/>
    <tableColumn id="14190" xr3:uid="{A5ECD0C9-AA6E-534E-A07F-60B52B2AEA2B}" name="Column14172"/>
    <tableColumn id="14191" xr3:uid="{D8F54F07-C62A-4B4F-B43A-265A92F4123F}" name="Column14173"/>
    <tableColumn id="14192" xr3:uid="{F919D07D-FA8F-6E45-BB11-AB84946D0442}" name="Column14174"/>
    <tableColumn id="14193" xr3:uid="{B4B7A890-7B13-9548-8797-EC1FC065CC93}" name="Column14175"/>
    <tableColumn id="14194" xr3:uid="{32D18019-9B85-E241-8407-1F972C90F220}" name="Column14176"/>
    <tableColumn id="14195" xr3:uid="{B2499069-C411-3949-A165-203B87DB31CA}" name="Column14177"/>
    <tableColumn id="14196" xr3:uid="{721ED592-C5B4-8D40-A37C-3AEA796129F6}" name="Column14178"/>
    <tableColumn id="14197" xr3:uid="{9CA4A50F-256B-3B40-A171-3E41F21707CE}" name="Column14179"/>
    <tableColumn id="14198" xr3:uid="{84714B04-E18B-B34D-8925-577C70AF4E21}" name="Column14180"/>
    <tableColumn id="14199" xr3:uid="{18244B5A-9D42-434C-8361-283E17279366}" name="Column14181"/>
    <tableColumn id="14200" xr3:uid="{FA1B50AF-8C3E-E04B-89C2-9B1F36BABB49}" name="Column14182"/>
    <tableColumn id="14201" xr3:uid="{D3325E5C-2F60-3645-87BE-36E44E1A970E}" name="Column14183"/>
    <tableColumn id="14202" xr3:uid="{C45E02B8-87E7-574E-A1CA-DCD53ECFB210}" name="Column14184"/>
    <tableColumn id="14203" xr3:uid="{CC5CC295-DE50-DE4E-BDD3-54C338634A07}" name="Column14185"/>
    <tableColumn id="14204" xr3:uid="{9278F7B8-72CC-754E-B007-6C43BC49D721}" name="Column14186"/>
    <tableColumn id="14205" xr3:uid="{A21CC87E-3F72-1A4F-BE51-A787A7686B12}" name="Column14187"/>
    <tableColumn id="14206" xr3:uid="{816B4233-A9BA-DD48-8FE8-04F0075F3EE2}" name="Column14188"/>
    <tableColumn id="14207" xr3:uid="{B98E919A-4F11-8C4D-8F2A-D2C3C94B6593}" name="Column14189"/>
    <tableColumn id="14208" xr3:uid="{F33052B2-723F-994B-8414-76A6E25AFA65}" name="Column14190"/>
    <tableColumn id="14209" xr3:uid="{10C84694-92B1-D249-883D-65E7C49071C7}" name="Column14191"/>
    <tableColumn id="14210" xr3:uid="{31013962-C9D6-034F-9596-17BC0C4A6082}" name="Column14192"/>
    <tableColumn id="14211" xr3:uid="{64B6F4EC-8684-3F4F-8D12-4D20DBB83D66}" name="Column14193"/>
    <tableColumn id="14212" xr3:uid="{276A2C81-8D26-434C-9E24-7D3A3F3EA9A4}" name="Column14194"/>
    <tableColumn id="14213" xr3:uid="{C5B77D58-A89C-D74D-BD07-AAA64C1722CB}" name="Column14195"/>
    <tableColumn id="14214" xr3:uid="{82009D99-D66F-9C41-ABC4-3A6ACBED007D}" name="Column14196"/>
    <tableColumn id="14215" xr3:uid="{C38CE8D7-9D77-9D42-83D8-F6C12A7CD965}" name="Column14197"/>
    <tableColumn id="14216" xr3:uid="{3AF57BB2-6379-DC49-9820-F87EB8E209A2}" name="Column14198"/>
    <tableColumn id="14217" xr3:uid="{E36CF998-297F-1646-9AB7-0FE71622B1EB}" name="Column14199"/>
    <tableColumn id="14218" xr3:uid="{A8385667-9F46-0E42-ABC7-F15F86D9846D}" name="Column14200"/>
    <tableColumn id="14219" xr3:uid="{184FD819-FDBF-FB4E-833F-30671EDF566A}" name="Column14201"/>
    <tableColumn id="14220" xr3:uid="{C91D6633-15A2-6A4F-B305-3BB0E2F52F48}" name="Column14202"/>
    <tableColumn id="14221" xr3:uid="{768C303A-1D82-574E-A794-B71AB2B21415}" name="Column14203"/>
    <tableColumn id="14222" xr3:uid="{B042ED78-39F3-6E4B-863E-046F09CCD5D4}" name="Column14204"/>
    <tableColumn id="14223" xr3:uid="{8BE98083-7350-7E43-814F-58565C534B01}" name="Column14205"/>
    <tableColumn id="14224" xr3:uid="{3CEFAD5C-2F3F-9B4E-A664-ABA121E8C40B}" name="Column14206"/>
    <tableColumn id="14225" xr3:uid="{E21A239B-BE4E-A846-A396-41D3753EC40B}" name="Column14207"/>
    <tableColumn id="14226" xr3:uid="{24FCBEFD-480C-9F45-9857-BCA4EB2D84BD}" name="Column14208"/>
    <tableColumn id="14227" xr3:uid="{57D449DD-583C-E54D-98AD-72E3565D4499}" name="Column14209"/>
    <tableColumn id="14228" xr3:uid="{933DC71C-9D34-4747-ADC0-B4B42EBE7CAE}" name="Column14210"/>
    <tableColumn id="14229" xr3:uid="{AE589E4C-22B9-5145-9E5C-AAF80681EA32}" name="Column14211"/>
    <tableColumn id="14230" xr3:uid="{2A3731C2-F4C5-2A43-A976-9BFAB50F5E8A}" name="Column14212"/>
    <tableColumn id="14231" xr3:uid="{FACFAF8B-3497-6741-BEE7-67A46CF12CE7}" name="Column14213"/>
    <tableColumn id="14232" xr3:uid="{81E9D651-8335-574F-8067-227A9F64C056}" name="Column14214"/>
    <tableColumn id="14233" xr3:uid="{71650B2D-3AA2-9C48-B13B-CB262F3B4B83}" name="Column14215"/>
    <tableColumn id="14234" xr3:uid="{8A0EDF42-40B2-1C41-A207-7A3F0DD0EE75}" name="Column14216"/>
    <tableColumn id="14235" xr3:uid="{F72EA563-E037-1044-85E5-BDF4217F8187}" name="Column14217"/>
    <tableColumn id="14236" xr3:uid="{D5E804C7-A477-6341-A91F-CE14F7CF4618}" name="Column14218"/>
    <tableColumn id="14237" xr3:uid="{1E5296FE-B392-C744-B56A-91A07ED48DE5}" name="Column14219"/>
    <tableColumn id="14238" xr3:uid="{7B1471B5-4842-5340-A1E7-B692D1862B8F}" name="Column14220"/>
    <tableColumn id="14239" xr3:uid="{36B06CBF-0B86-2944-B111-0D6BF082181B}" name="Column14221"/>
    <tableColumn id="14240" xr3:uid="{9FE7F011-666F-234F-872E-914577548457}" name="Column14222"/>
    <tableColumn id="14241" xr3:uid="{5EA25BC0-9D79-4F47-8A19-FB4930D317E9}" name="Column14223"/>
    <tableColumn id="14242" xr3:uid="{9C1D015E-F0C7-5646-944E-A908DF8C74F4}" name="Column14224"/>
    <tableColumn id="14243" xr3:uid="{6F64358B-257A-4246-8901-E7F5A5EAB43E}" name="Column14225"/>
    <tableColumn id="14244" xr3:uid="{1EFB527D-A196-304A-B17B-1B0A6F53C97E}" name="Column14226"/>
    <tableColumn id="14245" xr3:uid="{27E43E6E-18B6-5646-B36F-FD6DF8F52B14}" name="Column14227"/>
    <tableColumn id="14246" xr3:uid="{BF63B96F-648D-8847-8ED4-002978AFEA5C}" name="Column14228"/>
    <tableColumn id="14247" xr3:uid="{70B64E82-C30A-C84B-8F20-C9E9D828D475}" name="Column14229"/>
    <tableColumn id="14248" xr3:uid="{204BF61C-AE14-5143-8240-85D51216C197}" name="Column14230"/>
    <tableColumn id="14249" xr3:uid="{9C05800A-A8DA-4F44-AA3D-C7C405538B50}" name="Column14231"/>
    <tableColumn id="14250" xr3:uid="{87E06AE1-46D8-3A4A-95D8-64DC3A2D11C7}" name="Column14232"/>
    <tableColumn id="14251" xr3:uid="{F0E727B0-AAE4-A849-AED2-27C93857538B}" name="Column14233"/>
    <tableColumn id="14252" xr3:uid="{612190A0-C0CC-F044-A22E-69D79E35DB16}" name="Column14234"/>
    <tableColumn id="14253" xr3:uid="{A108F6EE-E666-F647-852C-43C07A6A0A74}" name="Column14235"/>
    <tableColumn id="14254" xr3:uid="{6972674B-52D3-6C49-B9F2-EA57343018AA}" name="Column14236"/>
    <tableColumn id="14255" xr3:uid="{199338D2-CE02-3048-80A3-1B3B237F76F3}" name="Column14237"/>
    <tableColumn id="14256" xr3:uid="{B82062B0-AB15-944F-AD41-C1AA869974C1}" name="Column14238"/>
    <tableColumn id="14257" xr3:uid="{37E8B53E-918D-FB42-A619-D4429B79C186}" name="Column14239"/>
    <tableColumn id="14258" xr3:uid="{02321545-C0FD-044F-A872-932231774363}" name="Column14240"/>
    <tableColumn id="14259" xr3:uid="{B0CF452F-45A0-054D-9F57-7377A3656378}" name="Column14241"/>
    <tableColumn id="14260" xr3:uid="{7F0CE00A-F9EC-D944-AEC5-DAFCEA69C74A}" name="Column14242"/>
    <tableColumn id="14261" xr3:uid="{2CBD4BD7-F770-E847-A928-1829362C7E56}" name="Column14243"/>
    <tableColumn id="14262" xr3:uid="{81CAB73C-3A5E-E246-BFF6-7B7DF7E4C9B9}" name="Column14244"/>
    <tableColumn id="14263" xr3:uid="{F698FDA7-B0D8-6549-87A8-D37B97813C38}" name="Column14245"/>
    <tableColumn id="14264" xr3:uid="{5C79476E-2546-3D46-BE16-F80D93255DC0}" name="Column14246"/>
    <tableColumn id="14265" xr3:uid="{A5C97CD2-2230-4041-A1D8-723914CE524D}" name="Column14247"/>
    <tableColumn id="14266" xr3:uid="{D2FA0A50-862E-1149-80E1-578B72084010}" name="Column14248"/>
    <tableColumn id="14267" xr3:uid="{1CA2CC7D-CBE5-F542-924B-CDB181E85799}" name="Column14249"/>
    <tableColumn id="14268" xr3:uid="{8CF5F211-8EBB-494D-9928-8D43AEF40ECC}" name="Column14250"/>
    <tableColumn id="14269" xr3:uid="{A32AFC1E-C3CF-9646-A4B3-9F276C140CA7}" name="Column14251"/>
    <tableColumn id="14270" xr3:uid="{3FC90B53-4B0A-A849-ACC0-7F0A35D1D4E8}" name="Column14252"/>
    <tableColumn id="14271" xr3:uid="{309032CA-A157-4448-BC0D-9E225B8A6986}" name="Column14253"/>
    <tableColumn id="14272" xr3:uid="{693CA39C-78DB-6443-B952-874F1306AA7A}" name="Column14254"/>
    <tableColumn id="14273" xr3:uid="{ED20256B-E575-3E48-8AD4-DE5871EB9047}" name="Column14255"/>
    <tableColumn id="14274" xr3:uid="{AA8FC5B5-B540-2245-AEFD-F92192B44067}" name="Column14256"/>
    <tableColumn id="14275" xr3:uid="{821CD119-D529-F449-8264-6A6DFCF79C61}" name="Column14257"/>
    <tableColumn id="14276" xr3:uid="{E1E0CEDF-607F-C24B-B580-3E09129F07EA}" name="Column14258"/>
    <tableColumn id="14277" xr3:uid="{F0F12FBC-2A40-5A49-9BE9-F7AE59EF66D1}" name="Column14259"/>
    <tableColumn id="14278" xr3:uid="{82F4A645-01F1-E347-BCC6-08314C55690B}" name="Column14260"/>
    <tableColumn id="14279" xr3:uid="{F8E83C56-C763-7548-A751-0968651143E6}" name="Column14261"/>
    <tableColumn id="14280" xr3:uid="{40568058-9052-ED4E-9B87-16DA610597AD}" name="Column14262"/>
    <tableColumn id="14281" xr3:uid="{79D23134-538F-9A45-A7DB-7BAC12CDE075}" name="Column14263"/>
    <tableColumn id="14282" xr3:uid="{72D239C7-5C4F-2E40-99A1-C1CD9AE64920}" name="Column14264"/>
    <tableColumn id="14283" xr3:uid="{77E96291-52FC-DA45-B58E-3771A28D933D}" name="Column14265"/>
    <tableColumn id="14284" xr3:uid="{9B94DF94-CB98-7243-9DFA-DACDD1F8CA00}" name="Column14266"/>
    <tableColumn id="14285" xr3:uid="{31CB8E33-1643-B246-BFAF-E44AD61F4D2C}" name="Column14267"/>
    <tableColumn id="14286" xr3:uid="{535BD8CD-61C7-1441-9B21-7A2A44A0991D}" name="Column14268"/>
    <tableColumn id="14287" xr3:uid="{805856D6-616A-1A41-A941-E71714C6EA32}" name="Column14269"/>
    <tableColumn id="14288" xr3:uid="{86E296C0-2B7D-7B45-A218-B6607DE041DE}" name="Column14270"/>
    <tableColumn id="14289" xr3:uid="{7C099A77-C740-7743-8F91-EA3F649F0793}" name="Column14271"/>
    <tableColumn id="14290" xr3:uid="{3D1FA495-C7E2-D04A-9653-43F78814C497}" name="Column14272"/>
    <tableColumn id="14291" xr3:uid="{98DE577B-0BB1-4242-90FF-5D259CA23D3B}" name="Column14273"/>
    <tableColumn id="14292" xr3:uid="{BD313A32-CA55-CC44-95C8-5410BF6B56A8}" name="Column14274"/>
    <tableColumn id="14293" xr3:uid="{9166C6BC-784C-AD4F-ADD3-F6C757365731}" name="Column14275"/>
    <tableColumn id="14294" xr3:uid="{C1E1E2C5-A2FE-2F46-9E46-A7A3BE9B0712}" name="Column14276"/>
    <tableColumn id="14295" xr3:uid="{A019634B-4607-FC4C-B8DA-410E98B888C2}" name="Column14277"/>
    <tableColumn id="14296" xr3:uid="{66DAD42B-6F6C-C840-AF95-4CFE302E2061}" name="Column14278"/>
    <tableColumn id="14297" xr3:uid="{7578A97D-444F-744C-83AC-B8CDD03AF1AB}" name="Column14279"/>
    <tableColumn id="14298" xr3:uid="{E4165CB8-CD3C-A341-A39B-5CB66E1056A5}" name="Column14280"/>
    <tableColumn id="14299" xr3:uid="{6F7FCDF5-BD2D-394F-B244-AF916EA2886F}" name="Column14281"/>
    <tableColumn id="14300" xr3:uid="{B627E3E6-8E7B-B644-A68F-3319CB7F4CC6}" name="Column14282"/>
    <tableColumn id="14301" xr3:uid="{876EA9BE-83CA-0D42-BD08-02B6C2D66F48}" name="Column14283"/>
    <tableColumn id="14302" xr3:uid="{6C467BF1-57E4-904D-99BD-82BEFDDC01D1}" name="Column14284"/>
    <tableColumn id="14303" xr3:uid="{299B8177-BD48-CB4C-9818-4A2BE8597FE3}" name="Column14285"/>
    <tableColumn id="14304" xr3:uid="{786DB720-A2D1-B043-9E13-10169FB78AE0}" name="Column14286"/>
    <tableColumn id="14305" xr3:uid="{896DACD3-074C-BE4B-9885-FA49CC004BF7}" name="Column14287"/>
    <tableColumn id="14306" xr3:uid="{E2F8B0C6-2C51-8741-B4AF-05EA560496E3}" name="Column14288"/>
    <tableColumn id="14307" xr3:uid="{C5769B66-0E76-DE49-A40C-19766EE91233}" name="Column14289"/>
    <tableColumn id="14308" xr3:uid="{B537869D-3208-754A-AA7D-AC9F24F9D8A0}" name="Column14290"/>
    <tableColumn id="14309" xr3:uid="{2708A0CE-13C1-B143-B5CE-B2C572E59DAE}" name="Column14291"/>
    <tableColumn id="14310" xr3:uid="{3F09BB1C-79A6-B342-9702-F2718F0FEE84}" name="Column14292"/>
    <tableColumn id="14311" xr3:uid="{F5CB041D-A3A6-4141-93A5-FC872DCA89E2}" name="Column14293"/>
    <tableColumn id="14312" xr3:uid="{75290F53-7099-D248-A7B0-6CA7006A79AE}" name="Column14294"/>
    <tableColumn id="14313" xr3:uid="{089FB380-4288-D54E-9D7B-59A622463F1C}" name="Column14295"/>
    <tableColumn id="14314" xr3:uid="{549686BF-F1CA-A14D-BA0F-BA0FBAFF7BDC}" name="Column14296"/>
    <tableColumn id="14315" xr3:uid="{ED30A067-53AA-BC40-B524-DBE5B81E527E}" name="Column14297"/>
    <tableColumn id="14316" xr3:uid="{1566D965-3A1C-4841-8719-1D1344014367}" name="Column14298"/>
    <tableColumn id="14317" xr3:uid="{3CC6F1E8-CA30-7848-9E10-9E61573E033A}" name="Column14299"/>
    <tableColumn id="14318" xr3:uid="{CFE5CD98-5876-CB4E-BD04-AD8578243377}" name="Column14300"/>
    <tableColumn id="14319" xr3:uid="{3954947B-6C6D-E743-8FA3-ADAF0885F119}" name="Column14301"/>
    <tableColumn id="14320" xr3:uid="{C978B7B7-5D43-4445-8F29-CEF5B823F052}" name="Column14302"/>
    <tableColumn id="14321" xr3:uid="{F1687783-BF7C-7144-AFCD-7ED9D4311A6C}" name="Column14303"/>
    <tableColumn id="14322" xr3:uid="{2D6D86AF-72CC-8C46-9E80-8FAB45FE1A9D}" name="Column14304"/>
    <tableColumn id="14323" xr3:uid="{A869E22A-ABFD-F543-8C9E-8035D50AE81F}" name="Column14305"/>
    <tableColumn id="14324" xr3:uid="{BF522D51-DFDF-5047-A6B3-E5340CBEB442}" name="Column14306"/>
    <tableColumn id="14325" xr3:uid="{1B7DB0B5-818A-4E4F-9C80-8A81F980B3E2}" name="Column14307"/>
    <tableColumn id="14326" xr3:uid="{442FB9F7-C103-3646-A9B9-A08EBF954973}" name="Column14308"/>
    <tableColumn id="14327" xr3:uid="{AE30B1BD-B355-6141-8533-55B1C87DA5A6}" name="Column14309"/>
    <tableColumn id="14328" xr3:uid="{8A05FB9E-C42E-6F46-8A61-7D784D212CE5}" name="Column14310"/>
    <tableColumn id="14329" xr3:uid="{16582907-D440-5D42-A128-F32EE934B313}" name="Column14311"/>
    <tableColumn id="14330" xr3:uid="{1E56742C-F40A-D14B-971E-F85C1B89A14C}" name="Column14312"/>
    <tableColumn id="14331" xr3:uid="{6E2722AD-864E-7B4A-A348-0EBCBE2EE27E}" name="Column14313"/>
    <tableColumn id="14332" xr3:uid="{72934DBA-9F87-3449-AF7A-2162925CCD87}" name="Column14314"/>
    <tableColumn id="14333" xr3:uid="{6D87D689-81D3-1742-81EA-1309E5C7D212}" name="Column14315"/>
    <tableColumn id="14334" xr3:uid="{F34F69F5-9E93-2445-93C4-A47DBF227C00}" name="Column14316"/>
    <tableColumn id="14335" xr3:uid="{AF31F2C8-6E24-8347-AFB6-26CFD420D053}" name="Column14317"/>
    <tableColumn id="14336" xr3:uid="{DC671CEB-3B8B-0046-B1BC-F930CFB90C2A}" name="Column14318"/>
    <tableColumn id="14337" xr3:uid="{344F0912-2AA4-B542-AEC9-827E4FDD2E79}" name="Column14319"/>
    <tableColumn id="14338" xr3:uid="{A9819398-43FE-C744-ABBA-E4B19C4EFF9A}" name="Column14320"/>
    <tableColumn id="14339" xr3:uid="{EA44CF97-02EF-934A-B9D8-24AC8781B42B}" name="Column14321"/>
    <tableColumn id="14340" xr3:uid="{4A00585F-B191-874F-BA47-7ECDE3887107}" name="Column14322"/>
    <tableColumn id="14341" xr3:uid="{3A3F267E-77EA-4E45-A1FD-940B2D0A37C9}" name="Column14323"/>
    <tableColumn id="14342" xr3:uid="{457BB405-0932-6F43-A2F2-1A2FCA84B80A}" name="Column14324"/>
    <tableColumn id="14343" xr3:uid="{32CA594F-EA53-F341-90D8-5FCE55D571E1}" name="Column14325"/>
    <tableColumn id="14344" xr3:uid="{68745494-17C6-CD42-8E2B-0FF0776D504B}" name="Column14326"/>
    <tableColumn id="14345" xr3:uid="{0A89B945-DFC0-BB4A-ABFD-D61C72411B43}" name="Column14327"/>
    <tableColumn id="14346" xr3:uid="{16728C66-4FC1-0B40-9A79-EDAAF9209267}" name="Column14328"/>
    <tableColumn id="14347" xr3:uid="{3ECDF38A-7F6C-6243-ABAD-B9E1DD41C17A}" name="Column14329"/>
    <tableColumn id="14348" xr3:uid="{703349BC-696F-0445-813E-EE17A4E08FD3}" name="Column14330"/>
    <tableColumn id="14349" xr3:uid="{7921C9FC-914D-3D41-877E-EA7FE14CD2FC}" name="Column14331"/>
    <tableColumn id="14350" xr3:uid="{DE1D8AF4-5895-1D46-B1EE-2008A7C0FBF5}" name="Column14332"/>
    <tableColumn id="14351" xr3:uid="{7E0DA7F8-1619-E74B-98E4-2BF47B0139C8}" name="Column14333"/>
    <tableColumn id="14352" xr3:uid="{5E027150-7DC5-2A4F-9280-1D5CDB81C9BB}" name="Column14334"/>
    <tableColumn id="14353" xr3:uid="{EE0FD9D5-9098-8B46-ACC4-4BA3F1FA29BB}" name="Column14335"/>
    <tableColumn id="14354" xr3:uid="{D1EFABEF-EA0C-D84D-9230-3B2590EBC92C}" name="Column14336"/>
    <tableColumn id="14355" xr3:uid="{4FE47FF8-AC53-6242-A0F8-E1A76E38B01E}" name="Column14337"/>
    <tableColumn id="14356" xr3:uid="{29148F78-329A-5D41-B9DD-E39FD65A88A9}" name="Column14338"/>
    <tableColumn id="14357" xr3:uid="{6352C36F-B7CA-E843-BF0B-A674ACCFFCD6}" name="Column14339"/>
    <tableColumn id="14358" xr3:uid="{0375460C-9C59-1246-8E8F-7EC07AEFC888}" name="Column14340"/>
    <tableColumn id="14359" xr3:uid="{134E5637-79DA-934E-A051-DB2BABF4D2CC}" name="Column14341"/>
    <tableColumn id="14360" xr3:uid="{016E9CB7-EEEC-1E46-90FA-DD81D313628B}" name="Column14342"/>
    <tableColumn id="14361" xr3:uid="{467F2DAC-8197-F442-9C1A-7EA2B9351727}" name="Column14343"/>
    <tableColumn id="14362" xr3:uid="{00606C2F-DD33-CD41-A33F-35B045CFF373}" name="Column14344"/>
    <tableColumn id="14363" xr3:uid="{7E626073-55D5-4444-B0C9-C9D7C5B8F4DA}" name="Column14345"/>
    <tableColumn id="14364" xr3:uid="{7E98818F-A630-E448-B89D-1AF0ABDA9A82}" name="Column14346"/>
    <tableColumn id="14365" xr3:uid="{77E3FFB3-97CA-7D42-81DF-FB321679BC66}" name="Column14347"/>
    <tableColumn id="14366" xr3:uid="{ABC6C3C9-9E59-4F49-B964-2C17499B030F}" name="Column14348"/>
    <tableColumn id="14367" xr3:uid="{99B903C5-D590-7046-945E-500A650C64B0}" name="Column14349"/>
    <tableColumn id="14368" xr3:uid="{6135C02C-2F4D-A448-A683-B9DFCC4670F9}" name="Column14350"/>
    <tableColumn id="14369" xr3:uid="{786EC4D8-8B0B-594E-A84C-7C2B1C29F97F}" name="Column14351"/>
    <tableColumn id="14370" xr3:uid="{A74B0231-DDCA-0C4D-BCAA-72C986F6A1E1}" name="Column14352"/>
    <tableColumn id="14371" xr3:uid="{C19D6CE8-8093-9744-801C-8F56D44F775C}" name="Column14353"/>
    <tableColumn id="14372" xr3:uid="{F14FC273-FABC-7F4B-AAEA-A9B015527247}" name="Column14354"/>
    <tableColumn id="14373" xr3:uid="{D3157C3C-2DC6-4443-9C61-FD5474B6CB6C}" name="Column14355"/>
    <tableColumn id="14374" xr3:uid="{4C8EC358-7623-0342-A4CD-A459087680F9}" name="Column14356"/>
    <tableColumn id="14375" xr3:uid="{4D7CFCD5-ECA1-1041-BA4F-0DBC608D2A77}" name="Column14357"/>
    <tableColumn id="14376" xr3:uid="{AD8795E1-46AF-E643-AB98-4A4A922F04DB}" name="Column14358"/>
    <tableColumn id="14377" xr3:uid="{107E315C-3462-6B4D-B204-6424F2B73F32}" name="Column14359"/>
    <tableColumn id="14378" xr3:uid="{7F1A83AC-C93A-FC46-A092-1CB7BA3EECDB}" name="Column14360"/>
    <tableColumn id="14379" xr3:uid="{C7986B76-AE29-074E-87F1-7A6ABF48B877}" name="Column14361"/>
    <tableColumn id="14380" xr3:uid="{89F3EA00-271B-944D-BFEC-B1270DA50DDC}" name="Column14362"/>
    <tableColumn id="14381" xr3:uid="{357A4894-6941-3A43-97D4-2EEA082A0CF4}" name="Column14363"/>
    <tableColumn id="14382" xr3:uid="{6C9B2613-1C9E-2649-8DE6-971E67BA6C0A}" name="Column14364"/>
    <tableColumn id="14383" xr3:uid="{2FB05EDD-9A24-DF4B-859A-86D11309E270}" name="Column14365"/>
    <tableColumn id="14384" xr3:uid="{2D865E1D-A0FC-3345-A233-940551A144AD}" name="Column14366"/>
    <tableColumn id="14385" xr3:uid="{F1FD4A92-321E-F24F-B20E-B5385F74446A}" name="Column14367"/>
    <tableColumn id="14386" xr3:uid="{481466D5-0664-1346-B9B9-54B32C298F5C}" name="Column14368"/>
    <tableColumn id="14387" xr3:uid="{C6C5A910-9281-2542-BA67-00709550E10F}" name="Column14369"/>
    <tableColumn id="14388" xr3:uid="{6FC78826-6151-6741-9260-5A4E8758F2DC}" name="Column14370"/>
    <tableColumn id="14389" xr3:uid="{82D6A44C-DA1A-6F44-A095-1F51487A49FE}" name="Column14371"/>
    <tableColumn id="14390" xr3:uid="{97D7A429-66B2-8244-B6FE-AC70B2040BAB}" name="Column14372"/>
    <tableColumn id="14391" xr3:uid="{BFB7CF17-F846-1E47-979D-0C4F33CE45EE}" name="Column14373"/>
    <tableColumn id="14392" xr3:uid="{7ACB011B-DBA6-4244-B5AB-975CE48281B4}" name="Column14374"/>
    <tableColumn id="14393" xr3:uid="{2152F31B-AB03-BD40-855E-11997951ADCF}" name="Column14375"/>
    <tableColumn id="14394" xr3:uid="{2D6B41C6-961E-AF4C-8A4B-1A5B1B4C70DC}" name="Column14376"/>
    <tableColumn id="14395" xr3:uid="{3031E49E-E1E1-E94E-A688-2083E9F10EF9}" name="Column14377"/>
    <tableColumn id="14396" xr3:uid="{E872B270-66BB-9E4F-85A0-F0219B734359}" name="Column14378"/>
    <tableColumn id="14397" xr3:uid="{5079DA30-172C-1544-9C12-0AC6F462E6FB}" name="Column14379"/>
    <tableColumn id="14398" xr3:uid="{0EE13C44-4163-984D-9556-59F83BCF1643}" name="Column14380"/>
    <tableColumn id="14399" xr3:uid="{EB863699-C6F1-7E4D-B4F0-4BE36E4BE284}" name="Column14381"/>
    <tableColumn id="14400" xr3:uid="{D2F4EEED-79D8-5E48-BCA3-DE5478372E41}" name="Column14382"/>
    <tableColumn id="14401" xr3:uid="{1CD98BE0-E9BE-1644-8444-213AB56C00AB}" name="Column14383"/>
    <tableColumn id="14402" xr3:uid="{C12B8B70-78AE-AB42-89CF-B5F1E33FF15E}" name="Column14384"/>
    <tableColumn id="14403" xr3:uid="{6FDB539B-332C-394A-BAB2-5CE949DEFDC5}" name="Column14385"/>
    <tableColumn id="14404" xr3:uid="{459C5736-4B4D-BE4B-B660-EF094C5D5F8F}" name="Column14386"/>
    <tableColumn id="14405" xr3:uid="{A86819DE-76E1-3F44-9E7A-1DF8CCF8F882}" name="Column14387"/>
    <tableColumn id="14406" xr3:uid="{F71A0250-849C-B646-B274-1C4A0BF13C36}" name="Column14388"/>
    <tableColumn id="14407" xr3:uid="{44FD3E94-61BD-1442-A3D7-725387FD7405}" name="Column14389"/>
    <tableColumn id="14408" xr3:uid="{EFC206EB-FAFC-E445-81C4-7D15FC3A5965}" name="Column14390"/>
    <tableColumn id="14409" xr3:uid="{121CA6C5-CECD-3542-B49F-0BE63AE2E80B}" name="Column14391"/>
    <tableColumn id="14410" xr3:uid="{A7F22F6B-BC50-1B46-92EC-6C0EE846707C}" name="Column14392"/>
    <tableColumn id="14411" xr3:uid="{7F5B7907-43D6-A04D-973C-0CA42028CBB8}" name="Column14393"/>
    <tableColumn id="14412" xr3:uid="{97B49781-1902-5542-A86F-3FA865C4E43E}" name="Column14394"/>
    <tableColumn id="14413" xr3:uid="{20AD14C9-BA78-1640-9040-543EF3ABF481}" name="Column14395"/>
    <tableColumn id="14414" xr3:uid="{A2089E60-D7B0-8A4D-8461-8873AA7394AF}" name="Column14396"/>
    <tableColumn id="14415" xr3:uid="{B58777DC-04A2-8845-BA40-091886AC119C}" name="Column14397"/>
    <tableColumn id="14416" xr3:uid="{441A34FB-DA66-F84E-9312-B286D3B9C07E}" name="Column14398"/>
    <tableColumn id="14417" xr3:uid="{F3CE287F-FE68-694B-BAB7-6727B94592FB}" name="Column14399"/>
    <tableColumn id="14418" xr3:uid="{2F3DCCD4-696E-5448-BF63-5F5A3C8D91D3}" name="Column14400"/>
    <tableColumn id="14419" xr3:uid="{96D21E0B-0FD3-E346-924C-E8776E2D17F7}" name="Column14401"/>
    <tableColumn id="14420" xr3:uid="{45C3AF7C-1658-6E4A-A142-6809AD3883B6}" name="Column14402"/>
    <tableColumn id="14421" xr3:uid="{E0389DAB-D780-7D4E-BBCD-6D607C3A268C}" name="Column14403"/>
    <tableColumn id="14422" xr3:uid="{57DB98D9-33D2-EC4A-AB61-EBDDB1C7A65D}" name="Column14404"/>
    <tableColumn id="14423" xr3:uid="{7A3C9DA7-2BFD-BB49-B800-3BB36118A82F}" name="Column14405"/>
    <tableColumn id="14424" xr3:uid="{FE52F496-3652-8041-B3C5-30F92490727C}" name="Column14406"/>
    <tableColumn id="14425" xr3:uid="{9F2757A2-54B9-714B-8F29-A81468BBC28E}" name="Column14407"/>
    <tableColumn id="14426" xr3:uid="{5B939611-DA8B-DA47-A41A-FEB4F916D806}" name="Column14408"/>
    <tableColumn id="14427" xr3:uid="{3B516DD5-074E-5047-AA15-25B559A3FE0D}" name="Column14409"/>
    <tableColumn id="14428" xr3:uid="{4CD32495-BA2A-7047-AA92-6BCA0EFF8B5B}" name="Column14410"/>
    <tableColumn id="14429" xr3:uid="{DA08011D-2416-8948-ACE4-02B9D2396C8D}" name="Column14411"/>
    <tableColumn id="14430" xr3:uid="{A7C38C43-F228-834A-93D7-4BE4E82D4645}" name="Column14412"/>
    <tableColumn id="14431" xr3:uid="{BE712521-3595-2747-A437-84BA556E3102}" name="Column14413"/>
    <tableColumn id="14432" xr3:uid="{A271BC8D-703E-5348-B5FD-ED201A7DD08D}" name="Column14414"/>
    <tableColumn id="14433" xr3:uid="{1CAEE4CC-96D6-8D4A-B323-F0F7E3B2A909}" name="Column14415"/>
    <tableColumn id="14434" xr3:uid="{D3D71586-BA33-3441-A043-21903F191EC1}" name="Column14416"/>
    <tableColumn id="14435" xr3:uid="{5DF13236-5F07-2B4D-A104-27AA3F4752AE}" name="Column14417"/>
    <tableColumn id="14436" xr3:uid="{2A51EEB7-1393-C149-B36B-4A5E6F4B56B6}" name="Column14418"/>
    <tableColumn id="14437" xr3:uid="{2885786A-57D4-9342-93F8-D0AA3D639B96}" name="Column14419"/>
    <tableColumn id="14438" xr3:uid="{BD4D9C5E-6865-5A4C-8378-9F5964677070}" name="Column14420"/>
    <tableColumn id="14439" xr3:uid="{389E10F7-C2D1-8146-9A73-00E7A50929EC}" name="Column14421"/>
    <tableColumn id="14440" xr3:uid="{290A7D32-0D9D-AE46-BED3-1E1160E6B993}" name="Column14422"/>
    <tableColumn id="14441" xr3:uid="{42EF8732-6A73-C147-9126-093E7B249868}" name="Column14423"/>
    <tableColumn id="14442" xr3:uid="{5C488B63-D3CD-9A43-9637-0413A99A54E9}" name="Column14424"/>
    <tableColumn id="14443" xr3:uid="{EA0342CB-5D1C-4C40-B463-6112E215049B}" name="Column14425"/>
    <tableColumn id="14444" xr3:uid="{5038954D-802F-7845-89C7-240CB15350EB}" name="Column14426"/>
    <tableColumn id="14445" xr3:uid="{820918E5-D11A-3F42-92BB-C7D48C0954B9}" name="Column14427"/>
    <tableColumn id="14446" xr3:uid="{FDC7CC02-B9A9-4342-9748-C946DC50D473}" name="Column14428"/>
    <tableColumn id="14447" xr3:uid="{624C52E2-FD70-7947-B28D-77752DAC93E1}" name="Column14429"/>
    <tableColumn id="14448" xr3:uid="{BDEC2473-A88F-7940-8269-DD12E8287786}" name="Column14430"/>
    <tableColumn id="14449" xr3:uid="{FE598F12-6C61-0F43-BE38-459D41C1A6CE}" name="Column14431"/>
    <tableColumn id="14450" xr3:uid="{A2AB9CE3-EBF1-DB44-9E73-9A54F80E5007}" name="Column14432"/>
    <tableColumn id="14451" xr3:uid="{1278E9CA-6DDC-F240-BB3E-50752F4166D0}" name="Column14433"/>
    <tableColumn id="14452" xr3:uid="{21F10AC9-DB44-5B42-8B56-7E73CE2A003E}" name="Column14434"/>
    <tableColumn id="14453" xr3:uid="{971750D7-7DCD-E448-A51C-C62390BABCCC}" name="Column14435"/>
    <tableColumn id="14454" xr3:uid="{8E3111EC-06EB-A24A-9CE2-0FFE2E9CF51A}" name="Column14436"/>
    <tableColumn id="14455" xr3:uid="{E7E52DFE-6096-5A4A-93F1-6087A7C52F3F}" name="Column14437"/>
    <tableColumn id="14456" xr3:uid="{0232EC88-F221-3249-A2EB-25D50D7BFC85}" name="Column14438"/>
    <tableColumn id="14457" xr3:uid="{C9EF1A3B-F8A9-1846-ACB6-A3CAD68153F3}" name="Column14439"/>
    <tableColumn id="14458" xr3:uid="{1C0DB559-74FD-F645-A88D-AC637D31103C}" name="Column14440"/>
    <tableColumn id="14459" xr3:uid="{2E8D3F01-C09B-B04A-9D96-B1763A330B51}" name="Column14441"/>
    <tableColumn id="14460" xr3:uid="{C639F46C-F127-344E-9F22-42469336967F}" name="Column14442"/>
    <tableColumn id="14461" xr3:uid="{AB85592E-BDCD-BA47-B28E-44D3142F50EE}" name="Column14443"/>
    <tableColumn id="14462" xr3:uid="{AE7F11E3-C5DC-704B-A17F-DFB0AF7C0DB6}" name="Column14444"/>
    <tableColumn id="14463" xr3:uid="{8F4F1DC0-4884-9D40-B59B-7FEB35EDD3D8}" name="Column14445"/>
    <tableColumn id="14464" xr3:uid="{AEE665A0-80B2-114A-BF7C-6B8FF22B1296}" name="Column14446"/>
    <tableColumn id="14465" xr3:uid="{BC1D2241-6395-7042-9017-8500D606652E}" name="Column14447"/>
    <tableColumn id="14466" xr3:uid="{B1F589F2-AEAD-0A44-95C7-3287DB436DA5}" name="Column14448"/>
    <tableColumn id="14467" xr3:uid="{0932CCC4-0147-AC4D-8225-988304031468}" name="Column14449"/>
    <tableColumn id="14468" xr3:uid="{704DB0E8-82EF-6A4B-A1D5-1852E367FEFA}" name="Column14450"/>
    <tableColumn id="14469" xr3:uid="{44E1DFD1-9205-AF4C-A8CB-518A4BFD2CE3}" name="Column14451"/>
    <tableColumn id="14470" xr3:uid="{5AC1BEEA-9FFA-CE4D-98C0-8F9FEA70207B}" name="Column14452"/>
    <tableColumn id="14471" xr3:uid="{49D1E028-A311-0349-9905-1491CC061624}" name="Column14453"/>
    <tableColumn id="14472" xr3:uid="{21D953E3-ED59-364F-BD7A-7BEEADC5D93B}" name="Column14454"/>
    <tableColumn id="14473" xr3:uid="{32CDFAB1-46A9-F344-950D-AF2003F827D7}" name="Column14455"/>
    <tableColumn id="14474" xr3:uid="{E6D7B09A-F07A-FD46-8FBB-78E76C0FEBFF}" name="Column14456"/>
    <tableColumn id="14475" xr3:uid="{04191463-D4AE-7F43-A024-BAC827191DB1}" name="Column14457"/>
    <tableColumn id="14476" xr3:uid="{F8782ACE-2B70-8E4D-B29D-3A2A659E9D72}" name="Column14458"/>
    <tableColumn id="14477" xr3:uid="{FE1DBFA4-A397-F745-97B8-250C50600730}" name="Column14459"/>
    <tableColumn id="14478" xr3:uid="{36B746B0-04B1-024D-9650-12F5B1DE27D5}" name="Column14460"/>
    <tableColumn id="14479" xr3:uid="{0E546CFF-1C81-D24F-AD92-E0F7A7A43D4F}" name="Column14461"/>
    <tableColumn id="14480" xr3:uid="{8E49845A-7294-CE45-A947-C213D993B887}" name="Column14462"/>
    <tableColumn id="14481" xr3:uid="{9789955E-47C7-5141-B472-977F3FC3AC1E}" name="Column14463"/>
    <tableColumn id="14482" xr3:uid="{CE8BFBBF-BC81-2042-9A67-45F93E246F3E}" name="Column14464"/>
    <tableColumn id="14483" xr3:uid="{CF2950BF-F615-CC49-A037-09D8CBB7FC27}" name="Column14465"/>
    <tableColumn id="14484" xr3:uid="{55DCE36A-6C17-9546-8C71-1E192E84CE5B}" name="Column14466"/>
    <tableColumn id="14485" xr3:uid="{DC336879-98F9-DA49-AAE4-B449FE6443A1}" name="Column14467"/>
    <tableColumn id="14486" xr3:uid="{7051C1D6-A032-0540-A14F-F67F826A47D1}" name="Column14468"/>
    <tableColumn id="14487" xr3:uid="{B6F57149-A460-FC49-90A8-7E2B30E06B50}" name="Column14469"/>
    <tableColumn id="14488" xr3:uid="{9490E325-9D25-E34C-A88D-5080B0881FBC}" name="Column14470"/>
    <tableColumn id="14489" xr3:uid="{B102699F-E010-1142-9DFA-E9B35BA423F9}" name="Column14471"/>
    <tableColumn id="14490" xr3:uid="{AB7BE422-48CA-4F4F-B3C7-31EFC503D401}" name="Column14472"/>
    <tableColumn id="14491" xr3:uid="{4D7733BC-7941-A641-8850-B493143E5EC4}" name="Column14473"/>
    <tableColumn id="14492" xr3:uid="{EE3569E2-0C59-1742-9C2B-B3A5A2120AB9}" name="Column14474"/>
    <tableColumn id="14493" xr3:uid="{6775A26B-5EF2-2E42-A96F-A2A8325D414A}" name="Column14475"/>
    <tableColumn id="14494" xr3:uid="{9780988B-332D-414D-9970-DCB9159D69A6}" name="Column14476"/>
    <tableColumn id="14495" xr3:uid="{AD7742B7-8351-E84A-8C9A-739F6CAE7882}" name="Column14477"/>
    <tableColumn id="14496" xr3:uid="{AFF70001-CC92-E14E-A7D0-9C8EB87E1627}" name="Column14478"/>
    <tableColumn id="14497" xr3:uid="{3ACF7447-9FB9-EE43-B3B6-F41E60F0C30F}" name="Column14479"/>
    <tableColumn id="14498" xr3:uid="{4CA65CB2-D815-F54D-BC5E-6D69D61C5E37}" name="Column14480"/>
    <tableColumn id="14499" xr3:uid="{9149CFCF-F1D7-9445-91D0-D947B49A08AD}" name="Column14481"/>
    <tableColumn id="14500" xr3:uid="{8A672B0B-4C36-1E4C-8A64-FABC156454E8}" name="Column14482"/>
    <tableColumn id="14501" xr3:uid="{C33DF98C-CEC0-BF4C-8C35-CEEB9F13B6E0}" name="Column14483"/>
    <tableColumn id="14502" xr3:uid="{71403F45-F02F-1E4D-B0BA-7769D2914225}" name="Column14484"/>
    <tableColumn id="14503" xr3:uid="{833DE092-FA88-E84C-8706-33AD60513185}" name="Column14485"/>
    <tableColumn id="14504" xr3:uid="{6EBF585D-3259-4541-9318-10C3885D731F}" name="Column14486"/>
    <tableColumn id="14505" xr3:uid="{77CD0D2F-DD07-0546-830B-8C3F9616D659}" name="Column14487"/>
    <tableColumn id="14506" xr3:uid="{164DA292-3E5B-BB48-A9C7-E3A5F1022578}" name="Column14488"/>
    <tableColumn id="14507" xr3:uid="{3A9F9C28-8B41-134C-A4E9-7F11C8350822}" name="Column14489"/>
    <tableColumn id="14508" xr3:uid="{FD8C4C7C-BBE5-E846-9E97-27CE37EF73D3}" name="Column14490"/>
    <tableColumn id="14509" xr3:uid="{BDC23C55-8B02-1E45-8A65-383289CB3EAA}" name="Column14491"/>
    <tableColumn id="14510" xr3:uid="{CE01B16B-40AC-3248-BBC2-D1BCC136A697}" name="Column14492"/>
    <tableColumn id="14511" xr3:uid="{6931C9F8-1815-0B47-A96A-A0FEF5F962FD}" name="Column14493"/>
    <tableColumn id="14512" xr3:uid="{74E77FE3-58FD-B247-8F49-5537672539B6}" name="Column14494"/>
    <tableColumn id="14513" xr3:uid="{E8558DDB-F3E9-0546-B159-8A359B5CDA04}" name="Column14495"/>
    <tableColumn id="14514" xr3:uid="{E19D7B9E-05EC-B34F-8C6B-F67E1ED0C454}" name="Column14496"/>
    <tableColumn id="14515" xr3:uid="{0A6D4DDA-22E4-5447-B096-D539CBA39093}" name="Column14497"/>
    <tableColumn id="14516" xr3:uid="{043343A9-0658-624A-84A6-C6125284D131}" name="Column14498"/>
    <tableColumn id="14517" xr3:uid="{4A052D24-18D3-CA49-BFEB-970CB17FA34C}" name="Column14499"/>
    <tableColumn id="14518" xr3:uid="{A7E4A6C2-2955-5340-B118-E961CDF19ED7}" name="Column14500"/>
    <tableColumn id="14519" xr3:uid="{A369AE95-08BE-6740-B82D-842A35B797C3}" name="Column14501"/>
    <tableColumn id="14520" xr3:uid="{95E8E31E-3255-8C43-B318-E1F7E27400A0}" name="Column14502"/>
    <tableColumn id="14521" xr3:uid="{967BF742-3F03-924B-B3E0-9DDB0506ED8A}" name="Column14503"/>
    <tableColumn id="14522" xr3:uid="{4741FB1F-806F-F54C-9A68-073C902844A7}" name="Column14504"/>
    <tableColumn id="14523" xr3:uid="{73CF29BD-835F-1C4A-802D-97F6A78BE0D8}" name="Column14505"/>
    <tableColumn id="14524" xr3:uid="{94212DE4-BD77-BA49-B8C1-2B4F253C371D}" name="Column14506"/>
    <tableColumn id="14525" xr3:uid="{CBB11253-7C34-6B45-8415-C5A133C58566}" name="Column14507"/>
    <tableColumn id="14526" xr3:uid="{A8BCCEB5-9858-2E47-87EB-BBD71D1126FA}" name="Column14508"/>
    <tableColumn id="14527" xr3:uid="{B7B7CB0A-982A-C545-A855-652BAEDADD89}" name="Column14509"/>
    <tableColumn id="14528" xr3:uid="{A52A0191-8FA4-CB43-B512-D5ACDD5A2A23}" name="Column14510"/>
    <tableColumn id="14529" xr3:uid="{DE40A20E-5D76-AB49-81FB-9717F2A1D722}" name="Column14511"/>
    <tableColumn id="14530" xr3:uid="{0C1DB037-CCAF-594B-AC7B-6F410D059DD1}" name="Column14512"/>
    <tableColumn id="14531" xr3:uid="{E1D94B99-6CC3-2747-BD9C-9B2971C7F352}" name="Column14513"/>
    <tableColumn id="14532" xr3:uid="{00144EB6-BF35-D548-9C8F-04F04DE07C11}" name="Column14514"/>
    <tableColumn id="14533" xr3:uid="{B2FB0952-8539-8748-9183-46C6FC697558}" name="Column14515"/>
    <tableColumn id="14534" xr3:uid="{3836DE05-CFD7-F440-96CA-DD5974065B50}" name="Column14516"/>
    <tableColumn id="14535" xr3:uid="{5C1D2B9E-EB27-6C4F-AC86-DEFE1A7E0846}" name="Column14517"/>
    <tableColumn id="14536" xr3:uid="{7065E2BB-614E-4C43-8923-B00EE98768C0}" name="Column14518"/>
    <tableColumn id="14537" xr3:uid="{B1C391E2-D3D7-954F-B7DE-90F9AAB4C881}" name="Column14519"/>
    <tableColumn id="14538" xr3:uid="{7A541AA8-9EAD-E343-8DFF-61BBDC7A946D}" name="Column14520"/>
    <tableColumn id="14539" xr3:uid="{89FFB8CD-76F8-6D41-A521-0FA3B267FE74}" name="Column14521"/>
    <tableColumn id="14540" xr3:uid="{26E61B83-0AE9-4742-93B1-02D1C0020A6A}" name="Column14522"/>
    <tableColumn id="14541" xr3:uid="{D5B5F6EA-F894-2B49-972C-E84B522893B9}" name="Column14523"/>
    <tableColumn id="14542" xr3:uid="{ED9C9FB8-1B31-CC4D-AC14-B689479BA150}" name="Column14524"/>
    <tableColumn id="14543" xr3:uid="{62BD7780-90B1-654E-BEF0-FC14470CFAAA}" name="Column14525"/>
    <tableColumn id="14544" xr3:uid="{99D4A050-5B83-8E48-B9DD-BC0890839964}" name="Column14526"/>
    <tableColumn id="14545" xr3:uid="{696A5933-A4DC-6443-A5DD-5ABD2CE1F548}" name="Column14527"/>
    <tableColumn id="14546" xr3:uid="{F835E629-6642-E84E-B100-49C0F66532BD}" name="Column14528"/>
    <tableColumn id="14547" xr3:uid="{E30BB166-7105-314F-A395-EE6449E40651}" name="Column14529"/>
    <tableColumn id="14548" xr3:uid="{CCEE2C14-398B-1D4E-91A8-55BAE8370258}" name="Column14530"/>
    <tableColumn id="14549" xr3:uid="{5DCDE342-613B-7141-B750-604C68499EEE}" name="Column14531"/>
    <tableColumn id="14550" xr3:uid="{93F24D8F-D4C9-6547-96F2-82171EFABD71}" name="Column14532"/>
    <tableColumn id="14551" xr3:uid="{88179CD9-5054-2340-9251-038BAC6153A0}" name="Column14533"/>
    <tableColumn id="14552" xr3:uid="{5CFDB4DE-DB9F-6F45-89D0-400D009D33CC}" name="Column14534"/>
    <tableColumn id="14553" xr3:uid="{3EF72FAF-382A-B74D-A779-110A08B4E511}" name="Column14535"/>
    <tableColumn id="14554" xr3:uid="{5A488A63-F154-7C48-8450-B43854FBF57A}" name="Column14536"/>
    <tableColumn id="14555" xr3:uid="{72FE2CDE-4C6F-F64D-8802-A7EDD494B9B2}" name="Column14537"/>
    <tableColumn id="14556" xr3:uid="{A8BED9C7-7CE9-5E48-9F84-AD400BCA8D1B}" name="Column14538"/>
    <tableColumn id="14557" xr3:uid="{286FAED9-54C4-1A40-82B6-C39A51321465}" name="Column14539"/>
    <tableColumn id="14558" xr3:uid="{AA89F1CF-4643-4043-A3CA-115C72B196AF}" name="Column14540"/>
    <tableColumn id="14559" xr3:uid="{290D8866-7975-B54C-A603-41952FF1CB00}" name="Column14541"/>
    <tableColumn id="14560" xr3:uid="{EBFD980A-EDA1-B440-ADA7-1AD5E63F07ED}" name="Column14542"/>
    <tableColumn id="14561" xr3:uid="{45BB5585-67B2-7A44-9049-AB4E0F6F32A5}" name="Column14543"/>
    <tableColumn id="14562" xr3:uid="{0B4873F9-405E-AE46-9833-D3691B7F8B9F}" name="Column14544"/>
    <tableColumn id="14563" xr3:uid="{CF0875BA-47F9-FF49-82E2-767CA93B07FC}" name="Column14545"/>
    <tableColumn id="14564" xr3:uid="{26F78A81-8CB5-F44B-8853-DFD69D2C2015}" name="Column14546"/>
    <tableColumn id="14565" xr3:uid="{16FCDEBD-7FC8-C542-B7E8-EB0C8FDE3550}" name="Column14547"/>
    <tableColumn id="14566" xr3:uid="{063DCBD8-F159-1345-BA0B-CD0E6E693AC7}" name="Column14548"/>
    <tableColumn id="14567" xr3:uid="{72FA39D1-1B30-A44E-99E9-4C8654EEC4B6}" name="Column14549"/>
    <tableColumn id="14568" xr3:uid="{2B1AE682-3E7B-F24C-B899-447E7C6F6A5E}" name="Column14550"/>
    <tableColumn id="14569" xr3:uid="{EAAAD317-82AC-224D-B74B-24374945A872}" name="Column14551"/>
    <tableColumn id="14570" xr3:uid="{B9DAA4CB-1205-414B-A2F0-0DB476460C55}" name="Column14552"/>
    <tableColumn id="14571" xr3:uid="{BEBDB19A-3961-2746-8B09-E7DA6FB04C4E}" name="Column14553"/>
    <tableColumn id="14572" xr3:uid="{04850F25-4D4D-9B44-9CCD-4CF227CFA52E}" name="Column14554"/>
    <tableColumn id="14573" xr3:uid="{537CB5FC-7604-DF44-BF5D-CF027A99C9D3}" name="Column14555"/>
    <tableColumn id="14574" xr3:uid="{8E59050E-05C7-584F-B191-6A6FDBF693AD}" name="Column14556"/>
    <tableColumn id="14575" xr3:uid="{CBE36BBD-D476-1A4E-829E-642351FF21D1}" name="Column14557"/>
    <tableColumn id="14576" xr3:uid="{327BA1F6-AFFD-714C-B844-22BB9A790B6B}" name="Column14558"/>
    <tableColumn id="14577" xr3:uid="{A96DFB57-5E69-EA4B-8A1F-DA4CCE67F6EA}" name="Column14559"/>
    <tableColumn id="14578" xr3:uid="{EE8AAD97-075A-6D4C-99F6-F771D12FB1D9}" name="Column14560"/>
    <tableColumn id="14579" xr3:uid="{5E70F734-2D0D-4443-89B6-903CAF48B58A}" name="Column14561"/>
    <tableColumn id="14580" xr3:uid="{FD2AA0A9-5A52-C140-A0AD-8E016CC33F82}" name="Column14562"/>
    <tableColumn id="14581" xr3:uid="{15518AB2-951C-A749-83B1-B86B7802A422}" name="Column14563"/>
    <tableColumn id="14582" xr3:uid="{310AB1D8-5B4E-6A42-9F40-951EAF3D11E0}" name="Column14564"/>
    <tableColumn id="14583" xr3:uid="{B1695528-C154-A04B-B2D3-1858D5B4BDA0}" name="Column14565"/>
    <tableColumn id="14584" xr3:uid="{47F222A2-01A2-7742-B3DA-1AD92942B3DF}" name="Column14566"/>
    <tableColumn id="14585" xr3:uid="{30EC72BD-5C31-D840-BDB6-3C7336683D24}" name="Column14567"/>
    <tableColumn id="14586" xr3:uid="{40358766-F0E2-2549-81ED-34EEF74A4A0C}" name="Column14568"/>
    <tableColumn id="14587" xr3:uid="{BC36F965-14DF-0548-8C2E-0F0CA2592242}" name="Column14569"/>
    <tableColumn id="14588" xr3:uid="{031DD353-07CC-7344-AD72-9D947F6DFBC7}" name="Column14570"/>
    <tableColumn id="14589" xr3:uid="{7429C862-8B83-3145-932B-7508D07898CC}" name="Column14571"/>
    <tableColumn id="14590" xr3:uid="{7EAF5BE4-718C-794B-93AF-28E93E64D99B}" name="Column14572"/>
    <tableColumn id="14591" xr3:uid="{49408370-13D3-BA46-9B25-DDFA29586327}" name="Column14573"/>
    <tableColumn id="14592" xr3:uid="{3353AB33-6DC4-9E4B-85E9-FFB8C5001FA9}" name="Column14574"/>
    <tableColumn id="14593" xr3:uid="{8C7D4123-0E9F-E24E-98CB-B0582A9C0310}" name="Column14575"/>
    <tableColumn id="14594" xr3:uid="{8581EC14-B480-484E-B6FA-74FD9B7D7D13}" name="Column14576"/>
    <tableColumn id="14595" xr3:uid="{8137A7E3-9322-4948-A6C0-3814819D18AF}" name="Column14577"/>
    <tableColumn id="14596" xr3:uid="{94644817-694C-BB42-BFAF-2AB6D80DB8B0}" name="Column14578"/>
    <tableColumn id="14597" xr3:uid="{09CCE866-52E0-1F4F-AC68-FDA454F18768}" name="Column14579"/>
    <tableColumn id="14598" xr3:uid="{29BEEB78-77BC-2046-8094-56C4A6BEFB92}" name="Column14580"/>
    <tableColumn id="14599" xr3:uid="{5FDE90F0-BB8F-724C-97F9-0BCD9513A2FC}" name="Column14581"/>
    <tableColumn id="14600" xr3:uid="{694F9A50-BF04-F34A-9543-559C7B4014DD}" name="Column14582"/>
    <tableColumn id="14601" xr3:uid="{229C7FFB-91AA-8D41-8FFE-14F2B2D5EA71}" name="Column14583"/>
    <tableColumn id="14602" xr3:uid="{3AD49DAC-EF78-C44C-80F1-13694AFFD902}" name="Column14584"/>
    <tableColumn id="14603" xr3:uid="{C86C92ED-E348-804E-929B-FEB016F4C2BF}" name="Column14585"/>
    <tableColumn id="14604" xr3:uid="{A32F7276-B9D5-494C-AC7A-47364D034D28}" name="Column14586"/>
    <tableColumn id="14605" xr3:uid="{3F3CFABA-F55A-EB4B-9AA6-8B2D14C6F6C3}" name="Column14587"/>
    <tableColumn id="14606" xr3:uid="{8B9F0C07-29A8-D342-989A-E644740702B4}" name="Column14588"/>
    <tableColumn id="14607" xr3:uid="{358A85A7-A92F-D94F-81B2-D0E3C23510D3}" name="Column14589"/>
    <tableColumn id="14608" xr3:uid="{B1A12C18-748C-3B45-8665-39E5DFC6A219}" name="Column14590"/>
    <tableColumn id="14609" xr3:uid="{474D2852-0050-A64A-86A5-7024A44B7A28}" name="Column14591"/>
    <tableColumn id="14610" xr3:uid="{F87495EF-67BC-CF44-B6F7-A3A38EB3C9CC}" name="Column14592"/>
    <tableColumn id="14611" xr3:uid="{02688F38-2E0E-9E4F-A36A-6284D61C08D7}" name="Column14593"/>
    <tableColumn id="14612" xr3:uid="{CE0DAA35-69F9-DD49-AAF2-1CBE1F9BD510}" name="Column14594"/>
    <tableColumn id="14613" xr3:uid="{16BADD5C-CEF1-794D-B860-D67874A44F77}" name="Column14595"/>
    <tableColumn id="14614" xr3:uid="{10BB3EDC-9797-BB4E-B173-2D486D3DBA84}" name="Column14596"/>
    <tableColumn id="14615" xr3:uid="{B0C74C4B-31CE-1B42-A911-300E3928F7B2}" name="Column14597"/>
    <tableColumn id="14616" xr3:uid="{9E40784E-B388-EC46-BC8A-64FC95B96555}" name="Column14598"/>
    <tableColumn id="14617" xr3:uid="{967FD326-9FAE-A84A-804A-4A233A4C90CC}" name="Column14599"/>
    <tableColumn id="14618" xr3:uid="{420FEA3C-5588-0747-A355-2860935A43FD}" name="Column14600"/>
    <tableColumn id="14619" xr3:uid="{4F6AD2C0-D2E5-9F40-B151-6A834F4FDB57}" name="Column14601"/>
    <tableColumn id="14620" xr3:uid="{6B34277F-07C0-2B42-AD58-D9A94A52298F}" name="Column14602"/>
    <tableColumn id="14621" xr3:uid="{03CA5560-E930-5D4E-8F9C-E6C7C46EFAEE}" name="Column14603"/>
    <tableColumn id="14622" xr3:uid="{9A252894-C325-4D41-AE05-CE7C29BF5CE0}" name="Column14604"/>
    <tableColumn id="14623" xr3:uid="{324D06C9-6668-4342-82AD-EF7086BE153B}" name="Column14605"/>
    <tableColumn id="14624" xr3:uid="{A20E2C5F-56B0-4945-8B66-C12B4E95B38A}" name="Column14606"/>
    <tableColumn id="14625" xr3:uid="{8481EC31-F984-7F43-A194-089F57C3C40A}" name="Column14607"/>
    <tableColumn id="14626" xr3:uid="{8B0EA76D-2650-3B41-BA86-2455551A063B}" name="Column14608"/>
    <tableColumn id="14627" xr3:uid="{15E2DE41-9712-FB46-88A6-6F6CB4D69F02}" name="Column14609"/>
    <tableColumn id="14628" xr3:uid="{12AB87FB-CBFE-634B-9C78-24FA210B35BC}" name="Column14610"/>
    <tableColumn id="14629" xr3:uid="{778DEAD3-CAD7-984C-9EF7-9387BA26DD84}" name="Column14611"/>
    <tableColumn id="14630" xr3:uid="{9C35CA8B-FE93-F148-A546-7298B93F49F7}" name="Column14612"/>
    <tableColumn id="14631" xr3:uid="{49701D3D-B88B-7E46-84C2-1F1095874F60}" name="Column14613"/>
    <tableColumn id="14632" xr3:uid="{8D489E58-C534-BC47-82F7-B66E50133224}" name="Column14614"/>
    <tableColumn id="14633" xr3:uid="{290144E7-006A-5E4A-85BA-84D63CCCD8DD}" name="Column14615"/>
    <tableColumn id="14634" xr3:uid="{F209029A-104B-714A-BEBF-441A396879CC}" name="Column14616"/>
    <tableColumn id="14635" xr3:uid="{8CB6FE13-6AFE-9447-8051-EEBD61C90EC0}" name="Column14617"/>
    <tableColumn id="14636" xr3:uid="{42EA851B-F75C-DC47-92C9-5217D28C507E}" name="Column14618"/>
    <tableColumn id="14637" xr3:uid="{51BF61C2-7220-7341-8211-4228CF713B50}" name="Column14619"/>
    <tableColumn id="14638" xr3:uid="{CF8B1EAA-4809-B446-B3E6-2A5D5AA68D34}" name="Column14620"/>
    <tableColumn id="14639" xr3:uid="{CE57451E-42E5-D04E-8D53-C83E0C009AC9}" name="Column14621"/>
    <tableColumn id="14640" xr3:uid="{ED828CEB-A7E0-1E42-8D46-E8503B5D7BE8}" name="Column14622"/>
    <tableColumn id="14641" xr3:uid="{48B6CD13-3EB7-8B4E-9927-2F6271BFBFAD}" name="Column14623"/>
    <tableColumn id="14642" xr3:uid="{C6C93B44-109B-1746-9088-5F438A43A32E}" name="Column14624"/>
    <tableColumn id="14643" xr3:uid="{53D4ABCD-F768-244A-9568-37E6D143F77D}" name="Column14625"/>
    <tableColumn id="14644" xr3:uid="{7597819E-3ED2-5342-B447-A7C3B33F8524}" name="Column14626"/>
    <tableColumn id="14645" xr3:uid="{B5F4DD5F-F2CA-C24C-9DD3-DBDE361650AE}" name="Column14627"/>
    <tableColumn id="14646" xr3:uid="{3A5074F9-6783-0B46-9A01-3C24981CFF30}" name="Column14628"/>
    <tableColumn id="14647" xr3:uid="{40FEB202-6320-664A-9E12-37EF3D5D2EDA}" name="Column14629"/>
    <tableColumn id="14648" xr3:uid="{C41228E8-BC1B-734A-BDF6-695FDA1C2943}" name="Column14630"/>
    <tableColumn id="14649" xr3:uid="{B310B7A4-6677-E848-BDD0-A71EF0234A94}" name="Column14631"/>
    <tableColumn id="14650" xr3:uid="{FD6EDD2D-6B13-4848-8424-97283327DC5D}" name="Column14632"/>
    <tableColumn id="14651" xr3:uid="{FE16449D-A880-844C-AE22-F7EF646A220A}" name="Column14633"/>
    <tableColumn id="14652" xr3:uid="{92B760A8-7B9D-E145-9C0E-D7EFADBB1B5F}" name="Column14634"/>
    <tableColumn id="14653" xr3:uid="{5980A3B7-493B-BF40-9F8A-AA6F2B98CBBA}" name="Column14635"/>
    <tableColumn id="14654" xr3:uid="{52023CEF-E904-3747-9F15-524CCDA9128B}" name="Column14636"/>
    <tableColumn id="14655" xr3:uid="{EBD2A209-6B40-B941-9FA0-625FA5336218}" name="Column14637"/>
    <tableColumn id="14656" xr3:uid="{57DCB9E0-1E61-C14B-A9DB-E03C2DB7D0F8}" name="Column14638"/>
    <tableColumn id="14657" xr3:uid="{EBC6FE7A-C5BA-0E42-8BBA-438F7C2F0DCB}" name="Column14639"/>
    <tableColumn id="14658" xr3:uid="{59421520-D4E0-B44B-8240-3B63E76C95B7}" name="Column14640"/>
    <tableColumn id="14659" xr3:uid="{F3AE60ED-8E09-A041-A387-9ADC335CEFBF}" name="Column14641"/>
    <tableColumn id="14660" xr3:uid="{CE18A418-7C90-F541-9C7F-63331D0030B5}" name="Column14642"/>
    <tableColumn id="14661" xr3:uid="{1219B51F-605F-5C4C-8E91-E27EB98CBEED}" name="Column14643"/>
    <tableColumn id="14662" xr3:uid="{ABA62D2F-2520-5B4D-B050-FE5B657C0737}" name="Column14644"/>
    <tableColumn id="14663" xr3:uid="{8E79FB10-2B26-7445-86AE-2658BD782E7C}" name="Column14645"/>
    <tableColumn id="14664" xr3:uid="{BF6EFC78-5E2C-594D-B36E-BDC8352A3017}" name="Column14646"/>
    <tableColumn id="14665" xr3:uid="{8468EEE2-0976-0444-A36A-43346112B184}" name="Column14647"/>
    <tableColumn id="14666" xr3:uid="{4D1E7F19-82DC-3A47-B87B-04BD8EAA0ABD}" name="Column14648"/>
    <tableColumn id="14667" xr3:uid="{0E7710A3-0016-7F41-8B22-67948E3DB923}" name="Column14649"/>
    <tableColumn id="14668" xr3:uid="{88C3D12F-C6FC-E34B-92D8-BF3D5E8AD7DB}" name="Column14650"/>
    <tableColumn id="14669" xr3:uid="{482B96AB-EB2D-2A45-8D46-23F3BCC0C6F4}" name="Column14651"/>
    <tableColumn id="14670" xr3:uid="{B06D9FE4-6B44-AB44-B195-C77A36CB2686}" name="Column14652"/>
    <tableColumn id="14671" xr3:uid="{3DD5FEB0-C63D-684D-AB99-246273C0FCB2}" name="Column14653"/>
    <tableColumn id="14672" xr3:uid="{12B4F381-E531-C14F-9620-91FC0B7A8CA6}" name="Column14654"/>
    <tableColumn id="14673" xr3:uid="{F948F03F-039E-714A-8082-FAD5581C0011}" name="Column14655"/>
    <tableColumn id="14674" xr3:uid="{F5532357-691C-AE48-B802-07542C108D17}" name="Column14656"/>
    <tableColumn id="14675" xr3:uid="{D5261537-6B16-6547-BF84-3B5853B284B2}" name="Column14657"/>
    <tableColumn id="14676" xr3:uid="{4946AEDA-C60F-E74F-BE87-21F92C36010B}" name="Column14658"/>
    <tableColumn id="14677" xr3:uid="{C1E70198-30EF-3142-8275-46B9B4C216AC}" name="Column14659"/>
    <tableColumn id="14678" xr3:uid="{50ECCBD2-3E59-634A-AA4B-7DDF0B5AE23B}" name="Column14660"/>
    <tableColumn id="14679" xr3:uid="{81F158B8-A100-EE48-B464-BDC64CA4D6C8}" name="Column14661"/>
    <tableColumn id="14680" xr3:uid="{CB38C816-CAE6-5F44-B5EF-6CB311FEB85E}" name="Column14662"/>
    <tableColumn id="14681" xr3:uid="{18F03129-9B96-5242-957A-4F3D74AD793A}" name="Column14663"/>
    <tableColumn id="14682" xr3:uid="{2636F374-2A91-4641-B83C-46FB420481B9}" name="Column14664"/>
    <tableColumn id="14683" xr3:uid="{0AE74A5C-AC21-5349-A26F-AC8C66DDB56F}" name="Column14665"/>
    <tableColumn id="14684" xr3:uid="{C92D2FE5-504E-9841-8D46-36A6D4D1F1EB}" name="Column14666"/>
    <tableColumn id="14685" xr3:uid="{A50D307D-2BD2-DA47-893E-8263F2B74DD2}" name="Column14667"/>
    <tableColumn id="14686" xr3:uid="{4A925DE1-A3B4-FE4E-A3B3-9AB6D3AF05CB}" name="Column14668"/>
    <tableColumn id="14687" xr3:uid="{B568667D-620B-2546-9E64-9388D9C40526}" name="Column14669"/>
    <tableColumn id="14688" xr3:uid="{62F319D4-11B6-0949-940C-D4121B3827E0}" name="Column14670"/>
    <tableColumn id="14689" xr3:uid="{63D60012-0116-ED40-8DF4-6BD9441C3B05}" name="Column14671"/>
    <tableColumn id="14690" xr3:uid="{03F8D1C2-318C-A445-A26B-0D9081C53C66}" name="Column14672"/>
    <tableColumn id="14691" xr3:uid="{52D09408-CE78-C546-BFD8-B26848CDBA48}" name="Column14673"/>
    <tableColumn id="14692" xr3:uid="{8DC41665-94C0-3C4E-9AD1-61585859CD5A}" name="Column14674"/>
    <tableColumn id="14693" xr3:uid="{B0822B68-2753-3647-A36B-D15B5215BBE7}" name="Column14675"/>
    <tableColumn id="14694" xr3:uid="{2F465DCD-9EEE-054D-BC42-4C0749F00E34}" name="Column14676"/>
    <tableColumn id="14695" xr3:uid="{2295B946-ED96-664C-B870-6B23C2907AAF}" name="Column14677"/>
    <tableColumn id="14696" xr3:uid="{B617FE4C-5663-3C44-9E47-B99A8422A134}" name="Column14678"/>
    <tableColumn id="14697" xr3:uid="{94D2164B-116B-F946-84F8-4BEF75B32709}" name="Column14679"/>
    <tableColumn id="14698" xr3:uid="{E0EECBBB-3137-E245-B61D-D0FCDBDA0197}" name="Column14680"/>
    <tableColumn id="14699" xr3:uid="{DF968153-6B13-4E4D-9EA6-E7054AFF3D80}" name="Column14681"/>
    <tableColumn id="14700" xr3:uid="{E6CC5D90-EBC3-2743-A829-463C5AC89DAA}" name="Column14682"/>
    <tableColumn id="14701" xr3:uid="{A5B11A31-7182-A743-AA54-98F0DE13AE8C}" name="Column14683"/>
    <tableColumn id="14702" xr3:uid="{C5668289-D61A-854E-84AF-0ECDA4E04BA6}" name="Column14684"/>
    <tableColumn id="14703" xr3:uid="{C16C948F-4109-4642-BD03-844D7C552B68}" name="Column14685"/>
    <tableColumn id="14704" xr3:uid="{05EC2670-693C-364C-B631-E8841A13AB3F}" name="Column14686"/>
    <tableColumn id="14705" xr3:uid="{EA38F406-34D7-3144-A9E0-E83312156810}" name="Column14687"/>
    <tableColumn id="14706" xr3:uid="{EC805C46-CAC7-3F4B-814E-BCFD11D49DBE}" name="Column14688"/>
    <tableColumn id="14707" xr3:uid="{AECF8D81-A90F-9747-82F0-DBEC6E3D195F}" name="Column14689"/>
    <tableColumn id="14708" xr3:uid="{6AA26632-C8E4-5240-B61B-B87AA70258A7}" name="Column14690"/>
    <tableColumn id="14709" xr3:uid="{D0AE0EA6-E342-8F49-85B5-9198A5D1457E}" name="Column14691"/>
    <tableColumn id="14710" xr3:uid="{E5F99486-0460-4E46-B0B0-35A0A0C5475E}" name="Column14692"/>
    <tableColumn id="14711" xr3:uid="{29019075-855D-D44E-B7B1-46993671E363}" name="Column14693"/>
    <tableColumn id="14712" xr3:uid="{8110D7C7-ECCF-2C43-A492-3895070E2801}" name="Column14694"/>
    <tableColumn id="14713" xr3:uid="{64F2585A-4B45-3844-A6C0-46B46C27B0C2}" name="Column14695"/>
    <tableColumn id="14714" xr3:uid="{88874CBA-3110-B54F-9E5D-D248F198297B}" name="Column14696"/>
    <tableColumn id="14715" xr3:uid="{F35F50B8-D564-3647-8E2C-67847EFCA6CA}" name="Column14697"/>
    <tableColumn id="14716" xr3:uid="{35C124C8-023B-8D41-8F2C-68B54994E133}" name="Column14698"/>
    <tableColumn id="14717" xr3:uid="{1D27B6A5-A953-4749-B9B3-01355F228B10}" name="Column14699"/>
    <tableColumn id="14718" xr3:uid="{4F9BD0A6-BFCF-9945-800C-743C16F02557}" name="Column14700"/>
    <tableColumn id="14719" xr3:uid="{01B3FF30-08C7-E448-832A-F842EB48F2C3}" name="Column14701"/>
    <tableColumn id="14720" xr3:uid="{6E305FDF-85DD-3841-A6E7-E2E82D8F7074}" name="Column14702"/>
    <tableColumn id="14721" xr3:uid="{15A9F527-E3F6-3A4F-9D56-68813617C82C}" name="Column14703"/>
    <tableColumn id="14722" xr3:uid="{BF240442-813C-D841-9E3E-40786DE3F848}" name="Column14704"/>
    <tableColumn id="14723" xr3:uid="{B27F7DDF-1CBC-3145-BF9C-5F76C6AD016C}" name="Column14705"/>
    <tableColumn id="14724" xr3:uid="{701806EC-B973-684D-9694-1A3E87375948}" name="Column14706"/>
    <tableColumn id="14725" xr3:uid="{B1CD65F7-3C9B-BC49-A750-FA3E9DCCF409}" name="Column14707"/>
    <tableColumn id="14726" xr3:uid="{18D47378-A87A-EC4D-BC98-98CC6174FE76}" name="Column14708"/>
    <tableColumn id="14727" xr3:uid="{39258C8B-66DE-0247-9D6C-253F16653178}" name="Column14709"/>
    <tableColumn id="14728" xr3:uid="{10AB4F35-9C6A-7942-9DB9-9B6B44756692}" name="Column14710"/>
    <tableColumn id="14729" xr3:uid="{63112D82-B1D7-4E4D-BBA1-573C23D6756F}" name="Column14711"/>
    <tableColumn id="14730" xr3:uid="{EF305326-BE7A-6A40-B58E-B89AB8917944}" name="Column14712"/>
    <tableColumn id="14731" xr3:uid="{991C1D50-EC47-DC43-9C46-49042D664399}" name="Column14713"/>
    <tableColumn id="14732" xr3:uid="{E030EDC4-B997-CD4D-BCCB-E5E07602586F}" name="Column14714"/>
    <tableColumn id="14733" xr3:uid="{9DD8365C-762A-B149-835B-E4AFDA8E56C1}" name="Column14715"/>
    <tableColumn id="14734" xr3:uid="{E726C68C-F883-1F45-9C96-3F95635D498D}" name="Column14716"/>
    <tableColumn id="14735" xr3:uid="{554FA2C3-9A9E-854D-9183-440DF0DDFF8F}" name="Column14717"/>
    <tableColumn id="14736" xr3:uid="{ABDCEEBD-7E85-F14E-AF2D-F7BBDD364079}" name="Column14718"/>
    <tableColumn id="14737" xr3:uid="{A91C3699-1565-5F45-A59C-4F010118FBAC}" name="Column14719"/>
    <tableColumn id="14738" xr3:uid="{BF1FA0FF-2C08-5747-9D3D-4F4BAA81547E}" name="Column14720"/>
    <tableColumn id="14739" xr3:uid="{3E2B351B-4747-0648-8402-24657CB33017}" name="Column14721"/>
    <tableColumn id="14740" xr3:uid="{B7949F60-50F2-D94D-93C4-47515617EE2B}" name="Column14722"/>
    <tableColumn id="14741" xr3:uid="{5BAC48C9-8A24-1A4E-9656-6989C200ED21}" name="Column14723"/>
    <tableColumn id="14742" xr3:uid="{FD98BCD0-132B-214B-9161-597E6CF0976A}" name="Column14724"/>
    <tableColumn id="14743" xr3:uid="{F647EFD2-9FB6-4C46-AFDD-23663EEF16FF}" name="Column14725"/>
    <tableColumn id="14744" xr3:uid="{4E798E2A-5CC4-BC4E-8E39-57B586B4B944}" name="Column14726"/>
    <tableColumn id="14745" xr3:uid="{721E30AB-62C6-3F4F-973B-1E16BCFD2CE0}" name="Column14727"/>
    <tableColumn id="14746" xr3:uid="{4E1FCFF2-6BD9-7147-895D-274757A9F0B3}" name="Column14728"/>
    <tableColumn id="14747" xr3:uid="{5915E81E-8361-694B-BC29-F3A772441C3E}" name="Column14729"/>
    <tableColumn id="14748" xr3:uid="{38D48638-745C-3145-916F-2E7DCED23B9D}" name="Column14730"/>
    <tableColumn id="14749" xr3:uid="{743E3A27-F54B-F048-865E-D7EF9D69020D}" name="Column14731"/>
    <tableColumn id="14750" xr3:uid="{84B90FA3-6B14-D948-AB47-80FF9BDFB7F9}" name="Column14732"/>
    <tableColumn id="14751" xr3:uid="{9D25F2E0-E03D-9841-A725-6B681E89F68E}" name="Column14733"/>
    <tableColumn id="14752" xr3:uid="{070BDB21-29BA-684B-9D90-9ACAA96CCF90}" name="Column14734"/>
    <tableColumn id="14753" xr3:uid="{F759933E-A6A3-B54F-B34B-43C6D05DE939}" name="Column14735"/>
    <tableColumn id="14754" xr3:uid="{764DD147-FA74-1643-80B4-20EE5657D94E}" name="Column14736"/>
    <tableColumn id="14755" xr3:uid="{4BA7BAF8-EBF5-EF4C-94FB-EDDDCE4047C6}" name="Column14737"/>
    <tableColumn id="14756" xr3:uid="{D7A861E5-DC0B-1245-9435-81C4829E5B9B}" name="Column14738"/>
    <tableColumn id="14757" xr3:uid="{A1415129-808B-9648-A624-F5BD356C5BD9}" name="Column14739"/>
    <tableColumn id="14758" xr3:uid="{2C680E40-0538-F048-AD10-903D5745DF13}" name="Column14740"/>
    <tableColumn id="14759" xr3:uid="{EFDCB7D7-A3E9-C64C-B684-5ECC79765F3B}" name="Column14741"/>
    <tableColumn id="14760" xr3:uid="{A59C3EB9-2F14-4349-8982-A85BF3CAFF4E}" name="Column14742"/>
    <tableColumn id="14761" xr3:uid="{304447BC-90DC-BA45-BD8B-A9D476F8C05E}" name="Column14743"/>
    <tableColumn id="14762" xr3:uid="{B9AA6A3F-6DF3-7741-B20D-29398BD3BDE6}" name="Column14744"/>
    <tableColumn id="14763" xr3:uid="{A94A9B87-C121-6442-97EF-3634DD140AB8}" name="Column14745"/>
    <tableColumn id="14764" xr3:uid="{3FCB8326-4B6F-904A-A4FD-2E7C60686DE7}" name="Column14746"/>
    <tableColumn id="14765" xr3:uid="{9C84E102-84FD-1D4A-AE13-7E00A1BD48E0}" name="Column14747"/>
    <tableColumn id="14766" xr3:uid="{EFAADC6F-8BE1-4148-AE4A-F04E6B9294DC}" name="Column14748"/>
    <tableColumn id="14767" xr3:uid="{01FA977E-419C-364E-BAD3-5E02027BD34F}" name="Column14749"/>
    <tableColumn id="14768" xr3:uid="{E4363A84-E244-6048-9036-4C93D993E5B4}" name="Column14750"/>
    <tableColumn id="14769" xr3:uid="{680D5978-8452-6043-9CEF-9DF0CF7F17FB}" name="Column14751"/>
    <tableColumn id="14770" xr3:uid="{3D0843CB-BB25-1642-B103-45885E848A6E}" name="Column14752"/>
    <tableColumn id="14771" xr3:uid="{0D011F68-E4D5-EA41-91A0-6EC2CE792BE2}" name="Column14753"/>
    <tableColumn id="14772" xr3:uid="{506211FF-D93B-8D40-8961-49C4B5B478A8}" name="Column14754"/>
    <tableColumn id="14773" xr3:uid="{9C026435-E566-0647-A614-0A5BE7ABFF81}" name="Column14755"/>
    <tableColumn id="14774" xr3:uid="{8001BFB2-748B-8943-810E-D6D79350DD36}" name="Column14756"/>
    <tableColumn id="14775" xr3:uid="{AB6F81B3-9789-3143-89FE-739C60030C97}" name="Column14757"/>
    <tableColumn id="14776" xr3:uid="{A10CA696-FA4F-644C-AA7E-663BD4E95B62}" name="Column14758"/>
    <tableColumn id="14777" xr3:uid="{86F97DC0-D921-9C43-BD1C-6D69CE5A2A80}" name="Column14759"/>
    <tableColumn id="14778" xr3:uid="{2BA5307C-F4AD-6D45-BD45-53D9131BE0EB}" name="Column14760"/>
    <tableColumn id="14779" xr3:uid="{B56F128F-4433-2248-AEA9-2BDAD791DEAE}" name="Column14761"/>
    <tableColumn id="14780" xr3:uid="{C95B35A6-F991-0E41-94C3-01B3EBFBD3F0}" name="Column14762"/>
    <tableColumn id="14781" xr3:uid="{B79DAF00-CE55-A64D-ADFA-47E73270AE7C}" name="Column14763"/>
    <tableColumn id="14782" xr3:uid="{E6B4C2C4-AD27-324E-874A-E8158E2351F5}" name="Column14764"/>
    <tableColumn id="14783" xr3:uid="{845AB884-8F75-3949-9BE2-28F9CC4133F3}" name="Column14765"/>
    <tableColumn id="14784" xr3:uid="{005C70C4-71C3-934B-A0C5-D3D03831464D}" name="Column14766"/>
    <tableColumn id="14785" xr3:uid="{2779EC21-05DE-4446-92F5-00F9F34EB0B3}" name="Column14767"/>
    <tableColumn id="14786" xr3:uid="{34CCBA27-C7A0-D84B-A0A3-F3F895A83F30}" name="Column14768"/>
    <tableColumn id="14787" xr3:uid="{1E03C562-D035-B747-B25F-BC66396A72F7}" name="Column14769"/>
    <tableColumn id="14788" xr3:uid="{C0DEFD89-B887-D648-BDC0-B614D9557D68}" name="Column14770"/>
    <tableColumn id="14789" xr3:uid="{05DA107C-08F8-3E4E-B8F0-1134CF691786}" name="Column14771"/>
    <tableColumn id="14790" xr3:uid="{0FDA528B-DEA4-0948-A4A2-AC019039A6FE}" name="Column14772"/>
    <tableColumn id="14791" xr3:uid="{6A79B9C9-04A3-0446-B2E2-91B20115E1EA}" name="Column14773"/>
    <tableColumn id="14792" xr3:uid="{3BC6B106-C9C7-034F-A4BE-5A252ABDC010}" name="Column14774"/>
    <tableColumn id="14793" xr3:uid="{A11F9672-9A29-9F42-BFE7-2883BF56483E}" name="Column14775"/>
    <tableColumn id="14794" xr3:uid="{ADEB1622-BFFD-EF44-9705-FFC4CE45E46D}" name="Column14776"/>
    <tableColumn id="14795" xr3:uid="{7525E758-D9A9-664B-AA95-CAE813531472}" name="Column14777"/>
    <tableColumn id="14796" xr3:uid="{ED659172-DB16-CE42-BD18-822F5CA1BF77}" name="Column14778"/>
    <tableColumn id="14797" xr3:uid="{48B2A66C-FDF1-D04E-991C-78448A2129F8}" name="Column14779"/>
    <tableColumn id="14798" xr3:uid="{E76AF8C3-A78D-4D47-ACEF-EEE5AF455215}" name="Column14780"/>
    <tableColumn id="14799" xr3:uid="{C88DDC80-10E1-BC4F-8FB9-9D5A7ACDD1BF}" name="Column14781"/>
    <tableColumn id="14800" xr3:uid="{0DD8F990-9CD4-0B47-9784-A9A44C5F7885}" name="Column14782"/>
    <tableColumn id="14801" xr3:uid="{15A295B2-72FD-F646-9BD6-9AB2C63E2B8F}" name="Column14783"/>
    <tableColumn id="14802" xr3:uid="{B2372C2B-ADB0-4545-9A72-C993FEF93229}" name="Column14784"/>
    <tableColumn id="14803" xr3:uid="{9F47B1A3-CFC5-2641-8488-CD91B689AAB1}" name="Column14785"/>
    <tableColumn id="14804" xr3:uid="{FEA576AB-1DC4-5C46-B084-F4A3BAF4FC39}" name="Column14786"/>
    <tableColumn id="14805" xr3:uid="{3F446932-F2C3-8B45-A6F0-B63D03E5CAAD}" name="Column14787"/>
    <tableColumn id="14806" xr3:uid="{57A95B4A-9004-FA4A-B1BE-4BE0BCE89634}" name="Column14788"/>
    <tableColumn id="14807" xr3:uid="{CEFC0C6D-0A3C-9A49-9765-C4E5A41AA6B7}" name="Column14789"/>
    <tableColumn id="14808" xr3:uid="{DF8038D8-2D6F-9642-AD27-83368AE937F2}" name="Column14790"/>
    <tableColumn id="14809" xr3:uid="{95371352-6785-5B4F-A54B-EA3B68C1B5D2}" name="Column14791"/>
    <tableColumn id="14810" xr3:uid="{038ED575-D97E-0F42-95DC-313593D30932}" name="Column14792"/>
    <tableColumn id="14811" xr3:uid="{712C6B60-0C09-F140-B983-85A623BA5523}" name="Column14793"/>
    <tableColumn id="14812" xr3:uid="{7D9F94F8-5355-1F4B-BCCE-B2A831373311}" name="Column14794"/>
    <tableColumn id="14813" xr3:uid="{EA79C1CF-5AFA-9A48-9EAE-7AEF6B6B906A}" name="Column14795"/>
    <tableColumn id="14814" xr3:uid="{7AF81A68-59BA-2247-9FE3-EA96F12FDD22}" name="Column14796"/>
    <tableColumn id="14815" xr3:uid="{623EFDB5-CC5C-A344-9B42-CFC4BC35D39B}" name="Column14797"/>
    <tableColumn id="14816" xr3:uid="{54C6DD51-6C04-BF41-B007-9106282CC776}" name="Column14798"/>
    <tableColumn id="14817" xr3:uid="{09D4AD44-EC88-7547-ACBA-059ECA947A33}" name="Column14799"/>
    <tableColumn id="14818" xr3:uid="{D5D42A83-7B01-C942-9037-B5F0D681E669}" name="Column14800"/>
    <tableColumn id="14819" xr3:uid="{D4BF890B-3F34-6C42-AA5E-911E4EE763D5}" name="Column14801"/>
    <tableColumn id="14820" xr3:uid="{217B5CC9-0201-CA45-8549-A075C4C7BC17}" name="Column14802"/>
    <tableColumn id="14821" xr3:uid="{75AEBE55-E636-8440-BD6A-F1BB37EC6A5B}" name="Column14803"/>
    <tableColumn id="14822" xr3:uid="{19F02639-E3F2-CA41-823E-9BEF8162EE03}" name="Column14804"/>
    <tableColumn id="14823" xr3:uid="{E6C00CAE-0044-2544-B98E-CE3BB93A4697}" name="Column14805"/>
    <tableColumn id="14824" xr3:uid="{14545245-DD65-2F4E-B895-5FDBA2871BA5}" name="Column14806"/>
    <tableColumn id="14825" xr3:uid="{C1F9583F-BF05-E549-8FD5-B1FBF202E949}" name="Column14807"/>
    <tableColumn id="14826" xr3:uid="{4328DAC3-E092-8243-B516-EA2F133DB204}" name="Column14808"/>
    <tableColumn id="14827" xr3:uid="{8408EEE8-2175-E340-8381-02DBEEB0F128}" name="Column14809"/>
    <tableColumn id="14828" xr3:uid="{957CE391-1FD7-F340-B1C6-1ABBF902B7AF}" name="Column14810"/>
    <tableColumn id="14829" xr3:uid="{A1028267-E86A-0143-B412-1DD769B69B48}" name="Column14811"/>
    <tableColumn id="14830" xr3:uid="{440631F4-55A8-6240-9EC7-912081DC985B}" name="Column14812"/>
    <tableColumn id="14831" xr3:uid="{596C061F-A9B2-9A4A-A8BB-F2F428ABBABD}" name="Column14813"/>
    <tableColumn id="14832" xr3:uid="{C864BA90-83BB-1941-9FE0-648CE5496494}" name="Column14814"/>
    <tableColumn id="14833" xr3:uid="{B7D4FCAB-828B-E74E-B37E-3BD0371740E7}" name="Column14815"/>
    <tableColumn id="14834" xr3:uid="{856DFDF7-CA5C-7E4D-8B9B-E4B678E346EF}" name="Column14816"/>
    <tableColumn id="14835" xr3:uid="{4DCB3335-3DB2-D247-9BCB-C86626C7D0CA}" name="Column14817"/>
    <tableColumn id="14836" xr3:uid="{4E140C8C-B8EB-FF4D-8B60-60B2CE5D356C}" name="Column14818"/>
    <tableColumn id="14837" xr3:uid="{B3FBF165-85BB-9449-8BC4-06C3714EEC81}" name="Column14819"/>
    <tableColumn id="14838" xr3:uid="{A2CD4DB3-7C68-B441-A454-90AC0E9EB070}" name="Column14820"/>
    <tableColumn id="14839" xr3:uid="{F71A6B68-720C-0E44-9AF1-AB4922700FA8}" name="Column14821"/>
    <tableColumn id="14840" xr3:uid="{A4BC3E6E-862E-AD47-8049-25AC2DF6E42F}" name="Column14822"/>
    <tableColumn id="14841" xr3:uid="{2A854D61-ADE8-BA4A-85C6-F62BBC917CE8}" name="Column14823"/>
    <tableColumn id="14842" xr3:uid="{88C5053E-5C98-584A-BA33-6BB52E426F53}" name="Column14824"/>
    <tableColumn id="14843" xr3:uid="{C945A2A3-2407-7044-BBF1-DAB8F1CD6FD7}" name="Column14825"/>
    <tableColumn id="14844" xr3:uid="{EA3063C1-3DED-8349-B1BF-09F2D65BBF9E}" name="Column14826"/>
    <tableColumn id="14845" xr3:uid="{F94A4C84-5067-1045-A335-FE7D32908FB6}" name="Column14827"/>
    <tableColumn id="14846" xr3:uid="{F8CEE287-0169-E642-B395-553C64361C39}" name="Column14828"/>
    <tableColumn id="14847" xr3:uid="{76AF79DD-BBA3-784E-B32E-BF5204C4609A}" name="Column14829"/>
    <tableColumn id="14848" xr3:uid="{D38D2E35-AB7C-D646-AD7B-77628923F2BD}" name="Column14830"/>
    <tableColumn id="14849" xr3:uid="{5F8BD98A-B109-5C48-A102-221646A1D14B}" name="Column14831"/>
    <tableColumn id="14850" xr3:uid="{598C9DFE-78C9-0648-9877-69FF07D2CA1E}" name="Column14832"/>
    <tableColumn id="14851" xr3:uid="{00C0BB89-C350-BC42-9E3E-3F3D887A15E4}" name="Column14833"/>
    <tableColumn id="14852" xr3:uid="{6A47B026-7A44-744E-B5DA-52051DD65C18}" name="Column14834"/>
    <tableColumn id="14853" xr3:uid="{850C0247-66B7-114E-B1B6-AA603EC8D9BF}" name="Column14835"/>
    <tableColumn id="14854" xr3:uid="{756DCAC9-72AC-C949-B0C4-9474A2D5D1FE}" name="Column14836"/>
    <tableColumn id="14855" xr3:uid="{47A1A2D3-DA17-B445-AA96-9DF15CE850EA}" name="Column14837"/>
    <tableColumn id="14856" xr3:uid="{12F315B7-0E5A-2148-BFDF-DBD7E587B564}" name="Column14838"/>
    <tableColumn id="14857" xr3:uid="{4BC9ACC3-311F-6340-B434-4F874BCB2983}" name="Column14839"/>
    <tableColumn id="14858" xr3:uid="{28014654-56FE-494E-BE7D-83272AB633E7}" name="Column14840"/>
    <tableColumn id="14859" xr3:uid="{75E157E9-9818-A841-BD9B-D25764A40345}" name="Column14841"/>
    <tableColumn id="14860" xr3:uid="{759CE0BD-9F21-2E48-A233-C21CFB0F4663}" name="Column14842"/>
    <tableColumn id="14861" xr3:uid="{AC204984-07AC-6448-B4A4-964FC706A95D}" name="Column14843"/>
    <tableColumn id="14862" xr3:uid="{A03FA67A-1A56-FE42-A58D-0B20540DF071}" name="Column14844"/>
    <tableColumn id="14863" xr3:uid="{D311AE5D-EC80-E346-823B-FEDED7237334}" name="Column14845"/>
    <tableColumn id="14864" xr3:uid="{F340AAA3-4753-2845-BC93-D9DA67F29F1D}" name="Column14846"/>
    <tableColumn id="14865" xr3:uid="{7E1B70BC-009A-7E42-8092-92C4801881E9}" name="Column14847"/>
    <tableColumn id="14866" xr3:uid="{25EFE581-1322-7A41-8540-EB7458F85F53}" name="Column14848"/>
    <tableColumn id="14867" xr3:uid="{598A38FE-88E2-6047-B272-112F15E3247C}" name="Column14849"/>
    <tableColumn id="14868" xr3:uid="{74A038A1-3B13-BB42-A6FA-434DBED27EDD}" name="Column14850"/>
    <tableColumn id="14869" xr3:uid="{049B44E6-A5B3-1842-8F9F-656DC8D0BED5}" name="Column14851"/>
    <tableColumn id="14870" xr3:uid="{7016E89C-CB5B-DF48-913A-4D39770A5338}" name="Column14852"/>
    <tableColumn id="14871" xr3:uid="{48AC787E-916B-BC47-BCBE-1E56559A0078}" name="Column14853"/>
    <tableColumn id="14872" xr3:uid="{698AB9F5-65DA-7E4C-982E-B8C9A8B228B3}" name="Column14854"/>
    <tableColumn id="14873" xr3:uid="{103E3F9C-F3E5-8346-9A1C-1A8593E90DF7}" name="Column14855"/>
    <tableColumn id="14874" xr3:uid="{AC0DB914-CCAF-1745-B7BA-FED8D134F865}" name="Column14856"/>
    <tableColumn id="14875" xr3:uid="{0330F60D-4A89-CC4B-BA4C-6556A7710D4C}" name="Column14857"/>
    <tableColumn id="14876" xr3:uid="{79D3E658-163E-F840-BFD0-DD4EE9FA131A}" name="Column14858"/>
    <tableColumn id="14877" xr3:uid="{D15694B0-3CAD-AF40-B1C6-92F0DB3E3006}" name="Column14859"/>
    <tableColumn id="14878" xr3:uid="{B3B9FEB4-69E8-CD49-AAFF-C93839969765}" name="Column14860"/>
    <tableColumn id="14879" xr3:uid="{F8A15A10-C2E2-284F-BC5F-F0907DFCE069}" name="Column14861"/>
    <tableColumn id="14880" xr3:uid="{B86B5214-2EF9-6E44-9CDA-849D581B45F5}" name="Column14862"/>
    <tableColumn id="14881" xr3:uid="{9F44478E-949D-A540-8937-3CF927D7141A}" name="Column14863"/>
    <tableColumn id="14882" xr3:uid="{D85E4C65-7B1F-5248-9281-3B3425E93297}" name="Column14864"/>
    <tableColumn id="14883" xr3:uid="{F0F4AFBF-544D-A848-9D8A-AD2A022D8F4B}" name="Column14865"/>
    <tableColumn id="14884" xr3:uid="{C38BDAB3-68DD-F644-B451-8968376EC071}" name="Column14866"/>
    <tableColumn id="14885" xr3:uid="{9FA7E8C8-59E6-3B4A-BA70-A189EF8D5517}" name="Column14867"/>
    <tableColumn id="14886" xr3:uid="{32524BBF-A9C8-664E-90F8-2BE10339C7E3}" name="Column14868"/>
    <tableColumn id="14887" xr3:uid="{F4BD5EDC-61B7-A247-82D6-C9E28F2AE35F}" name="Column14869"/>
    <tableColumn id="14888" xr3:uid="{3FA86626-4B8B-3D4E-AC5F-311F63517D9A}" name="Column14870"/>
    <tableColumn id="14889" xr3:uid="{D5C63EB4-8367-8344-A629-07B64A5FCE85}" name="Column14871"/>
    <tableColumn id="14890" xr3:uid="{AA284FC6-C696-7345-9B6C-DA0E39DD70A8}" name="Column14872"/>
    <tableColumn id="14891" xr3:uid="{36C40776-2BA5-904D-8B38-86F9CA197FC7}" name="Column14873"/>
    <tableColumn id="14892" xr3:uid="{97B7E851-5E35-4D46-ADE6-EF9892AA7DE8}" name="Column14874"/>
    <tableColumn id="14893" xr3:uid="{262EA558-B1CE-1E44-A2B4-199CE489FF30}" name="Column14875"/>
    <tableColumn id="14894" xr3:uid="{F5395028-7968-4447-A6BB-D9FCEF23DD60}" name="Column14876"/>
    <tableColumn id="14895" xr3:uid="{AC544C8F-D215-634A-9650-41947B60F679}" name="Column14877"/>
    <tableColumn id="14896" xr3:uid="{4F5DC72B-5D3E-7C47-9F2B-1D573AA68F2C}" name="Column14878"/>
    <tableColumn id="14897" xr3:uid="{76B09A57-6235-F24E-A8CB-162739EA22C4}" name="Column14879"/>
    <tableColumn id="14898" xr3:uid="{5F068434-31F6-4C44-9216-03F03552A2BD}" name="Column14880"/>
    <tableColumn id="14899" xr3:uid="{88178F37-B556-E94B-B50F-396C88C8511B}" name="Column14881"/>
    <tableColumn id="14900" xr3:uid="{7C682673-261A-B846-9335-D2D7E710D088}" name="Column14882"/>
    <tableColumn id="14901" xr3:uid="{3F9EED86-3CEF-5844-B4D7-ADD5A706C15F}" name="Column14883"/>
    <tableColumn id="14902" xr3:uid="{5E77029E-8E8B-AB41-9AFF-CD9CB2410A41}" name="Column14884"/>
    <tableColumn id="14903" xr3:uid="{ABA9760C-49CA-754A-9416-77F20263892B}" name="Column14885"/>
    <tableColumn id="14904" xr3:uid="{EC80C0A5-5393-E642-9A29-E322E4FF4E97}" name="Column14886"/>
    <tableColumn id="14905" xr3:uid="{D4809304-247F-2846-8E82-554D58CB1CA2}" name="Column14887"/>
    <tableColumn id="14906" xr3:uid="{DAA0582E-FE65-CF40-8227-B55882F7070E}" name="Column14888"/>
    <tableColumn id="14907" xr3:uid="{A98392E0-7E6C-5F4D-97B1-FD4196608D0D}" name="Column14889"/>
    <tableColumn id="14908" xr3:uid="{5551E058-499E-8D41-A128-698BF59ECB22}" name="Column14890"/>
    <tableColumn id="14909" xr3:uid="{19199A7E-930C-0941-A463-D91E01012F9F}" name="Column14891"/>
    <tableColumn id="14910" xr3:uid="{687A29D6-6D72-A34B-88B8-F46F077D0224}" name="Column14892"/>
    <tableColumn id="14911" xr3:uid="{96EA2198-9338-CD40-BE60-357F88BB9ED2}" name="Column14893"/>
    <tableColumn id="14912" xr3:uid="{18247D46-8959-1248-B4BA-B386B147BF24}" name="Column14894"/>
    <tableColumn id="14913" xr3:uid="{F1134E04-5FD2-6040-9279-0E66D0BFD4CF}" name="Column14895"/>
    <tableColumn id="14914" xr3:uid="{17CE5BFF-7763-2A4C-8EA0-B9AD635D7A8E}" name="Column14896"/>
    <tableColumn id="14915" xr3:uid="{2893724D-1C38-224F-82E4-01B123CDE63F}" name="Column14897"/>
    <tableColumn id="14916" xr3:uid="{80CD6A37-4CB8-B344-9A7E-8E3FC698A860}" name="Column14898"/>
    <tableColumn id="14917" xr3:uid="{C239EB08-185B-0044-88E0-FE8C0A6E0C98}" name="Column14899"/>
    <tableColumn id="14918" xr3:uid="{302402AA-E13A-1247-B33B-CC2E2EB3EB2C}" name="Column14900"/>
    <tableColumn id="14919" xr3:uid="{8DE17705-2F74-3346-9191-917EA5E5F3DB}" name="Column14901"/>
    <tableColumn id="14920" xr3:uid="{69FD8779-8C5C-014F-B172-FFB06F80C7B1}" name="Column14902"/>
    <tableColumn id="14921" xr3:uid="{82AB890C-7D9B-8F4C-9BDA-409F94EE0786}" name="Column14903"/>
    <tableColumn id="14922" xr3:uid="{529FBC61-70F2-1B42-BDA4-B16799D7902B}" name="Column14904"/>
    <tableColumn id="14923" xr3:uid="{B9CF8665-4739-0F49-A66C-04EBB7C12411}" name="Column14905"/>
    <tableColumn id="14924" xr3:uid="{EF787FB2-7735-0C43-874A-1077517141D8}" name="Column14906"/>
    <tableColumn id="14925" xr3:uid="{B9A2A0D2-EAEE-5D42-8F9B-61F4C401D894}" name="Column14907"/>
    <tableColumn id="14926" xr3:uid="{C4F93338-5EB8-4549-817F-ADA3D81E5BA7}" name="Column14908"/>
    <tableColumn id="14927" xr3:uid="{6002F1C8-98C0-E64F-8ED0-2F2310FF7A05}" name="Column14909"/>
    <tableColumn id="14928" xr3:uid="{3F5A448C-80CC-B546-B3C5-64C942219E47}" name="Column14910"/>
    <tableColumn id="14929" xr3:uid="{B1B62FF0-642B-804D-A298-F38D814DFE83}" name="Column14911"/>
    <tableColumn id="14930" xr3:uid="{988E1E86-6569-5F4C-BDD0-CF42A42EE70B}" name="Column14912"/>
    <tableColumn id="14931" xr3:uid="{896B6F3F-DA10-3241-8D8E-68D0FAC75D02}" name="Column14913"/>
    <tableColumn id="14932" xr3:uid="{E00CA369-AAED-B74D-95E1-8F7336E778F5}" name="Column14914"/>
    <tableColumn id="14933" xr3:uid="{65EA3952-5AD0-D247-B639-20F61379CEA1}" name="Column14915"/>
    <tableColumn id="14934" xr3:uid="{A0E28411-376E-2D42-B274-7286E22F3D95}" name="Column14916"/>
    <tableColumn id="14935" xr3:uid="{1C5B08B1-D4D5-884A-B637-8196917F5A06}" name="Column14917"/>
    <tableColumn id="14936" xr3:uid="{82BF9DC4-633A-2A4E-9682-D67C7A636214}" name="Column14918"/>
    <tableColumn id="14937" xr3:uid="{363D165F-6851-9D40-A466-AF844D92813E}" name="Column14919"/>
    <tableColumn id="14938" xr3:uid="{7762AAA2-364B-294F-B5E4-E3DE89D70EFF}" name="Column14920"/>
    <tableColumn id="14939" xr3:uid="{9AE2E124-7719-DA41-B31A-1098BAFEA334}" name="Column14921"/>
    <tableColumn id="14940" xr3:uid="{0C880962-7675-7941-A759-DCE7391F7AA6}" name="Column14922"/>
    <tableColumn id="14941" xr3:uid="{6DF667E1-70BD-C441-ACD2-7809EF1749F6}" name="Column14923"/>
    <tableColumn id="14942" xr3:uid="{5816253C-2005-D94F-8C44-AD85EDB19C7C}" name="Column14924"/>
    <tableColumn id="14943" xr3:uid="{E28E564A-626D-7048-B2E6-4F62F4D46994}" name="Column14925"/>
    <tableColumn id="14944" xr3:uid="{7873F322-26F5-8542-AC05-AE03862B0D59}" name="Column14926"/>
    <tableColumn id="14945" xr3:uid="{FC7126AF-4423-C547-8CEB-7BEC676332C1}" name="Column14927"/>
    <tableColumn id="14946" xr3:uid="{29A2B38B-5A13-DF4A-AE36-B041B3CE2D4B}" name="Column14928"/>
    <tableColumn id="14947" xr3:uid="{4B122D0E-E98C-7F4C-8631-11FB601800A2}" name="Column14929"/>
    <tableColumn id="14948" xr3:uid="{28583F4E-31D6-BD49-97C0-8F4F781E1248}" name="Column14930"/>
    <tableColumn id="14949" xr3:uid="{7F2B66AF-872A-3A4E-97C3-C0CF561A2967}" name="Column14931"/>
    <tableColumn id="14950" xr3:uid="{4AD29D41-1994-3148-B84D-2BB07C403B4F}" name="Column14932"/>
    <tableColumn id="14951" xr3:uid="{4CB774CF-3D5B-D142-817F-A864698B6603}" name="Column14933"/>
    <tableColumn id="14952" xr3:uid="{5FE75E30-44C1-9F4E-92BA-E27652E3FB0F}" name="Column14934"/>
    <tableColumn id="14953" xr3:uid="{386F5B79-65E4-E142-A921-2ED11E6D7FF8}" name="Column14935"/>
    <tableColumn id="14954" xr3:uid="{D7ADE1FA-EBFB-3340-90B8-6C2C167BC255}" name="Column14936"/>
    <tableColumn id="14955" xr3:uid="{CF1E24F0-0E79-6745-913C-B63B3A1E0FA2}" name="Column14937"/>
    <tableColumn id="14956" xr3:uid="{F13A45CF-00C2-294B-8002-D63567CB35A6}" name="Column14938"/>
    <tableColumn id="14957" xr3:uid="{2B0ABE73-E26A-9043-988C-2D01D09C5857}" name="Column14939"/>
    <tableColumn id="14958" xr3:uid="{4FAC605C-38C2-2849-906D-3A1782031743}" name="Column14940"/>
    <tableColumn id="14959" xr3:uid="{BAAEAB48-2D17-4144-B758-FFD006E8451B}" name="Column14941"/>
    <tableColumn id="14960" xr3:uid="{6BFADF6A-AD03-6441-A968-FB6684ED0450}" name="Column14942"/>
    <tableColumn id="14961" xr3:uid="{0237AD63-E90B-1840-BFAF-C40EBED3499C}" name="Column14943"/>
    <tableColumn id="14962" xr3:uid="{EAEB3A8D-5CD9-0A44-847E-76D374DEB818}" name="Column14944"/>
    <tableColumn id="14963" xr3:uid="{BBC0CCD4-399B-DD44-92F7-DAADEB7E5FF7}" name="Column14945"/>
    <tableColumn id="14964" xr3:uid="{90E19DCD-AC86-6545-B814-B97C93A12E8A}" name="Column14946"/>
    <tableColumn id="14965" xr3:uid="{A0241E11-EAC6-1746-8D07-53E96E558D49}" name="Column14947"/>
    <tableColumn id="14966" xr3:uid="{BA862DE3-010D-9448-B2E0-7A8ED27240E2}" name="Column14948"/>
    <tableColumn id="14967" xr3:uid="{AF38FDA5-A123-5F41-9820-A8388E9AF861}" name="Column14949"/>
    <tableColumn id="14968" xr3:uid="{825274E9-AAD5-1342-A653-919BCA4D3D7B}" name="Column14950"/>
    <tableColumn id="14969" xr3:uid="{8A8864CA-4385-9A40-BA2E-1E0BEBE19E59}" name="Column14951"/>
    <tableColumn id="14970" xr3:uid="{8B8C335E-27D1-E441-9E38-678E916393B7}" name="Column14952"/>
    <tableColumn id="14971" xr3:uid="{EA9F2B72-8685-9B42-828E-1B0B7C67A107}" name="Column14953"/>
    <tableColumn id="14972" xr3:uid="{789BDDA3-9E94-E94D-9148-51C8C906C1FD}" name="Column14954"/>
    <tableColumn id="14973" xr3:uid="{17057E6F-21A8-C841-9C05-0332D24711F7}" name="Column14955"/>
    <tableColumn id="14974" xr3:uid="{8B74D1E8-4340-5C46-9EDB-B559DD919BB3}" name="Column14956"/>
    <tableColumn id="14975" xr3:uid="{0F7CC982-F362-9B4F-B2D3-DAD8D26AEF86}" name="Column14957"/>
    <tableColumn id="14976" xr3:uid="{D4FDFD0E-B535-804A-9B76-93AFD3B49D0D}" name="Column14958"/>
    <tableColumn id="14977" xr3:uid="{CEA78504-31D9-584B-AC8D-C6115C3860CB}" name="Column14959"/>
    <tableColumn id="14978" xr3:uid="{164AD46F-8A2C-404A-9B51-0F2A99BE172D}" name="Column14960"/>
    <tableColumn id="14979" xr3:uid="{B8C8CEEF-A551-F84E-ACB1-DBDCEF803C06}" name="Column14961"/>
    <tableColumn id="14980" xr3:uid="{32F16030-30CA-7943-93A0-D7FD1D0E97D2}" name="Column14962"/>
    <tableColumn id="14981" xr3:uid="{FDB124B0-2DE2-B248-88F5-05C172F10B90}" name="Column14963"/>
    <tableColumn id="14982" xr3:uid="{1F36185B-FD11-9A48-9258-578CCEA87B55}" name="Column14964"/>
    <tableColumn id="14983" xr3:uid="{CF0DD72B-D730-8E48-9EC2-13DC8E47D201}" name="Column14965"/>
    <tableColumn id="14984" xr3:uid="{FF45EBA8-42C1-034F-9D5C-E3E26FAB94ED}" name="Column14966"/>
    <tableColumn id="14985" xr3:uid="{5E80A2E5-EB48-B94D-A941-4678991E56B2}" name="Column14967"/>
    <tableColumn id="14986" xr3:uid="{2FDA2A57-874C-454B-89B8-7F5A3D1B1466}" name="Column14968"/>
    <tableColumn id="14987" xr3:uid="{C6C89D58-E236-164C-A872-99FCC437A42B}" name="Column14969"/>
    <tableColumn id="14988" xr3:uid="{E09D761C-6D5C-384E-98A4-93AA2DC2BB5C}" name="Column14970"/>
    <tableColumn id="14989" xr3:uid="{2EAD673C-64F5-B949-AC87-7C70D36EF851}" name="Column14971"/>
    <tableColumn id="14990" xr3:uid="{129833CF-581A-7048-A8EA-BCC3E39F787B}" name="Column14972"/>
    <tableColumn id="14991" xr3:uid="{BA22B9E5-F257-FD4A-8DB4-51D4E7019FDA}" name="Column14973"/>
    <tableColumn id="14992" xr3:uid="{945AEFA5-03B5-3644-B359-DAE6377E3143}" name="Column14974"/>
    <tableColumn id="14993" xr3:uid="{735ED13A-A2AE-0949-9BC4-AB110C5D61B9}" name="Column14975"/>
    <tableColumn id="14994" xr3:uid="{6F932C8D-798D-6443-B864-A319FD402C01}" name="Column14976"/>
    <tableColumn id="14995" xr3:uid="{365DFD54-8873-F64E-AAF2-F6ECE74CD5ED}" name="Column14977"/>
    <tableColumn id="14996" xr3:uid="{6D61E886-269E-454C-B303-9C5189C01F14}" name="Column14978"/>
    <tableColumn id="14997" xr3:uid="{8F95FDD0-BD7A-F243-A6A1-DF6150D87AD2}" name="Column14979"/>
    <tableColumn id="14998" xr3:uid="{3948902F-BE56-B04B-9590-FC89362C0602}" name="Column14980"/>
    <tableColumn id="14999" xr3:uid="{E6FE40F4-9EEA-8847-AABD-341753EEF7AA}" name="Column14981"/>
    <tableColumn id="15000" xr3:uid="{59B8D550-437D-C743-8FEB-1BCD6DD94E8B}" name="Column14982"/>
    <tableColumn id="15001" xr3:uid="{9BBCCC09-8D1A-1241-A9E7-C91A02449484}" name="Column14983"/>
    <tableColumn id="15002" xr3:uid="{4022515F-7B78-CC4C-8CD9-39C1368F0ECB}" name="Column14984"/>
    <tableColumn id="15003" xr3:uid="{9D28D80E-24C9-F141-9645-C5798F30479F}" name="Column14985"/>
    <tableColumn id="15004" xr3:uid="{BE6CCEFE-7A98-C54A-A7D2-10C906E89E9C}" name="Column14986"/>
    <tableColumn id="15005" xr3:uid="{53CAAD1C-F70F-7749-A511-3E523DF33858}" name="Column14987"/>
    <tableColumn id="15006" xr3:uid="{72C5D874-739F-3542-8907-59B6006D54EC}" name="Column14988"/>
    <tableColumn id="15007" xr3:uid="{D74765A9-1A0B-EA4F-A3E8-F14BB1C8E8AC}" name="Column14989"/>
    <tableColumn id="15008" xr3:uid="{F1CFFBA5-0C6A-6E45-8385-3A06B9C38F3C}" name="Column14990"/>
    <tableColumn id="15009" xr3:uid="{C3285334-0903-1244-A564-37A12237EC92}" name="Column14991"/>
    <tableColumn id="15010" xr3:uid="{08E19456-8EFB-ED4F-A9AB-6F2156F78CDE}" name="Column14992"/>
    <tableColumn id="15011" xr3:uid="{F3D699EE-320E-364A-921C-34B0E38A967A}" name="Column14993"/>
    <tableColumn id="15012" xr3:uid="{10EF52CA-E672-B347-8EA8-951293E924DD}" name="Column14994"/>
    <tableColumn id="15013" xr3:uid="{25F064EF-33C5-344D-B91F-02DD5369DEE7}" name="Column14995"/>
    <tableColumn id="15014" xr3:uid="{EE1C85A5-3A70-0340-8EB0-4A719EFA36D6}" name="Column14996"/>
    <tableColumn id="15015" xr3:uid="{0E141391-7217-164C-99E5-65A0EF2BD4C3}" name="Column14997"/>
    <tableColumn id="15016" xr3:uid="{13244857-E278-5A4F-9A68-94635C33294F}" name="Column14998"/>
    <tableColumn id="15017" xr3:uid="{743A104C-FFE3-B947-BA58-7A2558FB6B85}" name="Column14999"/>
    <tableColumn id="15018" xr3:uid="{28FC5E02-543B-7147-9E6D-356796A37258}" name="Column15000"/>
    <tableColumn id="15019" xr3:uid="{EC479830-11D8-5047-BAE5-2FF5585BEAC2}" name="Column15001"/>
    <tableColumn id="15020" xr3:uid="{A0391C33-DA94-F243-ABE8-850975169DF7}" name="Column15002"/>
    <tableColumn id="15021" xr3:uid="{1980E9BA-EAA3-8146-AFC1-0A62974843CA}" name="Column15003"/>
    <tableColumn id="15022" xr3:uid="{F717C4AC-3DD9-984D-9AA6-2474CE21082E}" name="Column15004"/>
    <tableColumn id="15023" xr3:uid="{1A92EB62-2279-BB45-903E-5EF506A49C37}" name="Column15005"/>
    <tableColumn id="15024" xr3:uid="{6ED4AF47-6121-8545-9A96-8D7A97FC8DBF}" name="Column15006"/>
    <tableColumn id="15025" xr3:uid="{09C02E20-7100-E745-BD20-A5AD24FC099D}" name="Column15007"/>
    <tableColumn id="15026" xr3:uid="{ADDADF4C-4A3D-EF4F-917F-EB112B9EF160}" name="Column15008"/>
    <tableColumn id="15027" xr3:uid="{CB2CBCA7-AB64-8D43-8B61-BA98FF8B3D71}" name="Column15009"/>
    <tableColumn id="15028" xr3:uid="{EC3DC690-1378-3448-B312-BB0A24182F91}" name="Column15010"/>
    <tableColumn id="15029" xr3:uid="{49C69F59-E804-2947-BD51-4FD0B5979396}" name="Column15011"/>
    <tableColumn id="15030" xr3:uid="{97875C56-E07B-BB4C-99C1-5A3CC2D308D3}" name="Column15012"/>
    <tableColumn id="15031" xr3:uid="{5424D8A7-4D01-FE41-831B-7F2B205F9A80}" name="Column15013"/>
    <tableColumn id="15032" xr3:uid="{F268A086-B1E9-8D49-B23F-7A759069DA7F}" name="Column15014"/>
    <tableColumn id="15033" xr3:uid="{78C3DC91-5046-EA4E-932B-E4BF7F2CEB58}" name="Column15015"/>
    <tableColumn id="15034" xr3:uid="{2ACA2687-652E-E849-B16B-B9DA7EDC7F33}" name="Column15016"/>
    <tableColumn id="15035" xr3:uid="{CCEA524C-0C1B-F940-864B-4D315FD76714}" name="Column15017"/>
    <tableColumn id="15036" xr3:uid="{A88F4806-46C8-5543-8EC3-42A402D6BE22}" name="Column15018"/>
    <tableColumn id="15037" xr3:uid="{B5310811-A0F9-8849-A569-B29EECBBD865}" name="Column15019"/>
    <tableColumn id="15038" xr3:uid="{36751948-9CDC-C94D-8CBD-361D11AB4F1C}" name="Column15020"/>
    <tableColumn id="15039" xr3:uid="{44EDFE06-ADA5-D041-9753-99EEAB2BE66B}" name="Column15021"/>
    <tableColumn id="15040" xr3:uid="{CCB25D30-6DA9-2347-A8B4-D114A62EEA17}" name="Column15022"/>
    <tableColumn id="15041" xr3:uid="{0B1AC6EE-D5D4-254C-A03D-2B61B96BB211}" name="Column15023"/>
    <tableColumn id="15042" xr3:uid="{EB7C8815-E55D-1649-9702-6F776E7CAA55}" name="Column15024"/>
    <tableColumn id="15043" xr3:uid="{ADA3C0A3-6FCE-9847-8544-08605E5FD97F}" name="Column15025"/>
    <tableColumn id="15044" xr3:uid="{A657C65F-8A79-2C46-9085-A4AE1A355C24}" name="Column15026"/>
    <tableColumn id="15045" xr3:uid="{697C5A69-ED6C-774D-AF7A-3B8869707A02}" name="Column15027"/>
    <tableColumn id="15046" xr3:uid="{98137C52-FF97-4D48-9133-C3EB37B988AE}" name="Column15028"/>
    <tableColumn id="15047" xr3:uid="{B91C7F96-D955-8149-BB6B-42BB063F491E}" name="Column15029"/>
    <tableColumn id="15048" xr3:uid="{9EE52139-8994-744B-A5A8-D22B840FD02D}" name="Column15030"/>
    <tableColumn id="15049" xr3:uid="{21FDE085-E62D-2C41-9360-2C4FE684507E}" name="Column15031"/>
    <tableColumn id="15050" xr3:uid="{30C93DC2-EF22-8948-8F73-D72ED20C6C28}" name="Column15032"/>
    <tableColumn id="15051" xr3:uid="{175C5A9C-A195-F649-90F2-37FF67AF5F94}" name="Column15033"/>
    <tableColumn id="15052" xr3:uid="{A65BD3CB-3FB1-1546-9A55-D6B970DB8DCE}" name="Column15034"/>
    <tableColumn id="15053" xr3:uid="{D608DD69-9098-D249-A791-9414CE30DFE3}" name="Column15035"/>
    <tableColumn id="15054" xr3:uid="{606AD475-4601-3842-A32E-C33982D85EA9}" name="Column15036"/>
    <tableColumn id="15055" xr3:uid="{1E62A15C-785E-5845-BAE3-93544F277972}" name="Column15037"/>
    <tableColumn id="15056" xr3:uid="{59058267-71FD-3F4C-88B1-C5C0853FC715}" name="Column15038"/>
    <tableColumn id="15057" xr3:uid="{EB48674E-87A4-7940-BD94-256D0FA39BE5}" name="Column15039"/>
    <tableColumn id="15058" xr3:uid="{E20F9CC4-DA5E-784F-8D4C-6BD5B1840BFA}" name="Column15040"/>
    <tableColumn id="15059" xr3:uid="{CBAD9A45-B582-D043-A626-0523998D8BA7}" name="Column15041"/>
    <tableColumn id="15060" xr3:uid="{6921093D-37AC-B34A-A18D-1F8631956CA7}" name="Column15042"/>
    <tableColumn id="15061" xr3:uid="{CA129EE3-180D-FE48-8400-E84E45EBEC57}" name="Column15043"/>
    <tableColumn id="15062" xr3:uid="{A717F9A3-F936-7446-BB2C-03022EF230A5}" name="Column15044"/>
    <tableColumn id="15063" xr3:uid="{9E75AAC0-D239-C141-B7CE-0A235FA1900A}" name="Column15045"/>
    <tableColumn id="15064" xr3:uid="{0AC0CDBA-F3CF-B843-847D-8385D59DC34C}" name="Column15046"/>
    <tableColumn id="15065" xr3:uid="{00517357-2CF8-624C-ACD1-7E7ED75A99D1}" name="Column15047"/>
    <tableColumn id="15066" xr3:uid="{8D453942-8F96-564E-96F0-F28BC816F148}" name="Column15048"/>
    <tableColumn id="15067" xr3:uid="{DDDB042A-2A01-674F-A027-0C9744925634}" name="Column15049"/>
    <tableColumn id="15068" xr3:uid="{6C010FE4-B495-FB43-B6A8-40582B5D3AFD}" name="Column15050"/>
    <tableColumn id="15069" xr3:uid="{34F1D57B-95F5-0C45-A631-BAC9556CCD26}" name="Column15051"/>
    <tableColumn id="15070" xr3:uid="{CBD82469-A225-E446-B077-46F46C6379E5}" name="Column15052"/>
    <tableColumn id="15071" xr3:uid="{855B44EB-BC7E-0C41-96D6-F9F65134C713}" name="Column15053"/>
    <tableColumn id="15072" xr3:uid="{67B22078-D872-1344-87A4-1795DDD68A98}" name="Column15054"/>
    <tableColumn id="15073" xr3:uid="{0CAF0DCA-1656-3D45-85FD-47BBF2ED7EA8}" name="Column15055"/>
    <tableColumn id="15074" xr3:uid="{32127875-5CD4-4C4D-B299-534FF0A93813}" name="Column15056"/>
    <tableColumn id="15075" xr3:uid="{9F30FAFE-3D93-5247-BB29-FD577F9D2107}" name="Column15057"/>
    <tableColumn id="15076" xr3:uid="{100A90AF-7EBF-D94B-BCA3-F697C0DC7EEC}" name="Column15058"/>
    <tableColumn id="15077" xr3:uid="{53CA816B-49A3-A147-BB69-94E4875D434B}" name="Column15059"/>
    <tableColumn id="15078" xr3:uid="{E487FA1F-EDA9-4049-A0D2-F8A374CFAF8D}" name="Column15060"/>
    <tableColumn id="15079" xr3:uid="{52844132-22F9-AE4B-8013-2829F7DD8DC7}" name="Column15061"/>
    <tableColumn id="15080" xr3:uid="{75C0537B-4E01-6647-983B-C0F5656E24BE}" name="Column15062"/>
    <tableColumn id="15081" xr3:uid="{53CE8469-F0E7-AB45-8868-FC1922A29EF4}" name="Column15063"/>
    <tableColumn id="15082" xr3:uid="{68E0A052-1DBB-C640-8EB5-A9D6DAB72426}" name="Column15064"/>
    <tableColumn id="15083" xr3:uid="{AD40432B-6976-1348-9973-8272F7117B7C}" name="Column15065"/>
    <tableColumn id="15084" xr3:uid="{C1A7CB3B-31CB-4745-BA06-DA90F166489E}" name="Column15066"/>
    <tableColumn id="15085" xr3:uid="{1139B7DA-6C23-FC4D-92AB-80ED6251FDD9}" name="Column15067"/>
    <tableColumn id="15086" xr3:uid="{C48594D4-357A-2E4F-88EA-AE3AB6E05E7B}" name="Column15068"/>
    <tableColumn id="15087" xr3:uid="{F029866E-D865-F544-8C13-CCA44240BBBA}" name="Column15069"/>
    <tableColumn id="15088" xr3:uid="{3FA7802B-B017-2F47-86B7-E1D0CB13A198}" name="Column15070"/>
    <tableColumn id="15089" xr3:uid="{D5F6B267-7B3E-F049-B2BE-27C04641AA06}" name="Column15071"/>
    <tableColumn id="15090" xr3:uid="{C1E976CA-86B2-9346-AD3E-A78A487E2767}" name="Column15072"/>
    <tableColumn id="15091" xr3:uid="{D3881A53-DDC4-014E-95B4-3E7CF5C37B05}" name="Column15073"/>
    <tableColumn id="15092" xr3:uid="{AB69B34A-3164-F64C-B665-203854EAC68A}" name="Column15074"/>
    <tableColumn id="15093" xr3:uid="{1D245A25-FFDB-9D40-AB94-E7EF36A9E041}" name="Column15075"/>
    <tableColumn id="15094" xr3:uid="{5AF1C108-F0F8-7947-80EA-43338C172E99}" name="Column15076"/>
    <tableColumn id="15095" xr3:uid="{78C4EF81-22F1-A64B-AEDC-0367FE51D4D5}" name="Column15077"/>
    <tableColumn id="15096" xr3:uid="{AAAB8D53-D153-044A-8E3D-E1C3F86D82FE}" name="Column15078"/>
    <tableColumn id="15097" xr3:uid="{E7918A2F-1E73-B84B-BBC9-DA0ECAFA5CF7}" name="Column15079"/>
    <tableColumn id="15098" xr3:uid="{2B0A7B2A-1393-DE44-AA05-CEA8ED62E2D5}" name="Column15080"/>
    <tableColumn id="15099" xr3:uid="{B9EA8F96-AD1D-944C-B230-A9D125180094}" name="Column15081"/>
    <tableColumn id="15100" xr3:uid="{ECA7C37A-F7F3-4248-9A16-562CCFE86FAA}" name="Column15082"/>
    <tableColumn id="15101" xr3:uid="{7C56C7DF-6444-334F-A19F-19D3A0AAF115}" name="Column15083"/>
    <tableColumn id="15102" xr3:uid="{2E4C0E4A-78A2-1F49-BFCA-81DD46D1E9E1}" name="Column15084"/>
    <tableColumn id="15103" xr3:uid="{C9ACA018-C128-D746-ADC0-30BBBCF60467}" name="Column15085"/>
    <tableColumn id="15104" xr3:uid="{2970BB73-0FCF-6C49-A343-FFBA935AF56B}" name="Column15086"/>
    <tableColumn id="15105" xr3:uid="{40FE2F6A-2F81-5449-9CEA-6E8E91D003C9}" name="Column15087"/>
    <tableColumn id="15106" xr3:uid="{2C687775-B7DA-A64E-9DEE-76B6FF01E8E5}" name="Column15088"/>
    <tableColumn id="15107" xr3:uid="{1B610615-E3E5-5F48-B724-ECFDC47027BE}" name="Column15089"/>
    <tableColumn id="15108" xr3:uid="{650A3AB1-17F9-2248-933E-D72303B8772A}" name="Column15090"/>
    <tableColumn id="15109" xr3:uid="{6B256AF5-4584-3F4A-8ED1-EF55E2CC04BB}" name="Column15091"/>
    <tableColumn id="15110" xr3:uid="{9841E7AA-BF9A-D24B-BFB8-32FE010FD857}" name="Column15092"/>
    <tableColumn id="15111" xr3:uid="{2C6CCE8B-37A1-DC44-AEBD-D75CC904F917}" name="Column15093"/>
    <tableColumn id="15112" xr3:uid="{3BF13C39-E66A-DF44-BFB1-B3110FE55479}" name="Column15094"/>
    <tableColumn id="15113" xr3:uid="{56EACB2B-B6C9-B84E-AF8D-6D05D44F6F5A}" name="Column15095"/>
    <tableColumn id="15114" xr3:uid="{338D525B-B634-F14F-BFF5-377BA3735CF3}" name="Column15096"/>
    <tableColumn id="15115" xr3:uid="{1BFDBEE3-CB38-8349-B71D-129250161EA7}" name="Column15097"/>
    <tableColumn id="15116" xr3:uid="{DA6C5700-D48B-BE43-99A5-D58978C04EBF}" name="Column15098"/>
    <tableColumn id="15117" xr3:uid="{525C70A5-8107-D446-85ED-46BC48FA682F}" name="Column15099"/>
    <tableColumn id="15118" xr3:uid="{C2F78951-A7F1-9D46-B2FB-1F56952101A9}" name="Column15100"/>
    <tableColumn id="15119" xr3:uid="{4CF0EAA8-7466-3844-85DB-1B533C3371C2}" name="Column15101"/>
    <tableColumn id="15120" xr3:uid="{36092A19-1C76-6047-ADB0-CB6201DA4095}" name="Column15102"/>
    <tableColumn id="15121" xr3:uid="{7C349C77-BDB8-9741-9001-2FA34934BA78}" name="Column15103"/>
    <tableColumn id="15122" xr3:uid="{26A7A153-E2BF-7A45-AA12-58240F080294}" name="Column15104"/>
    <tableColumn id="15123" xr3:uid="{668F39A4-C7C9-7D4C-AA56-0F2265154FD1}" name="Column15105"/>
    <tableColumn id="15124" xr3:uid="{BBE8EDBC-6C51-C542-862C-BD450EB4B4F3}" name="Column15106"/>
    <tableColumn id="15125" xr3:uid="{76578D9F-1873-A144-8773-F5D144997ADB}" name="Column15107"/>
    <tableColumn id="15126" xr3:uid="{74A24A69-1FE5-8C47-87C2-BC1F6E52EC82}" name="Column15108"/>
    <tableColumn id="15127" xr3:uid="{751B7B9B-272D-E54B-B077-967CD90B754E}" name="Column15109"/>
    <tableColumn id="15128" xr3:uid="{35926CA5-C7B1-B64D-ABD2-45E7E74F1F8C}" name="Column15110"/>
    <tableColumn id="15129" xr3:uid="{1218671E-350F-3541-8212-9DCE4A99F369}" name="Column15111"/>
    <tableColumn id="15130" xr3:uid="{D791CFF4-2AC1-1F40-878C-CD1DE2E99979}" name="Column15112"/>
    <tableColumn id="15131" xr3:uid="{B636CE4A-1322-E84A-80E0-1A3C11F09C5A}" name="Column15113"/>
    <tableColumn id="15132" xr3:uid="{30542D4E-B363-634E-A949-2B75247DA0CD}" name="Column15114"/>
    <tableColumn id="15133" xr3:uid="{DDDC13B7-3D51-BF4F-AFD4-B283451F9BC4}" name="Column15115"/>
    <tableColumn id="15134" xr3:uid="{EFBA65FF-D7E9-684B-9EAE-A30AE9B40066}" name="Column15116"/>
    <tableColumn id="15135" xr3:uid="{827BAA1F-D909-2949-9F13-8645EED489D0}" name="Column15117"/>
    <tableColumn id="15136" xr3:uid="{3610EDEC-C9A3-5943-8013-5E6B6EA95A4E}" name="Column15118"/>
    <tableColumn id="15137" xr3:uid="{BD664929-A29A-5F49-8CE0-17791175323A}" name="Column15119"/>
    <tableColumn id="15138" xr3:uid="{08C66F50-6F07-7143-9A99-CCE1CDB062BE}" name="Column15120"/>
    <tableColumn id="15139" xr3:uid="{A93A3CAC-6125-A446-8BF0-5CACAFC3D344}" name="Column15121"/>
    <tableColumn id="15140" xr3:uid="{5D029518-D9B1-E647-8F2A-CD8346D7CF39}" name="Column15122"/>
    <tableColumn id="15141" xr3:uid="{34C8CC26-3B09-BF49-9323-342DB4FFA094}" name="Column15123"/>
    <tableColumn id="15142" xr3:uid="{D29424EE-3838-314E-A720-AB90C2A6A49D}" name="Column15124"/>
    <tableColumn id="15143" xr3:uid="{EA5C02C1-394D-6748-9FA0-4B621C90CD77}" name="Column15125"/>
    <tableColumn id="15144" xr3:uid="{10B8AE24-A1B2-834D-8DD2-AA4E858D70B9}" name="Column15126"/>
    <tableColumn id="15145" xr3:uid="{8E0F0008-03C9-7F47-9BC5-6FE087B1237F}" name="Column15127"/>
    <tableColumn id="15146" xr3:uid="{823E503E-FB4D-8D43-86AA-A53128194678}" name="Column15128"/>
    <tableColumn id="15147" xr3:uid="{76E1898E-37DF-684B-B890-C84D33D3FA03}" name="Column15129"/>
    <tableColumn id="15148" xr3:uid="{FCEAF731-9074-6A47-979D-38E1B1B9DA96}" name="Column15130"/>
    <tableColumn id="15149" xr3:uid="{B0D77549-E313-AB47-A67C-E5C3FEE36484}" name="Column15131"/>
    <tableColumn id="15150" xr3:uid="{9613C553-D59E-C340-8F51-3ACB89964DFF}" name="Column15132"/>
    <tableColumn id="15151" xr3:uid="{66D712E7-FEFA-8D48-9254-FD5AA8FC6158}" name="Column15133"/>
    <tableColumn id="15152" xr3:uid="{90928176-170C-AE45-980A-32ABF8A5B8FF}" name="Column15134"/>
    <tableColumn id="15153" xr3:uid="{84AD6A02-6333-A04D-842B-12CF1D0A3530}" name="Column15135"/>
    <tableColumn id="15154" xr3:uid="{12E13BF8-19B4-0D4F-9356-047BB2FF1450}" name="Column15136"/>
    <tableColumn id="15155" xr3:uid="{8D2920E9-1843-644A-BDD1-665717653D76}" name="Column15137"/>
    <tableColumn id="15156" xr3:uid="{770D1A6B-9E7A-8545-A071-3D6A0A955D97}" name="Column15138"/>
    <tableColumn id="15157" xr3:uid="{253CD9E1-EECA-114E-97A4-D80B6C69EEC1}" name="Column15139"/>
    <tableColumn id="15158" xr3:uid="{238FF21D-17BA-2345-87C4-93A9D61B6571}" name="Column15140"/>
    <tableColumn id="15159" xr3:uid="{62071FA5-7389-0A4E-9E83-8ECAEB29213D}" name="Column15141"/>
    <tableColumn id="15160" xr3:uid="{B065B353-E9F7-7A4A-8C72-B53156AEB3AB}" name="Column15142"/>
    <tableColumn id="15161" xr3:uid="{C35C783E-BEEF-9D42-A209-CAA261D93996}" name="Column15143"/>
    <tableColumn id="15162" xr3:uid="{5EC3A5B5-40D9-474A-AF39-BCD2CB1131D7}" name="Column15144"/>
    <tableColumn id="15163" xr3:uid="{7F87606F-A3B6-F040-8A6C-4156F87621A7}" name="Column15145"/>
    <tableColumn id="15164" xr3:uid="{F53ACBFB-F724-EF48-B818-015704B3AB4D}" name="Column15146"/>
    <tableColumn id="15165" xr3:uid="{990F5A04-2902-ED4B-8518-96F3DF189B0A}" name="Column15147"/>
    <tableColumn id="15166" xr3:uid="{0494E778-9E9B-864B-89F4-1BA1B10709C6}" name="Column15148"/>
    <tableColumn id="15167" xr3:uid="{C1086455-7847-C945-9699-79AAC926B9B2}" name="Column15149"/>
    <tableColumn id="15168" xr3:uid="{E50B7943-143E-9E41-AAD3-A532D97EC830}" name="Column15150"/>
    <tableColumn id="15169" xr3:uid="{69796A97-AF95-A240-A9E2-E5DAD73056EB}" name="Column15151"/>
    <tableColumn id="15170" xr3:uid="{23F95B9F-8003-7448-8B6D-1DD3182B69CF}" name="Column15152"/>
    <tableColumn id="15171" xr3:uid="{D8DF0D96-41ED-2C4B-9A17-0224D53C3755}" name="Column15153"/>
    <tableColumn id="15172" xr3:uid="{5DF4C599-80B5-B24E-A52A-4C05C52AFB2C}" name="Column15154"/>
    <tableColumn id="15173" xr3:uid="{95FB25AB-7C59-B044-85D6-32981608B804}" name="Column15155"/>
    <tableColumn id="15174" xr3:uid="{3F460A7D-21F4-D740-9AC6-BDBAA23030F1}" name="Column15156"/>
    <tableColumn id="15175" xr3:uid="{64216471-6352-704B-826B-8C3CEAB183FF}" name="Column15157"/>
    <tableColumn id="15176" xr3:uid="{A0133670-CA73-E44A-B27F-47F4D09DACB1}" name="Column15158"/>
    <tableColumn id="15177" xr3:uid="{ADCF95E3-EF37-9F48-B15F-917280743796}" name="Column15159"/>
    <tableColumn id="15178" xr3:uid="{49986EC6-50E6-BB47-96A9-F91CD49A17DB}" name="Column15160"/>
    <tableColumn id="15179" xr3:uid="{68F15C1C-0B87-514F-A504-ADCB99B6E678}" name="Column15161"/>
    <tableColumn id="15180" xr3:uid="{B5CDD3A2-742A-564E-AEDB-798577806193}" name="Column15162"/>
    <tableColumn id="15181" xr3:uid="{4A702374-8B3A-DC49-8173-00C4912B2EEA}" name="Column15163"/>
    <tableColumn id="15182" xr3:uid="{E3984C70-BD1B-2B48-B389-B2525894AD41}" name="Column15164"/>
    <tableColumn id="15183" xr3:uid="{DB6015E7-4E67-1E40-B4AE-339ABB1DC4F2}" name="Column15165"/>
    <tableColumn id="15184" xr3:uid="{07593F26-D911-1945-89CD-1591A95346E1}" name="Column15166"/>
    <tableColumn id="15185" xr3:uid="{859006F3-AE7F-B447-8750-715A97FE4D48}" name="Column15167"/>
    <tableColumn id="15186" xr3:uid="{A3105379-E2B7-574E-9820-1C7B9B0556D5}" name="Column15168"/>
    <tableColumn id="15187" xr3:uid="{34355E0B-6CE8-8643-9E0E-BA177F76DE0D}" name="Column15169"/>
    <tableColumn id="15188" xr3:uid="{3BBD911E-AB97-5140-971A-F1B5DA691A45}" name="Column15170"/>
    <tableColumn id="15189" xr3:uid="{6A6D1353-B20A-2247-A832-4483619A16DA}" name="Column15171"/>
    <tableColumn id="15190" xr3:uid="{8F4D7CB7-EF6E-784D-8E25-5A2EC06AE882}" name="Column15172"/>
    <tableColumn id="15191" xr3:uid="{1932F0FD-4E08-504A-A278-3D2BBD67B0B9}" name="Column15173"/>
    <tableColumn id="15192" xr3:uid="{B2B2F750-077F-3747-8911-1AB07BE6CA01}" name="Column15174"/>
    <tableColumn id="15193" xr3:uid="{F0722696-957E-C445-8D60-D00D0BAF16CF}" name="Column15175"/>
    <tableColumn id="15194" xr3:uid="{8A1B9627-2C68-8F43-AD42-72490CF00523}" name="Column15176"/>
    <tableColumn id="15195" xr3:uid="{6053DC14-7181-CE49-80BC-0AC5FA34F41D}" name="Column15177"/>
    <tableColumn id="15196" xr3:uid="{B057218B-E181-734A-BF24-898BC516A1C6}" name="Column15178"/>
    <tableColumn id="15197" xr3:uid="{C9DEC2C3-62D9-9B47-938F-DB8F0FF77696}" name="Column15179"/>
    <tableColumn id="15198" xr3:uid="{9D2D9828-8185-A244-A603-B38600C8DAA5}" name="Column15180"/>
    <tableColumn id="15199" xr3:uid="{636951D4-139D-294C-B566-1D52C25CD02D}" name="Column15181"/>
    <tableColumn id="15200" xr3:uid="{51B5A3B4-2837-A641-A137-11ACB5719D06}" name="Column15182"/>
    <tableColumn id="15201" xr3:uid="{1AAF34A0-B20A-904B-BC96-68D15BEFE821}" name="Column15183"/>
    <tableColumn id="15202" xr3:uid="{7DDDD2A3-3798-1141-ACF4-B9A8F829522C}" name="Column15184"/>
    <tableColumn id="15203" xr3:uid="{EA6803D0-E3E9-CD4D-8CC3-973A35CDC5B5}" name="Column15185"/>
    <tableColumn id="15204" xr3:uid="{0D450EE9-D567-7840-AD23-D3B50D74D646}" name="Column15186"/>
    <tableColumn id="15205" xr3:uid="{82BDDF20-10DA-7F4F-B972-86051EA37E44}" name="Column15187"/>
    <tableColumn id="15206" xr3:uid="{9A268FC1-C01A-5249-A5F8-29723CF9B0F6}" name="Column15188"/>
    <tableColumn id="15207" xr3:uid="{A1A075B0-7965-A248-B868-18BCE3CD3231}" name="Column15189"/>
    <tableColumn id="15208" xr3:uid="{516713C8-AD85-5449-AF7D-9771C36F6476}" name="Column15190"/>
    <tableColumn id="15209" xr3:uid="{3CCBF003-91FF-AD42-A5EA-F079B897AD30}" name="Column15191"/>
    <tableColumn id="15210" xr3:uid="{1C2832F7-9CB2-5A43-93D3-BAC8F255D0B4}" name="Column15192"/>
    <tableColumn id="15211" xr3:uid="{0B373113-C829-D047-AEA2-8658D72D0336}" name="Column15193"/>
    <tableColumn id="15212" xr3:uid="{AFD9E028-3234-0A4C-A3CF-C7E4A8CDEA9F}" name="Column15194"/>
    <tableColumn id="15213" xr3:uid="{261629F2-B563-6B48-92E8-AA02299BCE8B}" name="Column15195"/>
    <tableColumn id="15214" xr3:uid="{5B004E48-23D0-5F4D-9C80-99C828415978}" name="Column15196"/>
    <tableColumn id="15215" xr3:uid="{D5C99A54-EE46-104E-B7F0-7099D11C575B}" name="Column15197"/>
    <tableColumn id="15216" xr3:uid="{233606E8-3225-334B-93F7-1EC9CE6FCE7E}" name="Column15198"/>
    <tableColumn id="15217" xr3:uid="{7E08D69A-2343-A048-899D-732A2E20B126}" name="Column15199"/>
    <tableColumn id="15218" xr3:uid="{2FA151B0-A8E4-E045-908A-1DE09EE5B060}" name="Column15200"/>
    <tableColumn id="15219" xr3:uid="{A17F67FD-B611-324E-8409-A69FB07A407E}" name="Column15201"/>
    <tableColumn id="15220" xr3:uid="{7CE69C45-50F1-E940-8CB4-1CA4CE6BAD94}" name="Column15202"/>
    <tableColumn id="15221" xr3:uid="{F977BAA7-1403-CD47-A52C-1318BF798745}" name="Column15203"/>
    <tableColumn id="15222" xr3:uid="{BE2E1508-DB2E-7541-99C7-093FF72AB254}" name="Column15204"/>
    <tableColumn id="15223" xr3:uid="{12289E54-BF66-634D-93F9-A963ECEC1237}" name="Column15205"/>
    <tableColumn id="15224" xr3:uid="{EAD25267-D0EF-B44C-B3EB-32A3CA7FAEAA}" name="Column15206"/>
    <tableColumn id="15225" xr3:uid="{19803E8C-8327-3A45-A5F5-61B2E1928FB7}" name="Column15207"/>
    <tableColumn id="15226" xr3:uid="{72EF43B1-9E17-A648-A700-DAB89D0A27E6}" name="Column15208"/>
    <tableColumn id="15227" xr3:uid="{1B404105-DA91-CB45-9C71-BC730D17A096}" name="Column15209"/>
    <tableColumn id="15228" xr3:uid="{34F1B5D6-8E61-4D49-90C3-CE8FFBABECAA}" name="Column15210"/>
    <tableColumn id="15229" xr3:uid="{9A16CEDA-718E-E44F-A33B-9582679AF64F}" name="Column15211"/>
    <tableColumn id="15230" xr3:uid="{86B0A4C2-156D-9945-B851-03F9E872E4B9}" name="Column15212"/>
    <tableColumn id="15231" xr3:uid="{0E3E99D9-5797-254A-8204-4E2B3AE68FD2}" name="Column15213"/>
    <tableColumn id="15232" xr3:uid="{9AE07091-0469-7442-A576-FFFAA89CB049}" name="Column15214"/>
    <tableColumn id="15233" xr3:uid="{4F7D6852-564C-8C45-98E6-65CBFEEC7B3D}" name="Column15215"/>
    <tableColumn id="15234" xr3:uid="{D3F5E9B9-74CA-624C-90A5-CA9F89293D58}" name="Column15216"/>
    <tableColumn id="15235" xr3:uid="{127119F6-5420-4644-9C8C-289BD81F4CC0}" name="Column15217"/>
    <tableColumn id="15236" xr3:uid="{1F87A3F8-FCDD-E541-B82A-028AD50CDE45}" name="Column15218"/>
    <tableColumn id="15237" xr3:uid="{81E4A735-2D46-244A-8954-5EC2FEC7A2ED}" name="Column15219"/>
    <tableColumn id="15238" xr3:uid="{4D2FF6A4-6090-894E-9D61-50D5D3AAB2F7}" name="Column15220"/>
    <tableColumn id="15239" xr3:uid="{E0EE3379-9699-7342-82D5-C942B529315A}" name="Column15221"/>
    <tableColumn id="15240" xr3:uid="{F8D45648-FF10-DB45-8B3E-0459B7A57EBC}" name="Column15222"/>
    <tableColumn id="15241" xr3:uid="{F1996FB2-CF61-CA42-9D32-BAD8793395A1}" name="Column15223"/>
    <tableColumn id="15242" xr3:uid="{3A79BE16-E18C-D645-B95C-BC9499F5BF5E}" name="Column15224"/>
    <tableColumn id="15243" xr3:uid="{E5B772D1-3393-C449-92BE-CB9AC89F4151}" name="Column15225"/>
    <tableColumn id="15244" xr3:uid="{8D5B0C70-5E3B-6D40-8746-EE5DDE329BEE}" name="Column15226"/>
    <tableColumn id="15245" xr3:uid="{96246C57-7F2F-1C46-9124-0A67A5C239C6}" name="Column15227"/>
    <tableColumn id="15246" xr3:uid="{E4AC509F-C5D2-3948-8D04-3BA5087D0689}" name="Column15228"/>
    <tableColumn id="15247" xr3:uid="{2F990875-1870-8845-8A02-D35FE171199B}" name="Column15229"/>
    <tableColumn id="15248" xr3:uid="{5326753D-FB64-2747-AB82-79C48C360B2D}" name="Column15230"/>
    <tableColumn id="15249" xr3:uid="{9285BE49-D108-3E42-AE5B-AFF0E5B8A548}" name="Column15231"/>
    <tableColumn id="15250" xr3:uid="{DE494331-7649-3E46-BDBA-7AA6ABEE9572}" name="Column15232"/>
    <tableColumn id="15251" xr3:uid="{46B99E6F-AF89-5447-8E82-0F822A4AF539}" name="Column15233"/>
    <tableColumn id="15252" xr3:uid="{0B7A033E-721B-CE4C-9EED-C26771A87B34}" name="Column15234"/>
    <tableColumn id="15253" xr3:uid="{5E7453E1-2E5A-A449-843D-02906D4E1247}" name="Column15235"/>
    <tableColumn id="15254" xr3:uid="{D78310F8-7E3F-F940-8C59-5188FCE9ECF2}" name="Column15236"/>
    <tableColumn id="15255" xr3:uid="{A7A86C13-57AC-0C40-BD5C-B2ADD9EF70E5}" name="Column15237"/>
    <tableColumn id="15256" xr3:uid="{8A10C5DF-C505-6441-9060-AA2AD0B974E6}" name="Column15238"/>
    <tableColumn id="15257" xr3:uid="{972B56C4-0BDC-1640-95F7-4BED7B3168D4}" name="Column15239"/>
    <tableColumn id="15258" xr3:uid="{5F9D9103-1601-2C41-BFAD-0513AD3B0455}" name="Column15240"/>
    <tableColumn id="15259" xr3:uid="{2EA7B253-E2DB-7342-8615-AF13E0B1E915}" name="Column15241"/>
    <tableColumn id="15260" xr3:uid="{11534322-C189-CE4E-8615-D2E45B976316}" name="Column15242"/>
    <tableColumn id="15261" xr3:uid="{84D3A0BE-A6EA-B745-806B-B1F14FAB60EE}" name="Column15243"/>
    <tableColumn id="15262" xr3:uid="{C6ABB78C-3339-744F-A795-8670262BE141}" name="Column15244"/>
    <tableColumn id="15263" xr3:uid="{9FF8E028-ED94-E14B-9548-4EDA7E338BE0}" name="Column15245"/>
    <tableColumn id="15264" xr3:uid="{ED36AF27-96EC-DB4E-8529-3CF7B20450F9}" name="Column15246"/>
    <tableColumn id="15265" xr3:uid="{3F5EDF91-72EA-3842-985F-7C07E31D69ED}" name="Column15247"/>
    <tableColumn id="15266" xr3:uid="{204FD202-3C8B-474B-8D04-508E963627A8}" name="Column15248"/>
    <tableColumn id="15267" xr3:uid="{BD1F07DC-1096-AD47-8F71-9B489732BA5B}" name="Column15249"/>
    <tableColumn id="15268" xr3:uid="{DFD0D9AE-02CF-CF4D-9CDD-29B744E94A73}" name="Column15250"/>
    <tableColumn id="15269" xr3:uid="{96D27EE1-0025-224F-B936-2238A0C6E12D}" name="Column15251"/>
    <tableColumn id="15270" xr3:uid="{A897A6E3-AB23-E64D-BA82-90F2058F2B97}" name="Column15252"/>
    <tableColumn id="15271" xr3:uid="{A47C2811-CBBD-AF41-A50E-08B4B69749CB}" name="Column15253"/>
    <tableColumn id="15272" xr3:uid="{DBB7C3D0-C19A-1F46-8737-BE9DF00463E4}" name="Column15254"/>
    <tableColumn id="15273" xr3:uid="{4A803108-3AC3-8743-A93C-8A12F18B1AD3}" name="Column15255"/>
    <tableColumn id="15274" xr3:uid="{918A9F92-9E54-A14F-B768-327B4DDB3B0C}" name="Column15256"/>
    <tableColumn id="15275" xr3:uid="{0B5721F9-5094-BB40-BF05-215A3F2F694E}" name="Column15257"/>
    <tableColumn id="15276" xr3:uid="{CC1F3B81-C0A8-DD4E-A024-F60B47980491}" name="Column15258"/>
    <tableColumn id="15277" xr3:uid="{F06BDC65-2B30-A24F-AD35-213B832D840B}" name="Column15259"/>
    <tableColumn id="15278" xr3:uid="{2FEFACDE-5AD5-D64F-AE3A-D65EC61DC4FD}" name="Column15260"/>
    <tableColumn id="15279" xr3:uid="{4F3BD34E-A3E3-6D4F-9F5D-75FFC9947096}" name="Column15261"/>
    <tableColumn id="15280" xr3:uid="{23C90940-B27E-914D-8B04-6346BD49F7E9}" name="Column15262"/>
    <tableColumn id="15281" xr3:uid="{E7EDB2D1-0A79-A644-AC2B-18C2F5A312BE}" name="Column15263"/>
    <tableColumn id="15282" xr3:uid="{CBB7DAEC-17C9-6E46-A45E-39CA5544D2D6}" name="Column15264"/>
    <tableColumn id="15283" xr3:uid="{892C535E-F354-E949-9177-4EA58E8C834B}" name="Column15265"/>
    <tableColumn id="15284" xr3:uid="{3C2D9F71-DA24-BB4A-ABE4-5387F30A1F9C}" name="Column15266"/>
    <tableColumn id="15285" xr3:uid="{08C5AE65-4194-CF4F-A534-9E316FA428F1}" name="Column15267"/>
    <tableColumn id="15286" xr3:uid="{3D140FFD-A2E4-354F-A10A-9C8E02696CF9}" name="Column15268"/>
    <tableColumn id="15287" xr3:uid="{77B5C609-86BE-6547-B4A8-DC1ADFF888BE}" name="Column15269"/>
    <tableColumn id="15288" xr3:uid="{33632AE5-0404-CC41-B9CD-A268962236E6}" name="Column15270"/>
    <tableColumn id="15289" xr3:uid="{021E03BD-3A58-EC4C-B282-60C2834A7879}" name="Column15271"/>
    <tableColumn id="15290" xr3:uid="{DA04281B-0E0C-A945-9405-4EEECCC00305}" name="Column15272"/>
    <tableColumn id="15291" xr3:uid="{45D0FB49-4AC6-5840-A78D-7EB18C8BFB79}" name="Column15273"/>
    <tableColumn id="15292" xr3:uid="{01A94E7D-8C9A-D747-90AC-7E56119D952B}" name="Column15274"/>
    <tableColumn id="15293" xr3:uid="{8B8B0296-22F8-7D4D-A452-C620C00BBEF0}" name="Column15275"/>
    <tableColumn id="15294" xr3:uid="{84D04D54-86A9-1147-94E0-234A5DA19429}" name="Column15276"/>
    <tableColumn id="15295" xr3:uid="{E4A667F2-B6EE-6743-86A3-88787D851D79}" name="Column15277"/>
    <tableColumn id="15296" xr3:uid="{148DF781-7327-844A-9DC2-5A2090F978B7}" name="Column15278"/>
    <tableColumn id="15297" xr3:uid="{4417C5A2-588D-0046-8D11-5D804E9D51C0}" name="Column15279"/>
    <tableColumn id="15298" xr3:uid="{01E8798D-00B1-B242-A919-DF28A76D17A5}" name="Column15280"/>
    <tableColumn id="15299" xr3:uid="{B4A0AF2E-A121-8E40-AB0B-5EC5456ACDC0}" name="Column15281"/>
    <tableColumn id="15300" xr3:uid="{54107900-35F1-0E42-BA27-D187EC6CD4C3}" name="Column15282"/>
    <tableColumn id="15301" xr3:uid="{D4AA75D6-03DA-C14E-9985-51169761902E}" name="Column15283"/>
    <tableColumn id="15302" xr3:uid="{A3B72040-20C4-E74A-BC0D-3180708A73EC}" name="Column15284"/>
    <tableColumn id="15303" xr3:uid="{447E7026-54ED-A842-A78F-A35036598DB7}" name="Column15285"/>
    <tableColumn id="15304" xr3:uid="{D266F2F1-F332-5A45-8047-A26F99BE05CB}" name="Column15286"/>
    <tableColumn id="15305" xr3:uid="{CD83634D-E365-DD48-BE6D-DD23E63F002D}" name="Column15287"/>
    <tableColumn id="15306" xr3:uid="{E0F5E395-1AF6-544E-AD69-17AF9DBA26DA}" name="Column15288"/>
    <tableColumn id="15307" xr3:uid="{D236AFE4-CA23-C441-A119-A3D5D48F2A91}" name="Column15289"/>
    <tableColumn id="15308" xr3:uid="{CF191E86-4629-C342-8624-D5CDB91B7F9F}" name="Column15290"/>
    <tableColumn id="15309" xr3:uid="{D99EC91B-9770-5A4A-A88B-58E3BB66CF2B}" name="Column15291"/>
    <tableColumn id="15310" xr3:uid="{B63F9750-E7CD-7343-98E1-103A43F088DD}" name="Column15292"/>
    <tableColumn id="15311" xr3:uid="{CED8323F-89D1-0A4C-B898-2D47F5FF1D6C}" name="Column15293"/>
    <tableColumn id="15312" xr3:uid="{D60B697E-C09A-C64C-A2E8-56AEE93C95B5}" name="Column15294"/>
    <tableColumn id="15313" xr3:uid="{4ED08640-BB93-4946-BD88-0916652D0893}" name="Column15295"/>
    <tableColumn id="15314" xr3:uid="{D32402DC-3878-FC4C-8736-6F0076BCC215}" name="Column15296"/>
    <tableColumn id="15315" xr3:uid="{E654C7E8-D767-8D4A-88DB-D83D12559EC2}" name="Column15297"/>
    <tableColumn id="15316" xr3:uid="{76E36D07-E7D6-B949-AEFE-43660DC34D02}" name="Column15298"/>
    <tableColumn id="15317" xr3:uid="{EBBD8DD9-1C89-0946-A820-7BEBE3A392A0}" name="Column15299"/>
    <tableColumn id="15318" xr3:uid="{FA28784D-320E-BC48-8462-7F72E881E2AE}" name="Column15300"/>
    <tableColumn id="15319" xr3:uid="{D11825F6-A079-DB44-8856-966CD1908AD1}" name="Column15301"/>
    <tableColumn id="15320" xr3:uid="{22D214F8-245D-AF49-AB05-395366A383FD}" name="Column15302"/>
    <tableColumn id="15321" xr3:uid="{19F23B95-CE6F-B14E-8E8C-4037B10B2969}" name="Column15303"/>
    <tableColumn id="15322" xr3:uid="{9CDBDCB8-BA57-D24E-A858-13E21B32E470}" name="Column15304"/>
    <tableColumn id="15323" xr3:uid="{6F1BEB5C-BC94-9145-8EE7-DA080421C968}" name="Column15305"/>
    <tableColumn id="15324" xr3:uid="{092D1515-C237-F340-83D4-D3BDD61A4B6C}" name="Column15306"/>
    <tableColumn id="15325" xr3:uid="{5FECBBE8-603F-7B4D-8138-8D174068BDF0}" name="Column15307"/>
    <tableColumn id="15326" xr3:uid="{2B9DC188-E9C0-7549-8487-A0B1314A9CB8}" name="Column15308"/>
    <tableColumn id="15327" xr3:uid="{056CEAC6-C05C-8A45-9F68-E8AE75407267}" name="Column15309"/>
    <tableColumn id="15328" xr3:uid="{CF3A2006-7369-B844-A885-66C1094915A5}" name="Column15310"/>
    <tableColumn id="15329" xr3:uid="{1FD0A471-5FDE-CD45-9759-1A91B72AF7BC}" name="Column15311"/>
    <tableColumn id="15330" xr3:uid="{2A426FF8-576B-814F-98D8-FC284F6158EB}" name="Column15312"/>
    <tableColumn id="15331" xr3:uid="{11B83CD2-F883-4740-806B-9FAF358A0DBD}" name="Column15313"/>
    <tableColumn id="15332" xr3:uid="{81F6C23A-A0AF-4240-AE6D-971D930979A3}" name="Column15314"/>
    <tableColumn id="15333" xr3:uid="{7471D82E-8495-E746-980F-441699DAD25A}" name="Column15315"/>
    <tableColumn id="15334" xr3:uid="{D8F2EF54-073E-4345-9C41-7AF535C94D0F}" name="Column15316"/>
    <tableColumn id="15335" xr3:uid="{CE43ABC6-2C98-9342-837F-C91C82689F1F}" name="Column15317"/>
    <tableColumn id="15336" xr3:uid="{D8FB740B-D21F-4E42-BE8F-197C3AA1B2A5}" name="Column15318"/>
    <tableColumn id="15337" xr3:uid="{F4A77718-6779-9C40-934A-460BDCEA3BC6}" name="Column15319"/>
    <tableColumn id="15338" xr3:uid="{F7E6A36E-2A00-CD49-8CFA-F47E0B83E731}" name="Column15320"/>
    <tableColumn id="15339" xr3:uid="{1F79C044-F4AC-0544-8BD8-2F14322538CB}" name="Column15321"/>
    <tableColumn id="15340" xr3:uid="{4E95EBC7-5E19-B04C-A3EF-1C7BA8FC6F69}" name="Column15322"/>
    <tableColumn id="15341" xr3:uid="{B9DEC401-6D12-8E45-ABA5-E95015873D6B}" name="Column15323"/>
    <tableColumn id="15342" xr3:uid="{7AB6CEDB-1D50-8749-A2B6-AD39D8DD7BF8}" name="Column15324"/>
    <tableColumn id="15343" xr3:uid="{45B73B39-0C7E-9C4C-85D5-3B107C82A5D3}" name="Column15325"/>
    <tableColumn id="15344" xr3:uid="{A92099BE-ADBA-5348-80E0-17352B113093}" name="Column15326"/>
    <tableColumn id="15345" xr3:uid="{30E07521-BEF3-624D-BD66-3C712368AF5B}" name="Column15327"/>
    <tableColumn id="15346" xr3:uid="{152E1B98-77B2-BA4A-BB47-0C3D76862AF4}" name="Column15328"/>
    <tableColumn id="15347" xr3:uid="{9301645D-E8BD-D44B-B11E-A8A2B02BC967}" name="Column15329"/>
    <tableColumn id="15348" xr3:uid="{110631B7-F188-1548-A956-964348682AAE}" name="Column15330"/>
    <tableColumn id="15349" xr3:uid="{1DD74331-4F7B-1D4B-AA47-6F8FD4181D69}" name="Column15331"/>
    <tableColumn id="15350" xr3:uid="{A9BF0903-8159-A34E-92DC-8068EC1FEAC0}" name="Column15332"/>
    <tableColumn id="15351" xr3:uid="{EF0AE207-5BD8-F54C-AB71-18A725A87370}" name="Column15333"/>
    <tableColumn id="15352" xr3:uid="{DB154987-C471-8C49-ABB1-BF289F0100D7}" name="Column15334"/>
    <tableColumn id="15353" xr3:uid="{EF4206D2-69B6-224D-A2A1-932EDED4CD81}" name="Column15335"/>
    <tableColumn id="15354" xr3:uid="{66279013-07CE-3448-908C-E4F018FB9718}" name="Column15336"/>
    <tableColumn id="15355" xr3:uid="{7E4D2851-B01A-A445-9324-5CBAB2C785E8}" name="Column15337"/>
    <tableColumn id="15356" xr3:uid="{A11C121D-BAB4-414B-8916-781F0F14CED1}" name="Column15338"/>
    <tableColumn id="15357" xr3:uid="{85269ADB-F92E-0C48-8FB8-4D9604AE4416}" name="Column15339"/>
    <tableColumn id="15358" xr3:uid="{5B17AAA7-9BE0-0C48-BEC4-8FD4510CD56F}" name="Column15340"/>
    <tableColumn id="15359" xr3:uid="{348E1987-75FD-2842-AAF4-6BD6295AA897}" name="Column15341"/>
    <tableColumn id="15360" xr3:uid="{0588AAB4-ED59-5C40-A6C4-A2917A1F9F12}" name="Column15342"/>
    <tableColumn id="15361" xr3:uid="{E2A3EDAE-C3EA-9342-87EC-CA0C56A859AD}" name="Column15343"/>
    <tableColumn id="15362" xr3:uid="{81760911-45F5-DD4C-A44D-CDE7FFA7C0AA}" name="Column15344"/>
    <tableColumn id="15363" xr3:uid="{4A57545C-F061-7141-AA9A-956664F954CC}" name="Column15345"/>
    <tableColumn id="15364" xr3:uid="{93E88963-EBF9-7C4B-94C1-97A9004BCDFD}" name="Column15346"/>
    <tableColumn id="15365" xr3:uid="{84F99CDC-EAC4-074A-9CF5-9272368C24C7}" name="Column15347"/>
    <tableColumn id="15366" xr3:uid="{5CAC0076-8C5D-A044-9A45-35E95F7B9D78}" name="Column15348"/>
    <tableColumn id="15367" xr3:uid="{15D5371A-B3E0-CA4F-9AC8-57FED7268966}" name="Column15349"/>
    <tableColumn id="15368" xr3:uid="{1CA90660-A3B0-9F4D-9438-08291BD540CF}" name="Column15350"/>
    <tableColumn id="15369" xr3:uid="{CCB7A727-3BB1-0142-9C69-A7D716CE778A}" name="Column15351"/>
    <tableColumn id="15370" xr3:uid="{5B60A384-F06E-6C4D-A149-4222A2A3C245}" name="Column15352"/>
    <tableColumn id="15371" xr3:uid="{0AEDB660-35F2-C840-94FF-A853F8335857}" name="Column15353"/>
    <tableColumn id="15372" xr3:uid="{F0CC00A3-E2B9-A845-8495-CC575D311095}" name="Column15354"/>
    <tableColumn id="15373" xr3:uid="{9D61A309-A125-ED43-AF95-599C14A3DB32}" name="Column15355"/>
    <tableColumn id="15374" xr3:uid="{FBB44F98-A30A-B045-A055-4D77D802453C}" name="Column15356"/>
    <tableColumn id="15375" xr3:uid="{61A71D8B-B021-074A-8138-34812DC488E9}" name="Column15357"/>
    <tableColumn id="15376" xr3:uid="{6B088D15-12E2-C043-AA7B-73C4AECBF47F}" name="Column15358"/>
    <tableColumn id="15377" xr3:uid="{5E2BE43D-34E2-2F49-8487-9FFF0AF2D19E}" name="Column15359"/>
    <tableColumn id="15378" xr3:uid="{33592CDB-FD92-4246-9EC5-A44B474A2162}" name="Column15360"/>
    <tableColumn id="15379" xr3:uid="{A44D409B-1B36-434B-BEFE-7463FB8454FF}" name="Column15361"/>
    <tableColumn id="15380" xr3:uid="{BA05A65C-46AF-9640-85E5-D97BCC5BBD52}" name="Column15362"/>
    <tableColumn id="15381" xr3:uid="{55E397F2-7C7D-F54B-A8BC-FF34A2A53B0F}" name="Column15363"/>
    <tableColumn id="15382" xr3:uid="{5F87219C-D9A3-E943-99CA-B9EE99BDA016}" name="Column15364"/>
    <tableColumn id="15383" xr3:uid="{44609453-D24D-4846-9B48-829519C4312E}" name="Column15365"/>
    <tableColumn id="15384" xr3:uid="{5B2C5866-C7D5-6B49-8F41-CA013FB868DD}" name="Column15366"/>
    <tableColumn id="15385" xr3:uid="{6AB9850E-3EBC-AD40-ABD1-822BA44E3505}" name="Column15367"/>
    <tableColumn id="15386" xr3:uid="{CCFE96FF-49B4-7749-9472-21BC5195E7C8}" name="Column15368"/>
    <tableColumn id="15387" xr3:uid="{9F681CA4-A6D7-7040-BDAB-97CFE137551E}" name="Column15369"/>
    <tableColumn id="15388" xr3:uid="{78B9192B-406D-C44B-9BE9-1657A88C5E2F}" name="Column15370"/>
    <tableColumn id="15389" xr3:uid="{1064A184-43D1-5044-905F-C570309D3492}" name="Column15371"/>
    <tableColumn id="15390" xr3:uid="{A296C665-9EF1-8D4A-9231-0B652A777105}" name="Column15372"/>
    <tableColumn id="15391" xr3:uid="{5F5AE3CC-5FE6-DD45-825E-665882AE024C}" name="Column15373"/>
    <tableColumn id="15392" xr3:uid="{4BFDF552-BF35-FB4E-9407-B1C82440763B}" name="Column15374"/>
    <tableColumn id="15393" xr3:uid="{ECD419CF-2B14-1045-B420-5AC6917ED83F}" name="Column15375"/>
    <tableColumn id="15394" xr3:uid="{17B9DA56-52C8-6041-816D-4F508FE1C131}" name="Column15376"/>
    <tableColumn id="15395" xr3:uid="{E714CC17-FC1F-624C-84B9-A48FA286B981}" name="Column15377"/>
    <tableColumn id="15396" xr3:uid="{E1C11ECB-9099-B24A-9170-B6ECF9662ED6}" name="Column15378"/>
    <tableColumn id="15397" xr3:uid="{C9F1931D-4318-994D-9E28-B68FD17EB00F}" name="Column15379"/>
    <tableColumn id="15398" xr3:uid="{4B1EBD31-D988-EE4B-AE4F-2B7E30DC7910}" name="Column15380"/>
    <tableColumn id="15399" xr3:uid="{F2AB6AE8-79B1-EB4A-B53A-3C79BF62C799}" name="Column15381"/>
    <tableColumn id="15400" xr3:uid="{5706AFBB-9292-1344-93B0-BED747D94F4D}" name="Column15382"/>
    <tableColumn id="15401" xr3:uid="{703A1944-657A-8E4B-86BF-F54D2ED51701}" name="Column15383"/>
    <tableColumn id="15402" xr3:uid="{7A3F757D-2CAD-CC4D-BF5C-347BDC0727DB}" name="Column15384"/>
    <tableColumn id="15403" xr3:uid="{9E76AD6F-F907-604A-930C-F219822412EF}" name="Column15385"/>
    <tableColumn id="15404" xr3:uid="{51DE2E93-730F-9A40-BC90-755C7D5CCDC5}" name="Column15386"/>
    <tableColumn id="15405" xr3:uid="{C2FDBEB0-AABA-1048-B922-6A28B3DC3099}" name="Column15387"/>
    <tableColumn id="15406" xr3:uid="{45784493-B5A4-8341-9D1D-197D1C012FBC}" name="Column15388"/>
    <tableColumn id="15407" xr3:uid="{6DE91805-D50E-954A-9EEE-05573738EBF9}" name="Column15389"/>
    <tableColumn id="15408" xr3:uid="{006D314A-E310-5D49-A360-4EC1D7DCC8D7}" name="Column15390"/>
    <tableColumn id="15409" xr3:uid="{A7AF6A87-AD95-354D-83A1-5F69E35EC749}" name="Column15391"/>
    <tableColumn id="15410" xr3:uid="{71622085-B1DF-BB40-AC2C-32A44B04B32F}" name="Column15392"/>
    <tableColumn id="15411" xr3:uid="{14260150-CACE-024F-8BB5-0C55622E55B1}" name="Column15393"/>
    <tableColumn id="15412" xr3:uid="{59CB7899-CD48-5E41-8C22-E22BDDE633EC}" name="Column15394"/>
    <tableColumn id="15413" xr3:uid="{8F52364C-8203-4A4C-AB96-454EFB295318}" name="Column15395"/>
    <tableColumn id="15414" xr3:uid="{C82455BA-5A87-5F47-BC6F-0A7CA1DA1D91}" name="Column15396"/>
    <tableColumn id="15415" xr3:uid="{5747B965-63B5-0446-AE4D-CB6AA4CE24E1}" name="Column15397"/>
    <tableColumn id="15416" xr3:uid="{E08F552E-6FA5-AA4D-97CB-E98444C0A66F}" name="Column15398"/>
    <tableColumn id="15417" xr3:uid="{876D8F2E-609A-FF4E-AB0E-87536FB25FD6}" name="Column15399"/>
    <tableColumn id="15418" xr3:uid="{EF240B97-F04A-074F-A6CA-19F8A18EE2C7}" name="Column15400"/>
    <tableColumn id="15419" xr3:uid="{0990A690-C54B-2F44-8BEE-014BED7411A0}" name="Column15401"/>
    <tableColumn id="15420" xr3:uid="{6AD53056-21D2-1B49-8F8C-FD78976C6F30}" name="Column15402"/>
    <tableColumn id="15421" xr3:uid="{A51C1FED-1561-F543-B547-979002384272}" name="Column15403"/>
    <tableColumn id="15422" xr3:uid="{FAD0F29E-6A1E-7C4C-8476-63868908A1AB}" name="Column15404"/>
    <tableColumn id="15423" xr3:uid="{AA008E63-2254-9446-9674-ADCE5A4788D8}" name="Column15405"/>
    <tableColumn id="15424" xr3:uid="{EB830C47-E137-2E4D-B80D-9D263A6BB88C}" name="Column15406"/>
    <tableColumn id="15425" xr3:uid="{3C1BB7C8-3F80-0D4F-949A-4F2C79D0F23A}" name="Column15407"/>
    <tableColumn id="15426" xr3:uid="{5672A040-4FF0-A249-B7E8-A8D041C20AA0}" name="Column15408"/>
    <tableColumn id="15427" xr3:uid="{2F8B05C8-CC52-7B4E-9D04-4A64732F65C4}" name="Column15409"/>
    <tableColumn id="15428" xr3:uid="{629BB21E-256A-0A47-94BD-DE17A48D44AC}" name="Column15410"/>
    <tableColumn id="15429" xr3:uid="{6FE9F19D-0920-304D-AE46-0B8D94672169}" name="Column15411"/>
    <tableColumn id="15430" xr3:uid="{17A8692F-EFAD-2345-896D-8DC77DBB1149}" name="Column15412"/>
    <tableColumn id="15431" xr3:uid="{192992CE-3BDE-2541-B55E-42C8D9BC2269}" name="Column15413"/>
    <tableColumn id="15432" xr3:uid="{BCAE3C5C-F321-784F-A1BC-3CFB463CD33F}" name="Column15414"/>
    <tableColumn id="15433" xr3:uid="{BF82367C-8009-A647-AAB6-E03C49566F01}" name="Column15415"/>
    <tableColumn id="15434" xr3:uid="{3C4BD7DA-1EFE-F846-9C2F-3C67D0CFA8F7}" name="Column15416"/>
    <tableColumn id="15435" xr3:uid="{39FBCF08-62C8-1448-8F27-A4B7CEC3D692}" name="Column15417"/>
    <tableColumn id="15436" xr3:uid="{9CD55658-31DD-CE49-B660-6D351A462A2B}" name="Column15418"/>
    <tableColumn id="15437" xr3:uid="{C2689172-12F3-A84C-B8AA-66B23EAC75BC}" name="Column15419"/>
    <tableColumn id="15438" xr3:uid="{1B2196E3-42FB-DD4F-AB00-CFCE4D30B2C3}" name="Column15420"/>
    <tableColumn id="15439" xr3:uid="{7BB6F455-3AA4-8346-B036-4FB7B35D7EC7}" name="Column15421"/>
    <tableColumn id="15440" xr3:uid="{94B2FD31-97DC-204D-B2A0-C83DDCF5A6DA}" name="Column15422"/>
    <tableColumn id="15441" xr3:uid="{5EF546BF-CE39-C341-AF4F-017BDD34103E}" name="Column15423"/>
    <tableColumn id="15442" xr3:uid="{08CF95D6-EFF6-A34B-97C6-48A2DF5A8FA9}" name="Column15424"/>
    <tableColumn id="15443" xr3:uid="{E296B628-62F6-5E45-A19B-AF2B75D1CBA8}" name="Column15425"/>
    <tableColumn id="15444" xr3:uid="{2604E7BE-AAAB-794F-A4A3-7108AB263B54}" name="Column15426"/>
    <tableColumn id="15445" xr3:uid="{65591B9E-07B5-3D4D-B7EC-12E9A1A482C6}" name="Column15427"/>
    <tableColumn id="15446" xr3:uid="{65E99C70-EF55-C044-94CE-FA77466E2F61}" name="Column15428"/>
    <tableColumn id="15447" xr3:uid="{FD492F26-646F-794C-B834-301F2815960B}" name="Column15429"/>
    <tableColumn id="15448" xr3:uid="{492D583F-B117-524D-8AFD-47EE7EB7844F}" name="Column15430"/>
    <tableColumn id="15449" xr3:uid="{FE21E33E-6366-8B4F-AD6D-9D03F65F7153}" name="Column15431"/>
    <tableColumn id="15450" xr3:uid="{CA94E20F-F69B-204D-B359-C2CF89DF9F8B}" name="Column15432"/>
    <tableColumn id="15451" xr3:uid="{02E33D8B-69DF-6C42-A33D-F9006D97FC32}" name="Column15433"/>
    <tableColumn id="15452" xr3:uid="{3080C9A2-F0B5-C346-A602-219DCCBB448D}" name="Column15434"/>
    <tableColumn id="15453" xr3:uid="{1D95B7CE-8A51-CC47-BE20-F8A9E28B8451}" name="Column15435"/>
    <tableColumn id="15454" xr3:uid="{24776F60-9947-214F-B60A-72283D92452E}" name="Column15436"/>
    <tableColumn id="15455" xr3:uid="{6C54F0FC-3E7A-0945-8E07-3B7B2117BE52}" name="Column15437"/>
    <tableColumn id="15456" xr3:uid="{8181A102-479A-F54C-82DF-3211C0AC492E}" name="Column15438"/>
    <tableColumn id="15457" xr3:uid="{0717CFB3-BF08-0F4B-8820-810FAB2F4838}" name="Column15439"/>
    <tableColumn id="15458" xr3:uid="{4CFD48DE-A7EB-3E45-ACC8-4669B0B66F3F}" name="Column15440"/>
    <tableColumn id="15459" xr3:uid="{13864A4B-982A-834A-B2E5-0D98E307E692}" name="Column15441"/>
    <tableColumn id="15460" xr3:uid="{2CF5B3D8-2F94-5B4E-AC57-FB89E70568F6}" name="Column15442"/>
    <tableColumn id="15461" xr3:uid="{96F81C90-1555-8247-9DE2-C0592FF260BF}" name="Column15443"/>
    <tableColumn id="15462" xr3:uid="{5AC999C7-A2C2-EF4F-A7B9-AB2E0B34730F}" name="Column15444"/>
    <tableColumn id="15463" xr3:uid="{DF86D949-1E33-5647-8933-FBAD2DEECFB0}" name="Column15445"/>
    <tableColumn id="15464" xr3:uid="{A8A6DAF5-EBEF-E145-A23C-25239FB62624}" name="Column15446"/>
    <tableColumn id="15465" xr3:uid="{609990A1-5281-1146-8AE1-ADFACDCA52FD}" name="Column15447"/>
    <tableColumn id="15466" xr3:uid="{21F0B927-F7C6-C24E-8F3D-3895779BBA25}" name="Column15448"/>
    <tableColumn id="15467" xr3:uid="{B8A63734-8479-9145-A2F5-989DB36CE969}" name="Column15449"/>
    <tableColumn id="15468" xr3:uid="{62791990-CC0B-2843-BBCA-1C6C53981425}" name="Column15450"/>
    <tableColumn id="15469" xr3:uid="{EDDEF2B8-5DB5-BC47-8F33-1254F54F87E3}" name="Column15451"/>
    <tableColumn id="15470" xr3:uid="{F716187A-225A-684E-8B85-F9BAD8EE89BE}" name="Column15452"/>
    <tableColumn id="15471" xr3:uid="{F21D064F-180E-6941-A9FD-5354E590D848}" name="Column15453"/>
    <tableColumn id="15472" xr3:uid="{DCCDECC0-4E42-4A41-B866-C7BA6D1D5614}" name="Column15454"/>
    <tableColumn id="15473" xr3:uid="{4A28503B-6F91-CA41-972F-A28ECE0C3272}" name="Column15455"/>
    <tableColumn id="15474" xr3:uid="{1B188D80-A5E1-EF43-B772-7816519F1C03}" name="Column15456"/>
    <tableColumn id="15475" xr3:uid="{7914AB11-D12E-344F-B246-44B1F8F16DF1}" name="Column15457"/>
    <tableColumn id="15476" xr3:uid="{3403C308-D49B-984A-8890-FF7031A1C00B}" name="Column15458"/>
    <tableColumn id="15477" xr3:uid="{39AF96BE-52C3-3149-A375-4C907EA6AA65}" name="Column15459"/>
    <tableColumn id="15478" xr3:uid="{D4A81378-497B-EB45-AEB0-793135FAA062}" name="Column15460"/>
    <tableColumn id="15479" xr3:uid="{7AF1D572-6FAE-8B4D-A95E-0B6BAE3B5243}" name="Column15461"/>
    <tableColumn id="15480" xr3:uid="{64FD6567-6954-DE4F-967A-CA2888104088}" name="Column15462"/>
    <tableColumn id="15481" xr3:uid="{E8408CEA-63CE-F142-A1B7-25406DDABE5E}" name="Column15463"/>
    <tableColumn id="15482" xr3:uid="{9B12BB22-5B91-6440-9095-4C534E23FBF2}" name="Column15464"/>
    <tableColumn id="15483" xr3:uid="{D1229680-2E61-4F49-9766-A81C34A8A075}" name="Column15465"/>
    <tableColumn id="15484" xr3:uid="{96E0736D-760F-C44C-BCB4-4D95127D5EFA}" name="Column15466"/>
    <tableColumn id="15485" xr3:uid="{57FF5FA6-3051-354C-A5BF-0915E796F2A5}" name="Column15467"/>
    <tableColumn id="15486" xr3:uid="{29D96E0A-0E19-8340-8014-2F937D3560A1}" name="Column15468"/>
    <tableColumn id="15487" xr3:uid="{D0EF8180-2FB8-F84E-8390-13CBC08DAF9C}" name="Column15469"/>
    <tableColumn id="15488" xr3:uid="{42C6C853-8520-1E48-AC6B-34F34393907D}" name="Column15470"/>
    <tableColumn id="15489" xr3:uid="{171E4D4A-5402-4D46-9081-FA85EE4FB440}" name="Column15471"/>
    <tableColumn id="15490" xr3:uid="{2948F6F6-7C50-8F4B-90CF-3EF76670C53C}" name="Column15472"/>
    <tableColumn id="15491" xr3:uid="{D94CC225-8199-634F-9095-2BF4F687D4B3}" name="Column15473"/>
    <tableColumn id="15492" xr3:uid="{F26D36DA-9C04-2942-88D4-11150089AE70}" name="Column15474"/>
    <tableColumn id="15493" xr3:uid="{A6A443B6-59F8-4B49-AD45-3222714AA037}" name="Column15475"/>
    <tableColumn id="15494" xr3:uid="{31E1C4F4-DB8F-CC45-80C0-D2A807ECC0CC}" name="Column15476"/>
    <tableColumn id="15495" xr3:uid="{1706AB9C-1727-1144-8773-81F6948845E2}" name="Column15477"/>
    <tableColumn id="15496" xr3:uid="{F9513C9B-1841-AB49-9970-6BA1190639B5}" name="Column15478"/>
    <tableColumn id="15497" xr3:uid="{0CDEEB13-AEDA-814F-9BFF-0F3F41CBC66B}" name="Column15479"/>
    <tableColumn id="15498" xr3:uid="{4A058551-8C12-A94E-8269-3AC8C7037C05}" name="Column15480"/>
    <tableColumn id="15499" xr3:uid="{1C38E478-A1F0-E54E-AFCA-FC17DD9B1FB4}" name="Column15481"/>
    <tableColumn id="15500" xr3:uid="{56383F0A-4727-5549-B39B-B1694A6A8CF9}" name="Column15482"/>
    <tableColumn id="15501" xr3:uid="{21051C04-7631-D446-B3DB-20D0D2941289}" name="Column15483"/>
    <tableColumn id="15502" xr3:uid="{D5826734-C413-B848-A859-D5723D9CDE57}" name="Column15484"/>
    <tableColumn id="15503" xr3:uid="{644460B2-D0F0-AA4B-918F-A94E2864032C}" name="Column15485"/>
    <tableColumn id="15504" xr3:uid="{B7A12515-FF53-8A49-B0E0-936B61DC5942}" name="Column15486"/>
    <tableColumn id="15505" xr3:uid="{6438C23F-8D3C-204C-9CC3-ED2F497C9DFA}" name="Column15487"/>
    <tableColumn id="15506" xr3:uid="{0F218711-EC47-9A4D-8BB1-324F53C76D91}" name="Column15488"/>
    <tableColumn id="15507" xr3:uid="{B2710BDF-3006-A64D-BCDC-D93717ACD2C3}" name="Column15489"/>
    <tableColumn id="15508" xr3:uid="{63080DD7-AA26-5C47-9B9D-3D02B758483C}" name="Column15490"/>
    <tableColumn id="15509" xr3:uid="{114CF6E2-FDC3-9D42-9BEF-9DBDA5BBAAA2}" name="Column15491"/>
    <tableColumn id="15510" xr3:uid="{4FBEA696-F2A7-BC41-8F53-6C5838D98747}" name="Column15492"/>
    <tableColumn id="15511" xr3:uid="{1FD314E3-113C-D744-AD35-454588E7E3A4}" name="Column15493"/>
    <tableColumn id="15512" xr3:uid="{0B7763F0-7D74-4B4D-87D9-5BCB71AE49EC}" name="Column15494"/>
    <tableColumn id="15513" xr3:uid="{9E2FFE96-D9D4-CB4B-8876-48000C815216}" name="Column15495"/>
    <tableColumn id="15514" xr3:uid="{23529E80-C79F-4248-9845-57B1A37D21B3}" name="Column15496"/>
    <tableColumn id="15515" xr3:uid="{1923763F-ADCC-654F-990D-CAE91155DF82}" name="Column15497"/>
    <tableColumn id="15516" xr3:uid="{CBF7B30D-6A79-7744-A010-7BAC2DC6DFD8}" name="Column15498"/>
    <tableColumn id="15517" xr3:uid="{F252A7F5-9CCF-4B41-B472-AA9AED0E3A1E}" name="Column15499"/>
    <tableColumn id="15518" xr3:uid="{FB17F48A-B7D5-7C41-983C-ED4FAB1A93F9}" name="Column15500"/>
    <tableColumn id="15519" xr3:uid="{72663ADC-E1C9-BE46-988D-0BC4FD47676F}" name="Column15501"/>
    <tableColumn id="15520" xr3:uid="{6DA19AE1-20A8-A944-8A4F-3F764F9FE437}" name="Column15502"/>
    <tableColumn id="15521" xr3:uid="{E9ED8630-F059-0F4C-8889-A80D678CE35A}" name="Column15503"/>
    <tableColumn id="15522" xr3:uid="{64469518-A849-8945-9F6F-8FE67E723A82}" name="Column15504"/>
    <tableColumn id="15523" xr3:uid="{8566FAD0-3D62-2D4C-B6F0-94A474B22DEB}" name="Column15505"/>
    <tableColumn id="15524" xr3:uid="{28F62C95-F4ED-9A4B-883D-91876640EEC5}" name="Column15506"/>
    <tableColumn id="15525" xr3:uid="{1FEF79A3-2DAF-D945-88CE-241FC325923F}" name="Column15507"/>
    <tableColumn id="15526" xr3:uid="{F9A683FA-8E09-1843-A8F3-3930EE94A98A}" name="Column15508"/>
    <tableColumn id="15527" xr3:uid="{4592E2A3-C398-184D-BFB2-32CA323D7799}" name="Column15509"/>
    <tableColumn id="15528" xr3:uid="{52F5101F-FBBF-AB46-A32C-9FAFC557C4C9}" name="Column15510"/>
    <tableColumn id="15529" xr3:uid="{D571C894-4E9B-E449-A159-12CBCC463F86}" name="Column15511"/>
    <tableColumn id="15530" xr3:uid="{CA855909-A7E8-6B41-8627-4BAC566FCE8C}" name="Column15512"/>
    <tableColumn id="15531" xr3:uid="{15139E83-0E31-804E-A5AC-E5FA59346E70}" name="Column15513"/>
    <tableColumn id="15532" xr3:uid="{03543543-862B-AB48-B7F8-55942B7244A7}" name="Column15514"/>
    <tableColumn id="15533" xr3:uid="{63935873-9905-284B-A266-0940C9860504}" name="Column15515"/>
    <tableColumn id="15534" xr3:uid="{C653C5C7-EE80-134D-B28F-1DCBDB5E4413}" name="Column15516"/>
    <tableColumn id="15535" xr3:uid="{FF0DFA04-7C88-7542-8259-418BE3E95877}" name="Column15517"/>
    <tableColumn id="15536" xr3:uid="{758D06A5-0EE1-1F44-934D-84BB7E808224}" name="Column15518"/>
    <tableColumn id="15537" xr3:uid="{F1089C57-6311-2C4B-AE15-8CDB0AF8280C}" name="Column15519"/>
    <tableColumn id="15538" xr3:uid="{BBCFAE61-20C8-0944-A4BA-B4274449F8C8}" name="Column15520"/>
    <tableColumn id="15539" xr3:uid="{16D93050-3154-F841-8FAE-517566C36936}" name="Column15521"/>
    <tableColumn id="15540" xr3:uid="{D340CBEB-14FF-D642-9705-8D233C7743F7}" name="Column15522"/>
    <tableColumn id="15541" xr3:uid="{490638B6-365F-AD47-B967-79019B3A112A}" name="Column15523"/>
    <tableColumn id="15542" xr3:uid="{51CEF7E5-27B6-674F-B57A-A53ED0AEBE8A}" name="Column15524"/>
    <tableColumn id="15543" xr3:uid="{A0001AAC-C948-3B49-B7A7-532035494E1E}" name="Column15525"/>
    <tableColumn id="15544" xr3:uid="{40735724-ED4C-9641-8E53-323282CE2308}" name="Column15526"/>
    <tableColumn id="15545" xr3:uid="{9CD04C23-DE81-ED4B-A1B8-BCB60B74FDB4}" name="Column15527"/>
    <tableColumn id="15546" xr3:uid="{8D229474-2A56-9D4B-942E-1F0CDCB6AEEE}" name="Column15528"/>
    <tableColumn id="15547" xr3:uid="{2233F66B-C29E-3747-9D94-79301354B43A}" name="Column15529"/>
    <tableColumn id="15548" xr3:uid="{1F5F7457-4C7C-D044-9A0E-592D3B299C9A}" name="Column15530"/>
    <tableColumn id="15549" xr3:uid="{83ABA0F3-3EA2-234A-9E13-26BEFF23B3A4}" name="Column15531"/>
    <tableColumn id="15550" xr3:uid="{D3B1F092-F193-0949-A66F-472D7DEE34ED}" name="Column15532"/>
    <tableColumn id="15551" xr3:uid="{76353BB7-6F96-C345-BDDE-D32380E0F7A5}" name="Column15533"/>
    <tableColumn id="15552" xr3:uid="{DD0B7D60-8336-C84A-A1B6-AC88780933BB}" name="Column15534"/>
    <tableColumn id="15553" xr3:uid="{0F458779-27E9-E04A-A18D-C60E72321167}" name="Column15535"/>
    <tableColumn id="15554" xr3:uid="{39EEECD9-A33C-9445-A231-6971FB7E6812}" name="Column15536"/>
    <tableColumn id="15555" xr3:uid="{B6CD5FB5-7B1F-244C-827A-85E480752CC3}" name="Column15537"/>
    <tableColumn id="15556" xr3:uid="{1AEF00E5-5764-1D41-8416-7FC612D66CA0}" name="Column15538"/>
    <tableColumn id="15557" xr3:uid="{569B5371-4F06-0F41-9BEF-BD28758B3DFA}" name="Column15539"/>
    <tableColumn id="15558" xr3:uid="{7D7DAB3D-15E5-D643-9579-54138C5977E9}" name="Column15540"/>
    <tableColumn id="15559" xr3:uid="{1D6C7836-8F3D-C649-8A29-249BC7E6B66D}" name="Column15541"/>
    <tableColumn id="15560" xr3:uid="{6D1281DA-22F3-794A-AA87-6F7F0F57FF42}" name="Column15542"/>
    <tableColumn id="15561" xr3:uid="{6A74C479-C2F4-7B4F-833F-F813CF4B48C5}" name="Column15543"/>
    <tableColumn id="15562" xr3:uid="{0FA79108-5E74-574C-A190-15C60677DA26}" name="Column15544"/>
    <tableColumn id="15563" xr3:uid="{F5D2F618-4465-5E4B-850D-EFF824E8A9D1}" name="Column15545"/>
    <tableColumn id="15564" xr3:uid="{146EF2D5-F95C-7D45-8C2B-BF4C7C98F72E}" name="Column15546"/>
    <tableColumn id="15565" xr3:uid="{42FC60CC-55BA-2D4F-B762-A970BCF48F6C}" name="Column15547"/>
    <tableColumn id="15566" xr3:uid="{161FDC8E-D636-834D-BAC4-2FA328B22125}" name="Column15548"/>
    <tableColumn id="15567" xr3:uid="{B0264001-725C-C94D-AD5E-E61D1C72CC7B}" name="Column15549"/>
    <tableColumn id="15568" xr3:uid="{1B963B62-66CA-9946-82EA-C5BFC9557A20}" name="Column15550"/>
    <tableColumn id="15569" xr3:uid="{11DF0D30-F86E-5B47-89E8-F641FD336C26}" name="Column15551"/>
    <tableColumn id="15570" xr3:uid="{666BE86A-42CE-DF4E-AB46-D3D8D473E934}" name="Column15552"/>
    <tableColumn id="15571" xr3:uid="{BB8AB7C6-FBB0-9148-A018-E9AEA7814522}" name="Column15553"/>
    <tableColumn id="15572" xr3:uid="{38AC1B75-D362-3C48-9636-6A80B832F6F6}" name="Column15554"/>
    <tableColumn id="15573" xr3:uid="{1B4BF645-56BB-C640-9DC2-5839AF1E25B7}" name="Column15555"/>
    <tableColumn id="15574" xr3:uid="{6837E320-F022-5343-AE1D-50322CBB910A}" name="Column15556"/>
    <tableColumn id="15575" xr3:uid="{77AB9AFB-0206-AD4F-909A-24C7C054AA0F}" name="Column15557"/>
    <tableColumn id="15576" xr3:uid="{B26162A5-B43F-3C45-93E5-7F7FA472AE67}" name="Column15558"/>
    <tableColumn id="15577" xr3:uid="{00CF3CC6-2282-1545-850A-6FC7E6891DBB}" name="Column15559"/>
    <tableColumn id="15578" xr3:uid="{2F32086E-77C0-EB49-AECB-2B05D7C25CB5}" name="Column15560"/>
    <tableColumn id="15579" xr3:uid="{FD87CA59-22D5-CF44-A429-554F18B4E9E3}" name="Column15561"/>
    <tableColumn id="15580" xr3:uid="{00C766DF-3FD9-994C-8A8A-47BF1476BA62}" name="Column15562"/>
    <tableColumn id="15581" xr3:uid="{57FA999F-D1C0-FD41-A426-9C8A788A49DC}" name="Column15563"/>
    <tableColumn id="15582" xr3:uid="{AE1AA2B6-04A0-1240-9950-C2B29CBD43C5}" name="Column15564"/>
    <tableColumn id="15583" xr3:uid="{9B832090-21C7-7648-AF04-1765BD4A0674}" name="Column15565"/>
    <tableColumn id="15584" xr3:uid="{FE628EF2-51D4-AA49-839A-E21E3FC11FC2}" name="Column15566"/>
    <tableColumn id="15585" xr3:uid="{87E1BFB0-F029-1147-8F55-B00295C652B0}" name="Column15567"/>
    <tableColumn id="15586" xr3:uid="{1D3A0043-209A-DE41-B7BA-C28AE9ED132C}" name="Column15568"/>
    <tableColumn id="15587" xr3:uid="{E268D891-536B-B149-A28E-E2F0C7D46F05}" name="Column15569"/>
    <tableColumn id="15588" xr3:uid="{2C37FD32-D37C-8E45-865E-FA9D62BDA240}" name="Column15570"/>
    <tableColumn id="15589" xr3:uid="{6DB550C0-3A3D-DC47-B09E-3C8DAAB0E1AF}" name="Column15571"/>
    <tableColumn id="15590" xr3:uid="{8C6B4CD8-12DC-9D43-9CFC-72629892EF48}" name="Column15572"/>
    <tableColumn id="15591" xr3:uid="{499F3284-B994-1548-9690-E94C48529500}" name="Column15573"/>
    <tableColumn id="15592" xr3:uid="{95D84064-33D5-D647-A3C4-E95CC1F4B048}" name="Column15574"/>
    <tableColumn id="15593" xr3:uid="{8F7BDB66-A649-DE48-88F1-65028035DB3B}" name="Column15575"/>
    <tableColumn id="15594" xr3:uid="{520972C6-7F3E-2C40-9B28-5A56652C90DB}" name="Column15576"/>
    <tableColumn id="15595" xr3:uid="{8BFD8A35-5945-1B47-81F9-8148EB2AAF16}" name="Column15577"/>
    <tableColumn id="15596" xr3:uid="{8CF76743-277D-F44D-A692-21394BD42CC3}" name="Column15578"/>
    <tableColumn id="15597" xr3:uid="{FAB95957-8A7F-EC4C-BB98-3CC5F06088E9}" name="Column15579"/>
    <tableColumn id="15598" xr3:uid="{4969E66F-9010-5744-B177-F2AD89DFDABF}" name="Column15580"/>
    <tableColumn id="15599" xr3:uid="{030D8CBC-5721-724A-BD78-CA2B76FE312A}" name="Column15581"/>
    <tableColumn id="15600" xr3:uid="{3197EA59-1205-144B-A86B-39647B12AD69}" name="Column15582"/>
    <tableColumn id="15601" xr3:uid="{80688A26-2224-424B-BED3-BA755289A9AB}" name="Column15583"/>
    <tableColumn id="15602" xr3:uid="{A9AF4370-C017-AF4A-9079-90E50890F561}" name="Column15584"/>
    <tableColumn id="15603" xr3:uid="{01A5DDF1-C974-A74E-8781-67F3BA58D6FC}" name="Column15585"/>
    <tableColumn id="15604" xr3:uid="{073125D6-0A46-A345-978F-87AF859298F4}" name="Column15586"/>
    <tableColumn id="15605" xr3:uid="{74FA862A-CA7D-D24E-A7C5-A237EEC2B722}" name="Column15587"/>
    <tableColumn id="15606" xr3:uid="{2EABFF30-503F-F449-A49C-5496808081C5}" name="Column15588"/>
    <tableColumn id="15607" xr3:uid="{FC78B254-8030-E542-9653-26FD9FF379B8}" name="Column15589"/>
    <tableColumn id="15608" xr3:uid="{B065193B-5352-AA48-A0D5-EB7A6B2706BB}" name="Column15590"/>
    <tableColumn id="15609" xr3:uid="{F2D4F79E-3F08-3842-A73E-163B707D7607}" name="Column15591"/>
    <tableColumn id="15610" xr3:uid="{D0914059-36B2-D449-A57F-79F709D709E5}" name="Column15592"/>
    <tableColumn id="15611" xr3:uid="{11BE43C0-2FB2-A540-B654-474AF15E6CC6}" name="Column15593"/>
    <tableColumn id="15612" xr3:uid="{5FC59B4F-8463-5547-BC65-C59057021FFC}" name="Column15594"/>
    <tableColumn id="15613" xr3:uid="{6235C0BF-C02D-A540-A7D2-C5948F21077E}" name="Column15595"/>
    <tableColumn id="15614" xr3:uid="{86A0682A-C3F3-694D-867F-11BBD227C2AF}" name="Column15596"/>
    <tableColumn id="15615" xr3:uid="{09147AAA-A11C-B249-816D-C91ACA6B917A}" name="Column15597"/>
    <tableColumn id="15616" xr3:uid="{D1261458-0849-F24F-8758-17AA9EC09D5B}" name="Column15598"/>
    <tableColumn id="15617" xr3:uid="{20EF84F4-1E2F-314B-81CD-85B3768D4340}" name="Column15599"/>
    <tableColumn id="15618" xr3:uid="{4E2789EE-680A-3A4D-8ED3-DC96A6F8F98D}" name="Column15600"/>
    <tableColumn id="15619" xr3:uid="{4C12D85F-8F83-E046-9D00-A2C098582817}" name="Column15601"/>
    <tableColumn id="15620" xr3:uid="{EC28FCC1-EB4C-8E41-9DF7-46A1194BC752}" name="Column15602"/>
    <tableColumn id="15621" xr3:uid="{EBF77E70-3213-3B42-BF62-30ED6F83E4C2}" name="Column15603"/>
    <tableColumn id="15622" xr3:uid="{3733BF0E-FB14-0B42-9534-ABFEAE01FE3A}" name="Column15604"/>
    <tableColumn id="15623" xr3:uid="{33FC52EC-5ED4-E240-880D-145C7C56F566}" name="Column15605"/>
    <tableColumn id="15624" xr3:uid="{8B6AE866-5FF9-2646-81AD-BA862D17C079}" name="Column15606"/>
    <tableColumn id="15625" xr3:uid="{842DD18D-6C99-9C42-ADD3-11A6AAF662EE}" name="Column15607"/>
    <tableColumn id="15626" xr3:uid="{FF479CE9-860A-F14D-A7C5-8B671BA89D92}" name="Column15608"/>
    <tableColumn id="15627" xr3:uid="{932AC24C-60A4-D347-A578-BF2673F76239}" name="Column15609"/>
    <tableColumn id="15628" xr3:uid="{FFFBBA04-7AB5-4F43-B905-B2F88D1C5383}" name="Column15610"/>
    <tableColumn id="15629" xr3:uid="{1EBC6F41-9DF7-DE48-8C04-77CA1D8D96AA}" name="Column15611"/>
    <tableColumn id="15630" xr3:uid="{F6CFE4BF-6E02-174F-AAC4-EFE39892DE6E}" name="Column15612"/>
    <tableColumn id="15631" xr3:uid="{67DFC59F-FD0B-2743-9F9B-EB0AE23FA13C}" name="Column15613"/>
    <tableColumn id="15632" xr3:uid="{3D0C3EB3-2C15-BE44-8E6A-311AF919B37D}" name="Column15614"/>
    <tableColumn id="15633" xr3:uid="{3D920B89-AB10-4749-9BE9-6C19718F061A}" name="Column15615"/>
    <tableColumn id="15634" xr3:uid="{03F7CF05-917A-AB42-9047-A45B8280F4A4}" name="Column15616"/>
    <tableColumn id="15635" xr3:uid="{CB5FDCC4-2FA5-4144-8ECD-74B90F37087A}" name="Column15617"/>
    <tableColumn id="15636" xr3:uid="{4EB8AC86-AF06-B94E-AD5D-9A3FA4A48A1A}" name="Column15618"/>
    <tableColumn id="15637" xr3:uid="{6A074A4F-A722-8C42-8E65-339D41751F60}" name="Column15619"/>
    <tableColumn id="15638" xr3:uid="{DB1B3593-88D7-7946-BD11-FBCC10A45DD7}" name="Column15620"/>
    <tableColumn id="15639" xr3:uid="{5157364E-10FC-5540-8743-BC261DA32205}" name="Column15621"/>
    <tableColumn id="15640" xr3:uid="{0CFE899D-19E3-B14B-96ED-96DF4E15EBC4}" name="Column15622"/>
    <tableColumn id="15641" xr3:uid="{E9DC7991-B01C-5847-9D72-512CB6193439}" name="Column15623"/>
    <tableColumn id="15642" xr3:uid="{89927D9E-79DD-5646-8315-0D3514A72C3B}" name="Column15624"/>
    <tableColumn id="15643" xr3:uid="{303AAF55-5E75-A64F-A736-47903CB7DF9F}" name="Column15625"/>
    <tableColumn id="15644" xr3:uid="{96FCD712-AEE5-1849-B672-ACFA2D54014A}" name="Column15626"/>
    <tableColumn id="15645" xr3:uid="{6CB35E54-21C1-AD44-A3DA-15B757F2B634}" name="Column15627"/>
    <tableColumn id="15646" xr3:uid="{03C6838D-C617-504C-A3C8-1F409D26B1E0}" name="Column15628"/>
    <tableColumn id="15647" xr3:uid="{76004CB4-AD15-354A-B9ED-90BF13376658}" name="Column15629"/>
    <tableColumn id="15648" xr3:uid="{21C04376-B4E2-DD44-B2CF-D7ED5F32E7C6}" name="Column15630"/>
    <tableColumn id="15649" xr3:uid="{E8E46510-889C-0B45-9BCC-7B7D79213321}" name="Column15631"/>
    <tableColumn id="15650" xr3:uid="{16CB977B-EAD8-BE40-A433-AC07813DFFE6}" name="Column15632"/>
    <tableColumn id="15651" xr3:uid="{84C66777-17CD-AA4C-9E70-F8EEAAEC4C4B}" name="Column15633"/>
    <tableColumn id="15652" xr3:uid="{6E172778-CBF8-B14D-B683-1AF6BFD05161}" name="Column15634"/>
    <tableColumn id="15653" xr3:uid="{BCBBD253-FEE5-044F-A807-ED5C259FF0B7}" name="Column15635"/>
    <tableColumn id="15654" xr3:uid="{76CAA52B-1908-2244-8BE0-7D02564CD29C}" name="Column15636"/>
    <tableColumn id="15655" xr3:uid="{26F1596D-8EC8-B24A-9790-8B6A01ACBB8C}" name="Column15637"/>
    <tableColumn id="15656" xr3:uid="{83AC1D95-ADAA-344B-983A-D41E71E21FC1}" name="Column15638"/>
    <tableColumn id="15657" xr3:uid="{230A5F16-EDA1-404C-B360-6C0CAD1D8191}" name="Column15639"/>
    <tableColumn id="15658" xr3:uid="{567D879B-3434-5C4A-B722-95388F40E0A5}" name="Column15640"/>
    <tableColumn id="15659" xr3:uid="{EA0E428C-83ED-C84E-86C5-C50BCCBAB60E}" name="Column15641"/>
    <tableColumn id="15660" xr3:uid="{74BA3719-E7B7-724B-A99A-331CC313503A}" name="Column15642"/>
    <tableColumn id="15661" xr3:uid="{5F05ECBD-152C-CA49-B091-3CB39ABBA977}" name="Column15643"/>
    <tableColumn id="15662" xr3:uid="{159586E3-F25D-A941-95B9-80F6EA22A2DB}" name="Column15644"/>
    <tableColumn id="15663" xr3:uid="{FC133AFF-EC3A-5940-BFEA-C4AEE06E99B2}" name="Column15645"/>
    <tableColumn id="15664" xr3:uid="{1D64865B-4C76-5446-8241-30660F72B793}" name="Column15646"/>
    <tableColumn id="15665" xr3:uid="{3CE1C7E0-FA8B-D248-8EC4-0C461ABB5D42}" name="Column15647"/>
    <tableColumn id="15666" xr3:uid="{FBE4F261-54F5-5E4A-9FB9-1988032750B5}" name="Column15648"/>
    <tableColumn id="15667" xr3:uid="{C0C5AAA2-2A00-EE40-827D-72142C693236}" name="Column15649"/>
    <tableColumn id="15668" xr3:uid="{28EE8823-0CB8-2C48-A574-B52252F5A3A7}" name="Column15650"/>
    <tableColumn id="15669" xr3:uid="{A032F3D3-BF37-8241-ABCC-FA8A46F58989}" name="Column15651"/>
    <tableColumn id="15670" xr3:uid="{0DE53DD1-A089-4F49-8F99-D07FA9538015}" name="Column15652"/>
    <tableColumn id="15671" xr3:uid="{08A4CBFE-8475-4D45-A557-FA000023F50C}" name="Column15653"/>
    <tableColumn id="15672" xr3:uid="{1DF61E40-CD77-4147-A8C9-1760E5AF0179}" name="Column15654"/>
    <tableColumn id="15673" xr3:uid="{ED9AADF8-A20A-FB44-A6FA-9A0BB9B8CE9D}" name="Column15655"/>
    <tableColumn id="15674" xr3:uid="{DA0E097E-97BF-024D-BBF8-5C8F0AA8A4BC}" name="Column15656"/>
    <tableColumn id="15675" xr3:uid="{A61678CB-8151-1A48-AA3A-E2428FAD846F}" name="Column15657"/>
    <tableColumn id="15676" xr3:uid="{50F24F64-E37A-E241-85B4-B0850485AD7A}" name="Column15658"/>
    <tableColumn id="15677" xr3:uid="{1C2779A7-F93B-274B-A45D-CFA960A85B78}" name="Column15659"/>
    <tableColumn id="15678" xr3:uid="{B509470D-A794-6E4C-9F49-8A4F0CB2E6DE}" name="Column15660"/>
    <tableColumn id="15679" xr3:uid="{2D9F4D11-5F87-CB41-8218-180A820138C2}" name="Column15661"/>
    <tableColumn id="15680" xr3:uid="{6CC84079-9EAE-4242-995F-DB22DF81DA35}" name="Column15662"/>
    <tableColumn id="15681" xr3:uid="{B6416447-2109-C64A-A76A-352E08A48550}" name="Column15663"/>
    <tableColumn id="15682" xr3:uid="{333700A8-C31A-B741-843E-3210D423E42B}" name="Column15664"/>
    <tableColumn id="15683" xr3:uid="{BCF70EDE-D288-1B4B-BAC0-1C6F717E984D}" name="Column15665"/>
    <tableColumn id="15684" xr3:uid="{C2B588C9-0E52-E649-8318-D8278817C389}" name="Column15666"/>
    <tableColumn id="15685" xr3:uid="{6B476833-74DE-F042-9D12-8498D4CDE875}" name="Column15667"/>
    <tableColumn id="15686" xr3:uid="{D280AFAC-52E1-C94C-8539-71F1412A6A75}" name="Column15668"/>
    <tableColumn id="15687" xr3:uid="{7F3DF662-DFCB-2A48-98DC-10633E79E826}" name="Column15669"/>
    <tableColumn id="15688" xr3:uid="{F06D338D-12A0-074E-85CE-F2457391031F}" name="Column15670"/>
    <tableColumn id="15689" xr3:uid="{867999ED-E9C1-4940-8ACD-D893C568022F}" name="Column15671"/>
    <tableColumn id="15690" xr3:uid="{47DCF979-4330-DB4F-8F33-228B4B0E7BF9}" name="Column15672"/>
    <tableColumn id="15691" xr3:uid="{17F95791-CA4B-F249-A162-80BC10C71107}" name="Column15673"/>
    <tableColumn id="15692" xr3:uid="{14F91FC1-C044-4C4C-B6D0-7D38032FDB5F}" name="Column15674"/>
    <tableColumn id="15693" xr3:uid="{38F449B5-808F-204E-BA84-B1D6AE3CC256}" name="Column15675"/>
    <tableColumn id="15694" xr3:uid="{84C087B5-DF7F-3248-9587-D7F4E0A838D7}" name="Column15676"/>
    <tableColumn id="15695" xr3:uid="{D445523F-31A8-724B-9098-7553D8205074}" name="Column15677"/>
    <tableColumn id="15696" xr3:uid="{6D039AA9-A57C-7348-A09B-FCAA32BD05B0}" name="Column15678"/>
    <tableColumn id="15697" xr3:uid="{408B7CAE-618C-2143-A30B-ED2B91F418BA}" name="Column15679"/>
    <tableColumn id="15698" xr3:uid="{BAE7876E-6132-044A-8E84-25B35591555F}" name="Column15680"/>
    <tableColumn id="15699" xr3:uid="{3539E39C-419A-6F42-95FF-411244FF2B6D}" name="Column15681"/>
    <tableColumn id="15700" xr3:uid="{651376F5-E035-FB4B-85EF-6B7705F7B440}" name="Column15682"/>
    <tableColumn id="15701" xr3:uid="{72F64188-CA3A-6D4E-BE10-94DAAEB3211D}" name="Column15683"/>
    <tableColumn id="15702" xr3:uid="{39453BCA-F13C-184E-9CAC-3760CF902666}" name="Column15684"/>
    <tableColumn id="15703" xr3:uid="{8A16201B-2A93-BF4E-B41F-E73D60530C66}" name="Column15685"/>
    <tableColumn id="15704" xr3:uid="{A74C13FC-F7C8-3244-8D5E-54ED71FEBE34}" name="Column15686"/>
    <tableColumn id="15705" xr3:uid="{C6E866D5-5AED-5649-B041-C96204958EA3}" name="Column15687"/>
    <tableColumn id="15706" xr3:uid="{98F35390-36C6-5547-A7E7-68DF174772B4}" name="Column15688"/>
    <tableColumn id="15707" xr3:uid="{39B3F9F0-8F81-E347-B67D-912D47177C3C}" name="Column15689"/>
    <tableColumn id="15708" xr3:uid="{441F0E0F-C435-4C44-A713-98076E1D5C89}" name="Column15690"/>
    <tableColumn id="15709" xr3:uid="{894F2762-F332-CE4B-8892-44D304A71B9C}" name="Column15691"/>
    <tableColumn id="15710" xr3:uid="{A3E98CC6-15A2-BD42-91E0-2CC2C12E3A8D}" name="Column15692"/>
    <tableColumn id="15711" xr3:uid="{3C748C54-DA54-8E45-958F-D8CA0B8A86F0}" name="Column15693"/>
    <tableColumn id="15712" xr3:uid="{D70C72BC-2F84-1841-9C3C-6B95142E517E}" name="Column15694"/>
    <tableColumn id="15713" xr3:uid="{BB403805-4F05-654D-A81D-A9EC5F6008F4}" name="Column15695"/>
    <tableColumn id="15714" xr3:uid="{EE45FE11-57BC-6441-ADF3-EE2E1E499170}" name="Column15696"/>
    <tableColumn id="15715" xr3:uid="{32E1B83A-EDB9-A942-BAF1-A55BE454E011}" name="Column15697"/>
    <tableColumn id="15716" xr3:uid="{F198F617-8501-4245-97C1-49CBF5682C43}" name="Column15698"/>
    <tableColumn id="15717" xr3:uid="{270E43AB-A242-2941-8736-1D295591C1A4}" name="Column15699"/>
    <tableColumn id="15718" xr3:uid="{8E2C8993-1771-DB48-80B6-F465A10555CA}" name="Column15700"/>
    <tableColumn id="15719" xr3:uid="{08B758E5-5CD5-F54E-BA4B-DCCCB85FE4F1}" name="Column15701"/>
    <tableColumn id="15720" xr3:uid="{C901EBEA-9F24-474B-9877-D9EA1A7D3E92}" name="Column15702"/>
    <tableColumn id="15721" xr3:uid="{B3EF0773-81FC-7F4D-B2B7-7BBAA5242565}" name="Column15703"/>
    <tableColumn id="15722" xr3:uid="{85B873FC-7375-AE4A-AB1B-BE54716A1026}" name="Column15704"/>
    <tableColumn id="15723" xr3:uid="{F11DFE33-55B5-6C42-85CC-3145E4020895}" name="Column15705"/>
    <tableColumn id="15724" xr3:uid="{E88F1955-361A-AC48-A329-B4553A284692}" name="Column15706"/>
    <tableColumn id="15725" xr3:uid="{F5C19414-6326-3348-9412-74B945FC5DFC}" name="Column15707"/>
    <tableColumn id="15726" xr3:uid="{534EE399-F0A3-0B40-8839-1DD2B5BE85F7}" name="Column15708"/>
    <tableColumn id="15727" xr3:uid="{0A5EB836-381B-4B4A-89BE-A0F2BE7FCFA9}" name="Column15709"/>
    <tableColumn id="15728" xr3:uid="{2948B416-79B7-1A48-8FD8-6772BB1F3489}" name="Column15710"/>
    <tableColumn id="15729" xr3:uid="{65984925-159E-FC48-80EC-02B12B1E3106}" name="Column15711"/>
    <tableColumn id="15730" xr3:uid="{5D423EA9-969D-E444-89BB-A4E6F3BFBA74}" name="Column15712"/>
    <tableColumn id="15731" xr3:uid="{44B43027-2F80-8642-A2DB-FCE8D7FF4B1F}" name="Column15713"/>
    <tableColumn id="15732" xr3:uid="{446A8468-E91C-7B4A-B769-457857664557}" name="Column15714"/>
    <tableColumn id="15733" xr3:uid="{908091EF-218E-3643-B345-B4DA94268A5D}" name="Column15715"/>
    <tableColumn id="15734" xr3:uid="{32970616-1E69-774E-88F2-F82B3D1A9E44}" name="Column15716"/>
    <tableColumn id="15735" xr3:uid="{905C2E68-25C1-3D4A-BFB1-921B33E24E9A}" name="Column15717"/>
    <tableColumn id="15736" xr3:uid="{30685576-0030-294D-B617-1DBAA52EB9D1}" name="Column15718"/>
    <tableColumn id="15737" xr3:uid="{9026DDA2-D927-F44F-BB1C-A5B61910E82D}" name="Column15719"/>
    <tableColumn id="15738" xr3:uid="{DD572C0A-6E48-854D-A25B-567800564CA6}" name="Column15720"/>
    <tableColumn id="15739" xr3:uid="{3724D362-9F24-9F4D-8723-AFB4DFFD176C}" name="Column15721"/>
    <tableColumn id="15740" xr3:uid="{461234AF-C7BA-9A4D-8EF4-77EA8ABF94EA}" name="Column15722"/>
    <tableColumn id="15741" xr3:uid="{B88AE9CA-9896-9A46-B4D7-97091F1CE2D1}" name="Column15723"/>
    <tableColumn id="15742" xr3:uid="{44127793-089C-3243-9F36-C2266097C43C}" name="Column15724"/>
    <tableColumn id="15743" xr3:uid="{879BF7BF-1526-DB4C-822C-BDA07045208B}" name="Column15725"/>
    <tableColumn id="15744" xr3:uid="{3E3ED279-4BA4-6248-8616-246B7BC294FE}" name="Column15726"/>
    <tableColumn id="15745" xr3:uid="{9AC60C90-F2D8-924E-9E1E-8E59D1A42028}" name="Column15727"/>
    <tableColumn id="15746" xr3:uid="{6D8FCF9F-8927-1B49-B230-DB910C70454F}" name="Column15728"/>
    <tableColumn id="15747" xr3:uid="{021E8E76-D6CE-1E4F-8056-FBE45CBA56E6}" name="Column15729"/>
    <tableColumn id="15748" xr3:uid="{F7B0044A-7463-8E45-AC57-FCED3998FAC4}" name="Column15730"/>
    <tableColumn id="15749" xr3:uid="{C02ECC14-F3DA-5244-99B1-2318A15722C1}" name="Column15731"/>
    <tableColumn id="15750" xr3:uid="{E458976B-1E33-584B-A156-5607D8C8764B}" name="Column15732"/>
    <tableColumn id="15751" xr3:uid="{B3487489-C6EC-294F-BAC9-FE3E909DE2F7}" name="Column15733"/>
    <tableColumn id="15752" xr3:uid="{E9B8C143-5BE9-8141-8CFB-37E0310A72DD}" name="Column15734"/>
    <tableColumn id="15753" xr3:uid="{F5DC1CE3-2A68-7B48-A94F-749FE0396AFC}" name="Column15735"/>
    <tableColumn id="15754" xr3:uid="{6B003286-8581-6244-9776-E712E44F6373}" name="Column15736"/>
    <tableColumn id="15755" xr3:uid="{6BF44747-8449-224E-9A68-C542FF98F9FD}" name="Column15737"/>
    <tableColumn id="15756" xr3:uid="{3AF6D74E-B6B9-C84F-BC52-846FB48A4402}" name="Column15738"/>
    <tableColumn id="15757" xr3:uid="{24662BC6-64B9-D14D-BE55-EAF1F522435F}" name="Column15739"/>
    <tableColumn id="15758" xr3:uid="{278B37DB-C940-F14A-BE4F-4EAD35030F32}" name="Column15740"/>
    <tableColumn id="15759" xr3:uid="{469B939D-D9C5-9349-B251-F80878472FE6}" name="Column15741"/>
    <tableColumn id="15760" xr3:uid="{7AC0B5B6-EA0A-874E-9135-7F054C2AFCF6}" name="Column15742"/>
    <tableColumn id="15761" xr3:uid="{733E745B-0529-2F4F-BF07-388D5CF1C42A}" name="Column15743"/>
    <tableColumn id="15762" xr3:uid="{0367BDE2-0A79-224D-AC54-D829E0C5DF46}" name="Column15744"/>
    <tableColumn id="15763" xr3:uid="{667356BE-650E-7642-9D80-E7462C775CC8}" name="Column15745"/>
    <tableColumn id="15764" xr3:uid="{21A49F7F-BD06-4D47-9D08-6AA0089DA560}" name="Column15746"/>
    <tableColumn id="15765" xr3:uid="{880A6EC2-078D-2A43-9FDF-20A0F5D972C3}" name="Column15747"/>
    <tableColumn id="15766" xr3:uid="{71E8C32C-C179-3248-98B5-48AAD8DB572D}" name="Column15748"/>
    <tableColumn id="15767" xr3:uid="{02CA959D-43F7-2145-A322-033D84F63D42}" name="Column15749"/>
    <tableColumn id="15768" xr3:uid="{A65E2DE7-45F6-1E49-9C76-E85A3BD1E3AF}" name="Column15750"/>
    <tableColumn id="15769" xr3:uid="{3B680DDF-554C-7F47-8D49-FE73261E1B70}" name="Column15751"/>
    <tableColumn id="15770" xr3:uid="{9EEA8246-50F8-7045-835F-AB8BE84D5424}" name="Column15752"/>
    <tableColumn id="15771" xr3:uid="{A0165E5F-C11E-784D-BEAF-9B36A141E241}" name="Column15753"/>
    <tableColumn id="15772" xr3:uid="{DEDFD955-A237-5740-BF00-BAF6797A6D58}" name="Column15754"/>
    <tableColumn id="15773" xr3:uid="{1AA0E75A-F20E-6841-B3BF-FBF8DA66FE62}" name="Column15755"/>
    <tableColumn id="15774" xr3:uid="{F73AEBC0-C394-3A48-917C-A0BA070F56EF}" name="Column15756"/>
    <tableColumn id="15775" xr3:uid="{2FC82402-C73E-A645-8DDD-2EEC5F809FBF}" name="Column15757"/>
    <tableColumn id="15776" xr3:uid="{E87EA5ED-7D84-794A-9AC7-86A0E2346896}" name="Column15758"/>
    <tableColumn id="15777" xr3:uid="{A668C3BC-4FFC-9849-9347-D0874CC61B2D}" name="Column15759"/>
    <tableColumn id="15778" xr3:uid="{2B09059A-AC12-B14E-8FBE-40FA4B581AC4}" name="Column15760"/>
    <tableColumn id="15779" xr3:uid="{3656BA28-E53C-8249-8FEA-F3604A2EBEA0}" name="Column15761"/>
    <tableColumn id="15780" xr3:uid="{5B0B9AB5-319C-8D43-BEB0-75BFB834C108}" name="Column15762"/>
    <tableColumn id="15781" xr3:uid="{360A68BD-EB22-7948-99FE-0BBCB37D1542}" name="Column15763"/>
    <tableColumn id="15782" xr3:uid="{1FB38AD7-6FC6-1043-AB31-2D05FF320484}" name="Column15764"/>
    <tableColumn id="15783" xr3:uid="{004DA098-E147-8142-A907-EBB0A4DD8F70}" name="Column15765"/>
    <tableColumn id="15784" xr3:uid="{F94E54A1-4F0F-D84F-B563-6A6DC2AE5F11}" name="Column15766"/>
    <tableColumn id="15785" xr3:uid="{5DAFE947-45FA-E141-8524-4457DAF62B28}" name="Column15767"/>
    <tableColumn id="15786" xr3:uid="{8B5CA19C-4CAD-0F46-B1B4-323ECCC7430F}" name="Column15768"/>
    <tableColumn id="15787" xr3:uid="{DFC7E35D-0F39-5349-9734-D35F9C2C1DBB}" name="Column15769"/>
    <tableColumn id="15788" xr3:uid="{07C5F77B-039B-994F-89BE-92478E8CC195}" name="Column15770"/>
    <tableColumn id="15789" xr3:uid="{93AA4EFC-1F4D-FD44-AC91-E25D57181BED}" name="Column15771"/>
    <tableColumn id="15790" xr3:uid="{9C98116A-45F8-1545-833B-B9B21488154B}" name="Column15772"/>
    <tableColumn id="15791" xr3:uid="{CEE93A91-2A82-6345-B734-44CE85D025B7}" name="Column15773"/>
    <tableColumn id="15792" xr3:uid="{D31FB97D-FB44-5949-9763-99610252C202}" name="Column15774"/>
    <tableColumn id="15793" xr3:uid="{2DEFB812-0CF1-0849-BB45-544E5E24CC51}" name="Column15775"/>
    <tableColumn id="15794" xr3:uid="{CB05CDB5-EACF-F647-BF05-DD064514ADDB}" name="Column15776"/>
    <tableColumn id="15795" xr3:uid="{EC6E1238-6A82-1F45-B433-AD70F3415945}" name="Column15777"/>
    <tableColumn id="15796" xr3:uid="{D0936ECD-5594-0B4F-94AF-72B8932242BF}" name="Column15778"/>
    <tableColumn id="15797" xr3:uid="{7EBCDFA8-42BA-554D-935D-C3C2FE183A6E}" name="Column15779"/>
    <tableColumn id="15798" xr3:uid="{58E96B64-D61E-2343-B32B-0A7D4829B9D3}" name="Column15780"/>
    <tableColumn id="15799" xr3:uid="{39CDDDA5-5427-B642-A3FF-4999B1AE2186}" name="Column15781"/>
    <tableColumn id="15800" xr3:uid="{634C76BF-C536-234E-84A2-1F094667F510}" name="Column15782"/>
    <tableColumn id="15801" xr3:uid="{9FC476B4-E93E-5D4E-BAE0-2E30CE13A6D5}" name="Column15783"/>
    <tableColumn id="15802" xr3:uid="{1AABE6CD-3826-674B-8266-8EE62E46D6CB}" name="Column15784"/>
    <tableColumn id="15803" xr3:uid="{5C825B80-F63B-3A40-A0C1-76EBFD2FF518}" name="Column15785"/>
    <tableColumn id="15804" xr3:uid="{72C5668A-12A5-E743-ADBA-E6C6550C70D8}" name="Column15786"/>
    <tableColumn id="15805" xr3:uid="{763DFB7C-BD68-EB44-B92E-D65803D111C4}" name="Column15787"/>
    <tableColumn id="15806" xr3:uid="{64B5DE96-DC5B-5441-8863-973DDD8B8495}" name="Column15788"/>
    <tableColumn id="15807" xr3:uid="{095E73C5-EFD1-5C46-B435-278A83042060}" name="Column15789"/>
    <tableColumn id="15808" xr3:uid="{EF60C149-AF7C-8244-A9DC-84576380C351}" name="Column15790"/>
    <tableColumn id="15809" xr3:uid="{DB1F614C-6741-5A42-8A49-58F5C2DE92FA}" name="Column15791"/>
    <tableColumn id="15810" xr3:uid="{A97998C0-5209-A642-BCC8-0250902ECCB6}" name="Column15792"/>
    <tableColumn id="15811" xr3:uid="{9D518E02-0097-FD45-B022-2CC46F4BE81D}" name="Column15793"/>
    <tableColumn id="15812" xr3:uid="{5240D02D-4EEF-0C4F-9245-F8AED21C49FE}" name="Column15794"/>
    <tableColumn id="15813" xr3:uid="{D578EF18-84A7-D640-B482-F71A5FA37B9C}" name="Column15795"/>
    <tableColumn id="15814" xr3:uid="{2C610BC7-7652-0640-8D79-12B2A490E488}" name="Column15796"/>
    <tableColumn id="15815" xr3:uid="{4831934C-426D-CA4A-9BAE-AC2618DB64DC}" name="Column15797"/>
    <tableColumn id="15816" xr3:uid="{66BB5564-402C-2741-98C7-AC2D2F5D62B1}" name="Column15798"/>
    <tableColumn id="15817" xr3:uid="{6B547187-55C7-7447-909B-7048620F38A1}" name="Column15799"/>
    <tableColumn id="15818" xr3:uid="{A2A747F4-CBBA-1047-95A5-FF5C2BD71634}" name="Column15800"/>
    <tableColumn id="15819" xr3:uid="{51913911-AD20-6843-A5F4-326196CB24FE}" name="Column15801"/>
    <tableColumn id="15820" xr3:uid="{5C2DAEB2-DA53-754B-AE48-E83006B85D45}" name="Column15802"/>
    <tableColumn id="15821" xr3:uid="{6D1C1EAA-F273-0A4F-846F-BA2CD68A5671}" name="Column15803"/>
    <tableColumn id="15822" xr3:uid="{C62AE967-BF1D-A541-ACA8-AF2EE50AAC08}" name="Column15804"/>
    <tableColumn id="15823" xr3:uid="{BD74C9D5-B9F3-2F49-946B-F2A776A508DF}" name="Column15805"/>
    <tableColumn id="15824" xr3:uid="{8D2AA997-2DDB-7643-B050-36AECEF6B5D8}" name="Column15806"/>
    <tableColumn id="15825" xr3:uid="{E81145DB-7BA4-6447-AAC3-2A1893C26C2A}" name="Column15807"/>
    <tableColumn id="15826" xr3:uid="{91188DEC-1A93-DD49-98AA-702EC5FBA4AD}" name="Column15808"/>
    <tableColumn id="15827" xr3:uid="{ECA00857-43E4-0B45-8148-E9E9847D84FB}" name="Column15809"/>
    <tableColumn id="15828" xr3:uid="{26EC7320-84C1-5C43-9170-D14385F33C81}" name="Column15810"/>
    <tableColumn id="15829" xr3:uid="{D3AFEC36-58CA-8640-B57E-8974B730B0BA}" name="Column15811"/>
    <tableColumn id="15830" xr3:uid="{8848EB3D-5B97-514C-9CCB-4FB65CA941D7}" name="Column15812"/>
    <tableColumn id="15831" xr3:uid="{D864C70A-2D81-6C43-AB80-7E1D490072DF}" name="Column15813"/>
    <tableColumn id="15832" xr3:uid="{5F7CEFDA-4BAE-F241-92BB-FF113CF1EC76}" name="Column15814"/>
    <tableColumn id="15833" xr3:uid="{AF3F31C1-554D-C64A-AF93-3DC8B1EA8DAF}" name="Column15815"/>
    <tableColumn id="15834" xr3:uid="{13DB05F9-AD79-2941-A9F0-8CE984B9B2DC}" name="Column15816"/>
    <tableColumn id="15835" xr3:uid="{F015F5BE-0C87-D34A-89B4-9BAB071B897D}" name="Column15817"/>
    <tableColumn id="15836" xr3:uid="{1D902647-B3D4-F04F-9D3B-611B20515F0D}" name="Column15818"/>
    <tableColumn id="15837" xr3:uid="{6E549994-8AA7-C544-8226-C73BF1AE4594}" name="Column15819"/>
    <tableColumn id="15838" xr3:uid="{EA3D92BA-9C2C-AB4F-A936-754970E2C136}" name="Column15820"/>
    <tableColumn id="15839" xr3:uid="{7D2224B3-9ADB-614E-975B-6DB961E2AC69}" name="Column15821"/>
    <tableColumn id="15840" xr3:uid="{4702DBF8-F56D-0F4D-97E4-D0F12FAC3C3E}" name="Column15822"/>
    <tableColumn id="15841" xr3:uid="{15F015D7-4BB4-374B-BB4F-AFB1A134219F}" name="Column15823"/>
    <tableColumn id="15842" xr3:uid="{AA5F3E6E-6F6A-FC41-ACC1-F8FF6650164F}" name="Column15824"/>
    <tableColumn id="15843" xr3:uid="{287A8A14-0C02-F248-9A47-A1E5C5D4DCCE}" name="Column15825"/>
    <tableColumn id="15844" xr3:uid="{77341D5B-41EB-D840-977E-78ED670F057D}" name="Column15826"/>
    <tableColumn id="15845" xr3:uid="{6BD02D8B-2511-A541-951C-948A59BADA2A}" name="Column15827"/>
    <tableColumn id="15846" xr3:uid="{DE3442F0-2669-5D41-8B9A-3F59AF9A39E9}" name="Column15828"/>
    <tableColumn id="15847" xr3:uid="{F0CB4EF9-765B-5B44-8005-143154E65F58}" name="Column15829"/>
    <tableColumn id="15848" xr3:uid="{C7A37D8B-D520-4E43-A705-3A04C5A4C769}" name="Column15830"/>
    <tableColumn id="15849" xr3:uid="{06B9D2FF-2EFE-6141-A7E4-D33A80F6082A}" name="Column15831"/>
    <tableColumn id="15850" xr3:uid="{C72BD5FB-856F-E442-BCAB-948A1A8AC6C2}" name="Column15832"/>
    <tableColumn id="15851" xr3:uid="{EBC6AEE6-6E0D-A649-9891-A39E4E8A66E6}" name="Column15833"/>
    <tableColumn id="15852" xr3:uid="{AE29F732-4B03-FC47-A2C8-46D1698A2670}" name="Column15834"/>
    <tableColumn id="15853" xr3:uid="{4B47AA23-F6E2-9A4C-BDFA-A8F54D35A652}" name="Column15835"/>
    <tableColumn id="15854" xr3:uid="{E258C56A-39FB-604B-A6EB-25632C0292EA}" name="Column15836"/>
    <tableColumn id="15855" xr3:uid="{6ED91E0B-2C10-0849-B0A3-B7A2F7776F28}" name="Column15837"/>
    <tableColumn id="15856" xr3:uid="{D3A3EF9B-A894-D940-A16E-BAE161B08194}" name="Column15838"/>
    <tableColumn id="15857" xr3:uid="{A2FDC756-7C6C-B04C-A3AC-A1E9465B5F5A}" name="Column15839"/>
    <tableColumn id="15858" xr3:uid="{700BC27E-0B05-DE49-B139-B28DF865B7F4}" name="Column15840"/>
    <tableColumn id="15859" xr3:uid="{B44AB324-C020-C54C-96A3-DD20E446D500}" name="Column15841"/>
    <tableColumn id="15860" xr3:uid="{1299CB54-A084-3C49-A505-D462B0045E26}" name="Column15842"/>
    <tableColumn id="15861" xr3:uid="{2394FE89-A3E9-7F43-AD47-EB92AAC25DE0}" name="Column15843"/>
    <tableColumn id="15862" xr3:uid="{E3016A86-81DF-A346-8015-F5BDA5F4EDA4}" name="Column15844"/>
    <tableColumn id="15863" xr3:uid="{25543B5A-F75B-A649-A612-85B9077AACC7}" name="Column15845"/>
    <tableColumn id="15864" xr3:uid="{8D8E1649-6EF2-744F-9484-6785A93700BE}" name="Column15846"/>
    <tableColumn id="15865" xr3:uid="{BB08EBEF-E684-2B43-B9A1-DFADBC4DFF31}" name="Column15847"/>
    <tableColumn id="15866" xr3:uid="{56C0836B-8034-2E44-A675-2616CFB22830}" name="Column15848"/>
    <tableColumn id="15867" xr3:uid="{2D04390A-4378-0048-A048-0189CE74E376}" name="Column15849"/>
    <tableColumn id="15868" xr3:uid="{63987907-61EE-D648-9E35-BAB4FCADDBAA}" name="Column15850"/>
    <tableColumn id="15869" xr3:uid="{6BCB4B47-F3BF-0947-B313-1FF238410F6A}" name="Column15851"/>
    <tableColumn id="15870" xr3:uid="{F64438F7-F15F-C94A-8F05-D68A65F01BFA}" name="Column15852"/>
    <tableColumn id="15871" xr3:uid="{5CB95F14-A657-9147-8A83-DF278FC9C9AD}" name="Column15853"/>
    <tableColumn id="15872" xr3:uid="{B3F80835-0203-334A-894E-F0EC06370A89}" name="Column15854"/>
    <tableColumn id="15873" xr3:uid="{A63263A8-A2F0-7042-89DF-200FCD84F427}" name="Column15855"/>
    <tableColumn id="15874" xr3:uid="{1BA6AF55-D6CD-A849-942D-5BBFA840F1DD}" name="Column15856"/>
    <tableColumn id="15875" xr3:uid="{E459A303-BF3A-F94B-86C9-7A32D6A5F335}" name="Column15857"/>
    <tableColumn id="15876" xr3:uid="{4A7B951E-3EEC-4A43-A412-65F57902E9DA}" name="Column15858"/>
    <tableColumn id="15877" xr3:uid="{6F04F7F0-8F41-5D4A-94D6-1D7CDF8F88A8}" name="Column15859"/>
    <tableColumn id="15878" xr3:uid="{A443274A-9627-344B-A1F7-EFC853AA2AC9}" name="Column15860"/>
    <tableColumn id="15879" xr3:uid="{2DCCDC53-8C7A-8247-8D38-7F8E3CED48E8}" name="Column15861"/>
    <tableColumn id="15880" xr3:uid="{01D1C8F2-2EBA-6F4C-AE42-0D7C36E675B0}" name="Column15862"/>
    <tableColumn id="15881" xr3:uid="{DD4428D4-1F62-8940-9611-57CD90FB3717}" name="Column15863"/>
    <tableColumn id="15882" xr3:uid="{1E8A985C-5FC9-F044-AA19-915B0CA16AE8}" name="Column15864"/>
    <tableColumn id="15883" xr3:uid="{9E450EF5-D850-394D-95BE-B93F4AC81A4D}" name="Column15865"/>
    <tableColumn id="15884" xr3:uid="{17C8DABE-1C9E-F049-BAFD-39947E472FEB}" name="Column15866"/>
    <tableColumn id="15885" xr3:uid="{A59BCA3A-695B-8342-B299-725E54C009FC}" name="Column15867"/>
    <tableColumn id="15886" xr3:uid="{FA29D308-E68E-7A43-BC63-4FE12D3D58A6}" name="Column15868"/>
    <tableColumn id="15887" xr3:uid="{A9D58FC3-518D-F343-A78B-92AC0C51205F}" name="Column15869"/>
    <tableColumn id="15888" xr3:uid="{27710C68-DBAE-8D4A-80D4-A8B5DBC30A5A}" name="Column15870"/>
    <tableColumn id="15889" xr3:uid="{280D70FC-CE9C-F044-A85D-2FB07A6C2B20}" name="Column15871"/>
    <tableColumn id="15890" xr3:uid="{38CC8551-97F0-A24B-B18A-BFECF2931581}" name="Column15872"/>
    <tableColumn id="15891" xr3:uid="{79C37D50-D1BC-B144-AA65-406006643162}" name="Column15873"/>
    <tableColumn id="15892" xr3:uid="{30FBC3BE-81F7-274B-8822-7985DECDB70A}" name="Column15874"/>
    <tableColumn id="15893" xr3:uid="{0E83BDF7-AB5B-1A4E-9D91-B6B0DD42056A}" name="Column15875"/>
    <tableColumn id="15894" xr3:uid="{28E488CB-E223-EE4A-8786-121896838F48}" name="Column15876"/>
    <tableColumn id="15895" xr3:uid="{82E016B0-642C-6340-8D4B-EC8FCC4BDBD1}" name="Column15877"/>
    <tableColumn id="15896" xr3:uid="{56837131-7B4C-FF4B-9521-74389E535D50}" name="Column15878"/>
    <tableColumn id="15897" xr3:uid="{52B2C1BF-7762-C543-B47F-4B7A1A33C2C4}" name="Column15879"/>
    <tableColumn id="15898" xr3:uid="{FF0F3009-9650-4D42-95CB-2435724178CD}" name="Column15880"/>
    <tableColumn id="15899" xr3:uid="{400C0181-E451-6E49-8965-7977DF6C300B}" name="Column15881"/>
    <tableColumn id="15900" xr3:uid="{FBA18A33-1660-D148-83E5-8F8112E01F0F}" name="Column15882"/>
    <tableColumn id="15901" xr3:uid="{BF4564B1-645E-B046-B3A0-E10911240FDD}" name="Column15883"/>
    <tableColumn id="15902" xr3:uid="{3A558F34-0F0B-E04A-BD4D-409C629C7CEB}" name="Column15884"/>
    <tableColumn id="15903" xr3:uid="{25A693CF-C5FE-834D-9FC5-728D2F6F39B4}" name="Column15885"/>
    <tableColumn id="15904" xr3:uid="{27559A6D-3BB2-1044-B0B4-9E2ABB247159}" name="Column15886"/>
    <tableColumn id="15905" xr3:uid="{12446084-C5A7-474A-941D-1F8EA1FE18AC}" name="Column15887"/>
    <tableColumn id="15906" xr3:uid="{8601B51F-9796-FB4C-A945-AF53615937A0}" name="Column15888"/>
    <tableColumn id="15907" xr3:uid="{51F02F3A-7119-6642-B297-94E097039D71}" name="Column15889"/>
    <tableColumn id="15908" xr3:uid="{AF3C5CFE-7AF3-9B4D-9F5C-3BDE23A8D6F3}" name="Column15890"/>
    <tableColumn id="15909" xr3:uid="{A6370D8A-6046-2645-8E09-2FD7E0EF694A}" name="Column15891"/>
    <tableColumn id="15910" xr3:uid="{445B72BE-2DF8-1841-A138-0CC795B93487}" name="Column15892"/>
    <tableColumn id="15911" xr3:uid="{F1B127C9-8196-F04E-A944-B0D99C28ADFD}" name="Column15893"/>
    <tableColumn id="15912" xr3:uid="{892387F2-5B41-274F-82F7-C090408AA183}" name="Column15894"/>
    <tableColumn id="15913" xr3:uid="{04EE44C4-4BF3-404E-93E3-E3EF122C81AD}" name="Column15895"/>
    <tableColumn id="15914" xr3:uid="{82FAB02E-ED8C-4F42-BDD2-6E4034CF4482}" name="Column15896"/>
    <tableColumn id="15915" xr3:uid="{5AEEB3FA-9ADB-C149-84C7-4D122DCEB772}" name="Column15897"/>
    <tableColumn id="15916" xr3:uid="{CFDEA367-F6A3-CF46-99A5-B7F6A2AE240E}" name="Column15898"/>
    <tableColumn id="15917" xr3:uid="{25160927-0368-3949-8BC2-94D5108A356F}" name="Column15899"/>
    <tableColumn id="15918" xr3:uid="{8F40B528-EEF6-2246-97FB-D1DFFD430932}" name="Column15900"/>
    <tableColumn id="15919" xr3:uid="{56281FEA-85C3-3448-81C4-2B43BEBE3FB7}" name="Column15901"/>
    <tableColumn id="15920" xr3:uid="{444AA040-7AF1-3B40-AD13-517F11E40B57}" name="Column15902"/>
    <tableColumn id="15921" xr3:uid="{D55684D0-199E-CC48-8734-579C4958555D}" name="Column15903"/>
    <tableColumn id="15922" xr3:uid="{6A50EF5B-D434-C947-9EC0-2872A8677BE4}" name="Column15904"/>
    <tableColumn id="15923" xr3:uid="{0424A783-6538-B64A-AED9-4BF62DCE3BE0}" name="Column15905"/>
    <tableColumn id="15924" xr3:uid="{CE30710C-2F49-3445-ACC9-7F62684C7364}" name="Column15906"/>
    <tableColumn id="15925" xr3:uid="{97E7806F-C347-3844-BD74-A5778B5C468E}" name="Column15907"/>
    <tableColumn id="15926" xr3:uid="{E939BD75-CF3B-6944-BF21-EB96E6A6CCA9}" name="Column15908"/>
    <tableColumn id="15927" xr3:uid="{24412C7E-8DE4-144B-804C-90A310178CAB}" name="Column15909"/>
    <tableColumn id="15928" xr3:uid="{687E55BA-68D8-D748-8B23-CCF36FA7C3D9}" name="Column15910"/>
    <tableColumn id="15929" xr3:uid="{343F4858-7F86-034C-8E2E-E10AFCCCBBBC}" name="Column15911"/>
    <tableColumn id="15930" xr3:uid="{B505E6E0-D535-7B40-9422-97C4C5B44468}" name="Column15912"/>
    <tableColumn id="15931" xr3:uid="{938E107C-4157-3F42-9A24-300EACBB1F19}" name="Column15913"/>
    <tableColumn id="15932" xr3:uid="{16F80242-8490-9B47-9714-E364CE8724E9}" name="Column15914"/>
    <tableColumn id="15933" xr3:uid="{8D8CDE6B-C95B-9440-9FE2-88DC4F3F03CB}" name="Column15915"/>
    <tableColumn id="15934" xr3:uid="{4F767D9F-DFD9-9544-98BE-8CB8DFC4D314}" name="Column15916"/>
    <tableColumn id="15935" xr3:uid="{19B6CE5D-F56C-494E-981C-4DFC3572E6DA}" name="Column15917"/>
    <tableColumn id="15936" xr3:uid="{6098B245-3970-5545-81D0-288D22E08BFF}" name="Column15918"/>
    <tableColumn id="15937" xr3:uid="{4F87E295-073F-8244-812A-31E402E63486}" name="Column15919"/>
    <tableColumn id="15938" xr3:uid="{B62B5C5F-4CDF-BB45-8A9E-7BEFAE5D81F1}" name="Column15920"/>
    <tableColumn id="15939" xr3:uid="{3787FEE2-F063-B747-AB51-43E0B314FF9F}" name="Column15921"/>
    <tableColumn id="15940" xr3:uid="{83B26461-CBF0-0948-96E5-1AC47BA58C76}" name="Column15922"/>
    <tableColumn id="15941" xr3:uid="{FE28DF02-6C5A-374B-A18B-2D32108E0E4E}" name="Column15923"/>
    <tableColumn id="15942" xr3:uid="{60263BC4-CD39-764A-8863-917F565D8E99}" name="Column15924"/>
    <tableColumn id="15943" xr3:uid="{2EBA6C4D-9CD2-7844-868E-30EDEE2653E8}" name="Column15925"/>
    <tableColumn id="15944" xr3:uid="{9C83C623-6BFB-7A40-89DC-B6BF1E3E75F7}" name="Column15926"/>
    <tableColumn id="15945" xr3:uid="{1E46B529-4A82-5346-A0BC-1731146EF5D5}" name="Column15927"/>
    <tableColumn id="15946" xr3:uid="{A67B758F-FF4A-C14F-9F81-716450D76A13}" name="Column15928"/>
    <tableColumn id="15947" xr3:uid="{DBEC5AAB-8B91-B046-9B86-B6730D8099E0}" name="Column15929"/>
    <tableColumn id="15948" xr3:uid="{E243C21A-A7C2-4345-8B0A-A13BC1BFF353}" name="Column15930"/>
    <tableColumn id="15949" xr3:uid="{67F1AFB9-E172-C146-B38D-D050F17B2D81}" name="Column15931"/>
    <tableColumn id="15950" xr3:uid="{A53992B6-4D1A-B74B-9C01-9C4C0F9D79CC}" name="Column15932"/>
    <tableColumn id="15951" xr3:uid="{4A8BE2B3-5F2B-9A4B-8EB0-D34D8ADB2BA9}" name="Column15933"/>
    <tableColumn id="15952" xr3:uid="{72532533-6C7F-5D4F-B05D-DE42842AFE41}" name="Column15934"/>
    <tableColumn id="15953" xr3:uid="{BD37574E-045C-9D44-9845-4160EE2352C2}" name="Column15935"/>
    <tableColumn id="15954" xr3:uid="{AD984D65-311A-7149-AB3B-123136A2C000}" name="Column15936"/>
    <tableColumn id="15955" xr3:uid="{D3908715-BA23-B142-A8FE-D9ADF478D7B5}" name="Column15937"/>
    <tableColumn id="15956" xr3:uid="{B2AB6186-CEE3-0E47-A158-EA704846667E}" name="Column15938"/>
    <tableColumn id="15957" xr3:uid="{677FEC62-FFD3-B849-BEBD-6E08221E682D}" name="Column15939"/>
    <tableColumn id="15958" xr3:uid="{9065FA36-0A08-7D46-9097-5DBE0FDBA912}" name="Column15940"/>
    <tableColumn id="15959" xr3:uid="{96461D5D-4C21-E644-A78E-1403919686E6}" name="Column15941"/>
    <tableColumn id="15960" xr3:uid="{F1588390-BADF-9A46-9458-E92D94FB94A4}" name="Column15942"/>
    <tableColumn id="15961" xr3:uid="{DBBC1709-BD2C-9045-8226-F788C6395F42}" name="Column15943"/>
    <tableColumn id="15962" xr3:uid="{32330D76-3835-9F40-98F3-A29C755067B3}" name="Column15944"/>
    <tableColumn id="15963" xr3:uid="{849D4941-A380-724B-9EA6-B58603AFAAD3}" name="Column15945"/>
    <tableColumn id="15964" xr3:uid="{97364D23-2800-354C-AD04-A8FEDA4AABF8}" name="Column15946"/>
    <tableColumn id="15965" xr3:uid="{4A1FC400-24E9-5A4E-8E77-3739DED15599}" name="Column15947"/>
    <tableColumn id="15966" xr3:uid="{EE4C3B27-D757-3C49-851C-3B48FF27CBAB}" name="Column15948"/>
    <tableColumn id="15967" xr3:uid="{06002B03-505D-0644-B649-3D2553568040}" name="Column15949"/>
    <tableColumn id="15968" xr3:uid="{B92447FB-E672-7047-A2E9-1A91C444FB0E}" name="Column15950"/>
    <tableColumn id="15969" xr3:uid="{995DA705-2A15-ED40-9E02-01AC7ABC67BD}" name="Column15951"/>
    <tableColumn id="15970" xr3:uid="{5E4385F9-A5A3-224A-A468-B759915A0F14}" name="Column15952"/>
    <tableColumn id="15971" xr3:uid="{DC612DB1-F6B2-6A4C-8FF4-83294410C89F}" name="Column15953"/>
    <tableColumn id="15972" xr3:uid="{E2670A49-6DFE-E249-AA43-134BA7C4586D}" name="Column15954"/>
    <tableColumn id="15973" xr3:uid="{4AF96EDB-158A-7448-A6DE-4AC078694D0F}" name="Column15955"/>
    <tableColumn id="15974" xr3:uid="{7AC50F90-8CCF-1144-8948-79DFFA77EE18}" name="Column15956"/>
    <tableColumn id="15975" xr3:uid="{941E1F4B-5065-074B-B671-159454FD76CE}" name="Column15957"/>
    <tableColumn id="15976" xr3:uid="{284044C6-337F-0A49-9344-257472C4FA95}" name="Column15958"/>
    <tableColumn id="15977" xr3:uid="{CDFD80ED-17E4-1E4B-9612-2B6226E75C76}" name="Column15959"/>
    <tableColumn id="15978" xr3:uid="{AB9D5777-426A-9B42-9F01-29487DF50409}" name="Column15960"/>
    <tableColumn id="15979" xr3:uid="{C2B136B0-D0B5-E04E-BF62-028A576A6CDF}" name="Column15961"/>
    <tableColumn id="15980" xr3:uid="{5710E70E-F9D9-F541-9D98-8CF2BDC071B2}" name="Column15962"/>
    <tableColumn id="15981" xr3:uid="{26DFCAF5-9999-9549-9C6D-DD5E4B978051}" name="Column15963"/>
    <tableColumn id="15982" xr3:uid="{CF68953B-EC54-C14F-A81A-4A3B9EEF5F43}" name="Column15964"/>
    <tableColumn id="15983" xr3:uid="{C7022423-01E8-424F-A3F8-D54298855D3D}" name="Column15965"/>
    <tableColumn id="15984" xr3:uid="{C2D7A343-E3DC-D948-A620-0082FCD3C373}" name="Column15966"/>
    <tableColumn id="15985" xr3:uid="{DCB5CDFC-113A-0343-949E-F0F93103DEFD}" name="Column15967"/>
    <tableColumn id="15986" xr3:uid="{C2AFAACF-5CE9-6941-A94A-A4DB1E08487E}" name="Column15968"/>
    <tableColumn id="15987" xr3:uid="{9D0A67C1-FEA6-A843-8FA5-E12F090112E3}" name="Column15969"/>
    <tableColumn id="15988" xr3:uid="{F1F5583A-6E81-8840-82CF-B832E1A31C33}" name="Column15970"/>
    <tableColumn id="15989" xr3:uid="{E2450F84-F0CA-F545-80DF-5E87686CB75A}" name="Column15971"/>
    <tableColumn id="15990" xr3:uid="{4FB44DE7-E71E-A349-9105-BD9D91EE4731}" name="Column15972"/>
    <tableColumn id="15991" xr3:uid="{4F95D6C0-0E0E-4E42-857D-2DA1BAE9D322}" name="Column15973"/>
    <tableColumn id="15992" xr3:uid="{E38AADE2-394E-F04B-B57D-1150B316FF8B}" name="Column15974"/>
    <tableColumn id="15993" xr3:uid="{F59B7AFD-4572-E24C-B4CE-37BBC5380190}" name="Column15975"/>
    <tableColumn id="15994" xr3:uid="{3DA00AA5-E013-0C49-AFA6-8CE21858200E}" name="Column15976"/>
    <tableColumn id="15995" xr3:uid="{CD926CA2-2826-7748-8B5C-5E28F3B47668}" name="Column15977"/>
    <tableColumn id="15996" xr3:uid="{27AC342D-A252-7A47-B945-1B81DEEAC86B}" name="Column15978"/>
    <tableColumn id="15997" xr3:uid="{20A1CEB0-72E6-454C-83DB-3C16F33B0FE3}" name="Column15979"/>
    <tableColumn id="15998" xr3:uid="{8D6E58EF-3EA6-8044-BDE4-9DBE2DCF3AA9}" name="Column15980"/>
    <tableColumn id="15999" xr3:uid="{5FBBC3C4-ED7B-3342-98D5-02ACD57E2CE0}" name="Column15981"/>
    <tableColumn id="16000" xr3:uid="{BF04B2E7-2A80-8E4A-8F13-E53131E63E93}" name="Column15982"/>
    <tableColumn id="16001" xr3:uid="{37AD96DA-300C-3B4A-8C5F-7671C9798F92}" name="Column15983"/>
    <tableColumn id="16002" xr3:uid="{6423F990-F0DC-9A4B-9AF5-AFF39ABAFD75}" name="Column15984"/>
    <tableColumn id="16003" xr3:uid="{E4BE45CD-FD71-2F4A-97CD-1ACFFC8B4885}" name="Column15985"/>
    <tableColumn id="16004" xr3:uid="{406D7AAD-AD44-194B-8FDB-5A5244B2745A}" name="Column15986"/>
    <tableColumn id="16005" xr3:uid="{604D9B7E-E714-6943-B7D8-CF9E697FD011}" name="Column15987"/>
    <tableColumn id="16006" xr3:uid="{F8E9C8AA-81DC-B645-BDCD-FC934B8A157E}" name="Column15988"/>
    <tableColumn id="16007" xr3:uid="{F30C46AE-E4B6-4542-84FF-D896F015E52D}" name="Column15989"/>
    <tableColumn id="16008" xr3:uid="{EDD5A365-19B1-614B-864B-6D0BD65BF929}" name="Column15990"/>
    <tableColumn id="16009" xr3:uid="{4723BB8F-420F-D149-BB6B-2269966DB2D3}" name="Column15991"/>
    <tableColumn id="16010" xr3:uid="{EC08D016-102C-E342-8929-D7D518F0B2F7}" name="Column15992"/>
    <tableColumn id="16011" xr3:uid="{34EB0009-1A94-0C43-BBD1-2F027EC48860}" name="Column15993"/>
    <tableColumn id="16012" xr3:uid="{58F19DC3-F9AE-0B46-9D61-662D838D7810}" name="Column15994"/>
    <tableColumn id="16013" xr3:uid="{F5091E06-D72E-5949-B88A-A7BA4A91A3F2}" name="Column15995"/>
    <tableColumn id="16014" xr3:uid="{A8488B74-D0BA-B743-A1AC-96CD481ECCDA}" name="Column15996"/>
    <tableColumn id="16015" xr3:uid="{7E0A4200-2F49-1441-B04C-30283DC5AC54}" name="Column15997"/>
    <tableColumn id="16016" xr3:uid="{736150C0-89A1-424C-80AF-68F4C18F13AA}" name="Column15998"/>
    <tableColumn id="16017" xr3:uid="{A065C33B-8283-0742-9451-D75C647B245F}" name="Column15999"/>
    <tableColumn id="16018" xr3:uid="{ECABE401-27CD-A847-93ED-8EC213C40305}" name="Column16000"/>
    <tableColumn id="16019" xr3:uid="{70B03E56-6A90-4748-8907-8608A002E6EE}" name="Column16001"/>
    <tableColumn id="16020" xr3:uid="{8A936E18-BBFE-5A49-A68B-ECA3297A5531}" name="Column16002"/>
    <tableColumn id="16021" xr3:uid="{AC70807A-E26E-E64F-9205-95783D0135AE}" name="Column16003"/>
    <tableColumn id="16022" xr3:uid="{7610307D-407E-6A4E-9EE3-90A5E931F31C}" name="Column16004"/>
    <tableColumn id="16023" xr3:uid="{569284A8-2DBC-3D42-B337-A6B5CAF508FE}" name="Column16005"/>
    <tableColumn id="16024" xr3:uid="{50E744D2-CB7D-C043-9302-3EEC9C2B9D6E}" name="Column16006"/>
    <tableColumn id="16025" xr3:uid="{E76D773A-307F-964C-8281-8081DFE66F68}" name="Column16007"/>
    <tableColumn id="16026" xr3:uid="{9410426C-296A-2749-8000-4C10E2B49B50}" name="Column16008"/>
    <tableColumn id="16027" xr3:uid="{6EBFDBD1-8961-764B-8293-E0A51471DC1E}" name="Column16009"/>
    <tableColumn id="16028" xr3:uid="{EDD3F07C-8274-984D-A69C-B4FA78643933}" name="Column16010"/>
    <tableColumn id="16029" xr3:uid="{8C904E7D-555F-0F46-8F67-697E653DAC50}" name="Column16011"/>
    <tableColumn id="16030" xr3:uid="{4C4F9F8B-CA84-A940-9CBA-C5B991E38880}" name="Column16012"/>
    <tableColumn id="16031" xr3:uid="{8AC07022-FC26-3640-AB50-171F53B68958}" name="Column16013"/>
    <tableColumn id="16032" xr3:uid="{D97B1289-6D00-4F42-89ED-BAB1E54468CE}" name="Column16014"/>
    <tableColumn id="16033" xr3:uid="{46774AA6-3F39-AF4B-8B3F-527FA1DCAB14}" name="Column16015"/>
    <tableColumn id="16034" xr3:uid="{1A3DE83F-AAD6-D543-AE84-3BAF3407CC4A}" name="Column16016"/>
    <tableColumn id="16035" xr3:uid="{304D2875-9ED6-194C-877B-A0C85FD1706E}" name="Column16017"/>
    <tableColumn id="16036" xr3:uid="{F2180BD0-C5C1-3C4B-9F61-EFC13C52C283}" name="Column16018"/>
    <tableColumn id="16037" xr3:uid="{474F915E-4AD2-5E43-8119-AC2EDA450D4F}" name="Column16019"/>
    <tableColumn id="16038" xr3:uid="{F9BCA272-17CC-A54B-B89D-6F26D0CA190C}" name="Column16020"/>
    <tableColumn id="16039" xr3:uid="{67ACC86E-A47A-1948-9339-5E959553659D}" name="Column16021"/>
    <tableColumn id="16040" xr3:uid="{6272CE17-443D-4340-84EC-57D6EE10B8FA}" name="Column16022"/>
    <tableColumn id="16041" xr3:uid="{50D83971-F5B1-3745-BFC3-416403D1D0E5}" name="Column16023"/>
    <tableColumn id="16042" xr3:uid="{05B7C468-F412-1343-ABB4-97EDE7C7487D}" name="Column16024"/>
    <tableColumn id="16043" xr3:uid="{E8129680-6C30-B043-B2C2-86F176E96D57}" name="Column16025"/>
    <tableColumn id="16044" xr3:uid="{759DF9C2-D614-B646-8EB2-CF2A33420E25}" name="Column16026"/>
    <tableColumn id="16045" xr3:uid="{8377E688-BC55-CA4B-ADEB-0FA76454A451}" name="Column16027"/>
    <tableColumn id="16046" xr3:uid="{D1E220E0-9FC2-2E40-8121-9151EB936548}" name="Column16028"/>
    <tableColumn id="16047" xr3:uid="{5842FF2A-EC34-B642-BC3F-0A42362577E6}" name="Column16029"/>
    <tableColumn id="16048" xr3:uid="{903E6F98-59B2-B94F-9782-9175AE36AAEF}" name="Column16030"/>
    <tableColumn id="16049" xr3:uid="{56A762C8-92A7-5C49-B238-3EBE58EBC029}" name="Column16031"/>
    <tableColumn id="16050" xr3:uid="{259ACB35-33AB-EF47-AA29-4ECDDE091712}" name="Column16032"/>
    <tableColumn id="16051" xr3:uid="{64114006-77ED-2041-A02C-594FE764F0D5}" name="Column16033"/>
    <tableColumn id="16052" xr3:uid="{2D780C77-3BBF-3048-9B01-B2DA569AD3E2}" name="Column16034"/>
    <tableColumn id="16053" xr3:uid="{29DAF8FB-5D36-0640-88DB-F65E6C6AACF5}" name="Column16035"/>
    <tableColumn id="16054" xr3:uid="{93A2FAEA-F197-AF45-A8CF-2F3252D312FA}" name="Column16036"/>
    <tableColumn id="16055" xr3:uid="{905E6871-5409-2C45-9887-D27D0B3CAF03}" name="Column16037"/>
    <tableColumn id="16056" xr3:uid="{270B864B-5FE2-FA4E-B797-755962A4C33C}" name="Column16038"/>
    <tableColumn id="16057" xr3:uid="{03ED7E5E-D2D3-574C-8F50-5C7DF4037CA5}" name="Column16039"/>
    <tableColumn id="16058" xr3:uid="{52606E31-CD83-7541-A3EA-21365C023421}" name="Column16040"/>
    <tableColumn id="16059" xr3:uid="{B49DF8CC-8127-0247-B0B1-EA947320CAD2}" name="Column16041"/>
    <tableColumn id="16060" xr3:uid="{4FD27639-810A-1642-8EAC-ECE0BD7C1098}" name="Column16042"/>
    <tableColumn id="16061" xr3:uid="{948FE518-23C8-FE4F-88F5-7565C76C496A}" name="Column16043"/>
    <tableColumn id="16062" xr3:uid="{65381A12-2062-084B-94EF-F8D9271CA8E0}" name="Column16044"/>
    <tableColumn id="16063" xr3:uid="{B4E3D633-9D02-D540-A62F-7327EBC74BF9}" name="Column16045"/>
    <tableColumn id="16064" xr3:uid="{5F595726-A9D4-F941-8649-90DB1A0F7030}" name="Column16046"/>
    <tableColumn id="16065" xr3:uid="{AF4B9ED5-29CC-0443-8610-06A5AA799988}" name="Column16047"/>
    <tableColumn id="16066" xr3:uid="{7B97C259-6014-774C-B915-3E56AA6E7C06}" name="Column16048"/>
    <tableColumn id="16067" xr3:uid="{71B04577-5ECB-B04E-811B-39E9D57BE109}" name="Column16049"/>
    <tableColumn id="16068" xr3:uid="{C9322973-7866-AF41-9578-E78A1E624C83}" name="Column16050"/>
    <tableColumn id="16069" xr3:uid="{6E6FF72D-4829-8E45-8DEA-74664F98B2B6}" name="Column16051"/>
    <tableColumn id="16070" xr3:uid="{F6F85936-BA56-5048-A7D2-ACBE7C1D27D4}" name="Column16052"/>
    <tableColumn id="16071" xr3:uid="{EFD15570-A1FC-EE41-8E4B-59021E4A78DE}" name="Column16053"/>
    <tableColumn id="16072" xr3:uid="{A3714F04-8FC7-1E4D-B2D5-5D40C2394B93}" name="Column16054"/>
    <tableColumn id="16073" xr3:uid="{61B2308A-C857-D64F-BE85-0970DDFCFCBE}" name="Column16055"/>
    <tableColumn id="16074" xr3:uid="{60529E06-86C2-3844-A566-8B3609C808B6}" name="Column16056"/>
    <tableColumn id="16075" xr3:uid="{BDFF8BE4-A0F6-1641-9272-D10BC73EAF8B}" name="Column16057"/>
    <tableColumn id="16076" xr3:uid="{9E63D531-570A-9A4E-8763-CD73F77B2CBE}" name="Column16058"/>
    <tableColumn id="16077" xr3:uid="{6DF22B29-0F62-2442-8E79-0B9CBCA300E8}" name="Column16059"/>
    <tableColumn id="16078" xr3:uid="{04E3C637-56C0-6142-8C2B-58B20B52446A}" name="Column16060"/>
    <tableColumn id="16079" xr3:uid="{8670EAEB-CF55-1C4D-93F5-E79653C31FB0}" name="Column16061"/>
    <tableColumn id="16080" xr3:uid="{82D964CB-69FA-F14C-B015-8257D9869572}" name="Column16062"/>
    <tableColumn id="16081" xr3:uid="{CC3FB8A9-F4FE-A44A-AE49-5423AE5A258E}" name="Column16063"/>
    <tableColumn id="16082" xr3:uid="{8E056893-6E10-5542-97C5-33AEDF972516}" name="Column16064"/>
    <tableColumn id="16083" xr3:uid="{7A45F87A-35AF-454D-8586-BD7623A696E4}" name="Column16065"/>
    <tableColumn id="16084" xr3:uid="{D61A3A93-7A15-B342-BC7A-2CCC64713C8E}" name="Column16066"/>
    <tableColumn id="16085" xr3:uid="{118B9D71-301C-7B44-9A38-3924E5432C6C}" name="Column16067"/>
    <tableColumn id="16086" xr3:uid="{A6B89C01-1A21-4C4E-B41B-D96CDDFAD11D}" name="Column16068"/>
    <tableColumn id="16087" xr3:uid="{BBB0B4F3-1E76-1B44-A646-E8639B3441F3}" name="Column16069"/>
    <tableColumn id="16088" xr3:uid="{B5EB1F3B-FFFD-0A4C-A145-0211532D916D}" name="Column16070"/>
    <tableColumn id="16089" xr3:uid="{E8F19F19-DBA8-8F4C-B4B1-EC0D1B8A65AE}" name="Column16071"/>
    <tableColumn id="16090" xr3:uid="{24FF0DEB-1A4C-7949-A3C5-2061A12E3A54}" name="Column16072"/>
    <tableColumn id="16091" xr3:uid="{68207EE4-9BE8-F944-B82D-B554C7B19E77}" name="Column16073"/>
    <tableColumn id="16092" xr3:uid="{5D692340-3128-3248-ACD8-2851BEF7CCBE}" name="Column16074"/>
    <tableColumn id="16093" xr3:uid="{771F318C-4BD7-EC4B-875D-FF0C8ED1ED51}" name="Column16075"/>
    <tableColumn id="16094" xr3:uid="{DED68158-44DA-8344-80C4-BB13EF47AF50}" name="Column16076"/>
    <tableColumn id="16095" xr3:uid="{F598891D-8780-6D4C-B8E0-4DDD946061EF}" name="Column16077"/>
    <tableColumn id="16096" xr3:uid="{DA23B9CB-2397-3343-8D6B-5AB0EB15D5E5}" name="Column16078"/>
    <tableColumn id="16097" xr3:uid="{356B8B98-936F-F34F-95D8-0C53F46D1F26}" name="Column16079"/>
    <tableColumn id="16098" xr3:uid="{64B15655-EEF8-FE49-9C69-D3EB285A5703}" name="Column16080"/>
    <tableColumn id="16099" xr3:uid="{83E61510-A597-4D49-8939-5170E91B0158}" name="Column16081"/>
    <tableColumn id="16100" xr3:uid="{A2BF75F9-8FE2-5649-9A73-788FFA420B93}" name="Column16082"/>
    <tableColumn id="16101" xr3:uid="{E0803C9B-ED42-2C49-9184-2DA3432F812B}" name="Column16083"/>
    <tableColumn id="16102" xr3:uid="{893CDE42-2CF0-1643-9B40-D5F90AFFFA69}" name="Column16084"/>
    <tableColumn id="16103" xr3:uid="{B33BE7B7-F727-C146-98CE-C50BBB47A980}" name="Column16085"/>
    <tableColumn id="16104" xr3:uid="{CEEC1568-E4BE-C248-BE23-B24B45E8F5FE}" name="Column16086"/>
    <tableColumn id="16105" xr3:uid="{53E8560F-99C2-2E45-A7FB-2231F4EE0756}" name="Column16087"/>
    <tableColumn id="16106" xr3:uid="{0B70046F-B94F-D548-957C-5414319652AD}" name="Column16088"/>
    <tableColumn id="16107" xr3:uid="{C4B024E5-767F-7945-B180-1B33F49712C7}" name="Column16089"/>
    <tableColumn id="16108" xr3:uid="{99BF90D5-DA4F-9145-BBF6-6E122FDB4ED8}" name="Column16090"/>
    <tableColumn id="16109" xr3:uid="{0F55BAB4-FCEB-3644-9AAB-8291EEAF7DF1}" name="Column16091"/>
    <tableColumn id="16110" xr3:uid="{A289A5CF-ACD3-9B49-B267-FC580EBE87AD}" name="Column16092"/>
    <tableColumn id="16111" xr3:uid="{37BB9EE6-FC85-B54C-AF6A-A90F38D3D535}" name="Column16093"/>
    <tableColumn id="16112" xr3:uid="{277C7910-370B-A94E-8F01-0E324F940CE0}" name="Column16094"/>
    <tableColumn id="16113" xr3:uid="{F9F9EF09-2543-CD4B-94C6-D28500259F37}" name="Column16095"/>
    <tableColumn id="16114" xr3:uid="{8D5E78EC-6387-EB4E-BC72-8C96CC843265}" name="Column16096"/>
    <tableColumn id="16115" xr3:uid="{F4F429FC-9EC2-9A44-9363-1C358173C218}" name="Column16097"/>
    <tableColumn id="16116" xr3:uid="{2876E318-97BA-F948-85DB-DA9D2DC717ED}" name="Column16098"/>
    <tableColumn id="16117" xr3:uid="{E51B787F-A79E-E34D-9563-8E9F1CFB4CBC}" name="Column16099"/>
    <tableColumn id="16118" xr3:uid="{EE5D5CE2-5D23-9E44-9059-57BAD9F95DEE}" name="Column16100"/>
    <tableColumn id="16119" xr3:uid="{6692B04C-EB09-0D47-A575-599D26C21A93}" name="Column16101"/>
    <tableColumn id="16120" xr3:uid="{17C9D50F-4678-714A-B61B-8FBBC05854A3}" name="Column16102"/>
    <tableColumn id="16121" xr3:uid="{1910429C-BE08-5442-BD28-0C8613851EA9}" name="Column16103"/>
    <tableColumn id="16122" xr3:uid="{5299B4E9-665A-B149-9D77-01355291295D}" name="Column16104"/>
    <tableColumn id="16123" xr3:uid="{A9ACBC9B-8457-134A-8DB6-9199E4365C3A}" name="Column16105"/>
    <tableColumn id="16124" xr3:uid="{39C01745-71DE-4B41-8EE2-A5A189955445}" name="Column16106"/>
    <tableColumn id="16125" xr3:uid="{D85A3069-E4FC-8F43-A756-D8D3D3D4DF61}" name="Column16107"/>
    <tableColumn id="16126" xr3:uid="{B37C71DF-793A-2940-9DE7-0A5FD8FE67E0}" name="Column16108"/>
    <tableColumn id="16127" xr3:uid="{04C636C7-5EA8-6D40-A63D-E11F25525715}" name="Column16109"/>
    <tableColumn id="16128" xr3:uid="{567F4BC8-4F6A-1245-87C9-05E4D2254978}" name="Column16110"/>
    <tableColumn id="16129" xr3:uid="{68A0F28D-A646-D741-9341-0B796413D05E}" name="Column16111"/>
    <tableColumn id="16130" xr3:uid="{208160DA-2B53-A345-8246-B11EEDA592CC}" name="Column16112"/>
    <tableColumn id="16131" xr3:uid="{28DF5259-B214-6548-81E5-E91B0D42C4F9}" name="Column16113"/>
    <tableColumn id="16132" xr3:uid="{0119DB35-C192-8049-9509-BD2DC44E0CB2}" name="Column16114"/>
    <tableColumn id="16133" xr3:uid="{08B6BDC7-3BD8-1046-BB12-5FEFB30E735C}" name="Column16115"/>
    <tableColumn id="16134" xr3:uid="{924DDABF-FAFC-FA4E-BDA2-2FAD494BD454}" name="Column16116"/>
    <tableColumn id="16135" xr3:uid="{E7B79638-325D-4444-998A-92F409AFAD4A}" name="Column16117"/>
    <tableColumn id="16136" xr3:uid="{8BF8CFF7-FCAB-FA41-A3B0-4E9DE6E7A686}" name="Column16118"/>
    <tableColumn id="16137" xr3:uid="{1AD03DEA-4937-BE4E-B38D-DF528C94672E}" name="Column16119"/>
    <tableColumn id="16138" xr3:uid="{80287043-4AC9-764F-A463-50FC4DB89B74}" name="Column16120"/>
    <tableColumn id="16139" xr3:uid="{BF89D21D-9575-8E4B-9B4F-04183A30258E}" name="Column16121"/>
    <tableColumn id="16140" xr3:uid="{536ED0D4-D950-D847-9E2A-64CC131BCA61}" name="Column16122"/>
    <tableColumn id="16141" xr3:uid="{334DCE9A-9728-AA40-AC93-63878F0C6F0E}" name="Column16123"/>
    <tableColumn id="16142" xr3:uid="{00A6076A-F345-8643-A400-B49DB0C503E3}" name="Column16124"/>
    <tableColumn id="16143" xr3:uid="{F1769BD9-AAAB-DD4B-97AF-5A36CA1E4ED2}" name="Column16125"/>
    <tableColumn id="16144" xr3:uid="{DECDC87F-D0A0-6046-A5B0-04D2B5FA0296}" name="Column16126"/>
    <tableColumn id="16145" xr3:uid="{5B4E5972-0952-0744-A1CA-DFCC2A8B5B2B}" name="Column16127"/>
    <tableColumn id="16146" xr3:uid="{8D174780-A7E1-F741-A37F-ABFDB89E7E81}" name="Column16128"/>
    <tableColumn id="16147" xr3:uid="{08E2E034-4FB4-6E44-AD67-409F4EDC4F38}" name="Column16129"/>
    <tableColumn id="16148" xr3:uid="{3229B5E2-04D3-7A4C-AB56-29752A12446F}" name="Column16130"/>
    <tableColumn id="16149" xr3:uid="{8DBE60A0-AB1A-FF42-A729-433B2EE804A5}" name="Column16131"/>
    <tableColumn id="16150" xr3:uid="{518FB9B0-1BCD-E440-9C5C-8299410DFB57}" name="Column16132"/>
    <tableColumn id="16151" xr3:uid="{4841CA2B-0DF5-014C-9643-44DB3131B52D}" name="Column16133"/>
    <tableColumn id="16152" xr3:uid="{6C5527D9-319F-0147-991C-418B7060ECE7}" name="Column16134"/>
    <tableColumn id="16153" xr3:uid="{B83AD7A5-05F0-A844-92D6-BB0397FA2943}" name="Column16135"/>
    <tableColumn id="16154" xr3:uid="{31EBADCB-88C5-5141-9868-74C353A2272D}" name="Column16136"/>
    <tableColumn id="16155" xr3:uid="{13CA4834-6149-B746-A947-71E591A417E1}" name="Column16137"/>
    <tableColumn id="16156" xr3:uid="{95732BB7-D6B6-9840-8BD8-B7E3B44BBA0C}" name="Column16138"/>
    <tableColumn id="16157" xr3:uid="{6E28E2E2-E248-844E-8B31-59060A830F26}" name="Column16139"/>
    <tableColumn id="16158" xr3:uid="{56727E4E-61F9-EC4D-B9D5-84F16A22E687}" name="Column16140"/>
    <tableColumn id="16159" xr3:uid="{49E9D1D8-613E-424C-9230-9AFA0E3A3EA0}" name="Column16141"/>
    <tableColumn id="16160" xr3:uid="{4C9008BD-5908-5D4D-B075-ED272B70AD0B}" name="Column16142"/>
    <tableColumn id="16161" xr3:uid="{119B38A6-DD89-2E48-ACA6-4FFDF74B64A1}" name="Column16143"/>
    <tableColumn id="16162" xr3:uid="{E2505E5E-2DF7-9846-89D5-FB99BB2A7F16}" name="Column16144"/>
    <tableColumn id="16163" xr3:uid="{EDA8A5CE-21F0-0E4E-A5D2-E208864C6388}" name="Column16145"/>
    <tableColumn id="16164" xr3:uid="{B868EDAE-EB22-CA45-85BF-7E30DB450291}" name="Column16146"/>
    <tableColumn id="16165" xr3:uid="{80C9E26C-1E49-1D41-A936-DE0446D843E5}" name="Column16147"/>
    <tableColumn id="16166" xr3:uid="{26612F92-D6D4-5D4F-B066-6DCCFC863F88}" name="Column16148"/>
    <tableColumn id="16167" xr3:uid="{93313C27-FAD3-8E4A-9541-51B8D56367FB}" name="Column16149"/>
    <tableColumn id="16168" xr3:uid="{BECBEB74-2042-4044-9E7C-56E95AAF9D1A}" name="Column16150"/>
    <tableColumn id="16169" xr3:uid="{E9BDBC4C-D7F9-804B-913D-2C8750F2AD83}" name="Column16151"/>
    <tableColumn id="16170" xr3:uid="{AB467E2E-87C9-5943-9C3A-DB137319CC3F}" name="Column16152"/>
    <tableColumn id="16171" xr3:uid="{0F918B7B-6BE6-8B48-BDA4-CF486F542185}" name="Column16153"/>
    <tableColumn id="16172" xr3:uid="{467602BD-DF0E-694C-A81B-F8FDB6321DEB}" name="Column16154"/>
    <tableColumn id="16173" xr3:uid="{666DA4B0-C924-CF41-8BDE-16B81E5B9C15}" name="Column16155"/>
    <tableColumn id="16174" xr3:uid="{52569F5C-A0DE-EC43-9155-C3EB758D8C26}" name="Column16156"/>
    <tableColumn id="16175" xr3:uid="{E48B444C-B1B0-6945-9681-BC862D685153}" name="Column16157"/>
    <tableColumn id="16176" xr3:uid="{3B43ECC9-23C9-7545-80CD-7157456F9900}" name="Column16158"/>
    <tableColumn id="16177" xr3:uid="{A09A369D-E328-E346-AF09-CF030FBA36E6}" name="Column16159"/>
    <tableColumn id="16178" xr3:uid="{1539C9C6-D177-664D-9E9D-F577DEF4B5F7}" name="Column16160"/>
    <tableColumn id="16179" xr3:uid="{68D16C65-E40B-A542-888C-D87AAC143A9C}" name="Column16161"/>
    <tableColumn id="16180" xr3:uid="{7EE18C48-5161-FA46-BA6B-899A58BD45DF}" name="Column16162"/>
    <tableColumn id="16181" xr3:uid="{6232A503-EF8E-1D43-BB8C-E5B0D4310335}" name="Column16163"/>
    <tableColumn id="16182" xr3:uid="{87B2E889-F904-FA40-B1C4-7DB0A8B1349F}" name="Column16164"/>
    <tableColumn id="16183" xr3:uid="{E09D0E30-280C-324F-A4CA-F7F67005588C}" name="Column16165"/>
    <tableColumn id="16184" xr3:uid="{40DE1362-36B4-4742-B25B-722B7566EA4F}" name="Column16166"/>
    <tableColumn id="16185" xr3:uid="{3C40F854-7B54-9F45-B5B4-4BB146F94961}" name="Column16167"/>
    <tableColumn id="16186" xr3:uid="{E6A975C6-58EC-D74D-A847-0F726C8A9758}" name="Column16168"/>
    <tableColumn id="16187" xr3:uid="{74B3FFED-83E1-D543-AFBB-6EDFB312A76B}" name="Column16169"/>
    <tableColumn id="16188" xr3:uid="{EEC65E6B-7DF0-2845-990A-0D91168B26B5}" name="Column16170"/>
    <tableColumn id="16189" xr3:uid="{9567F970-BE6F-7542-9F85-0102FBD04995}" name="Column16171"/>
    <tableColumn id="16190" xr3:uid="{4BAC9B25-F1A5-D340-9041-B4A854AFC8CC}" name="Column16172"/>
    <tableColumn id="16191" xr3:uid="{697BEED1-2FFD-4544-A015-B56EA86E941E}" name="Column16173"/>
    <tableColumn id="16192" xr3:uid="{6F69EAFF-E5B4-9C4B-A1C8-A521F637FC14}" name="Column16174"/>
    <tableColumn id="16193" xr3:uid="{A4A64285-DDBB-0642-B2A2-01CA6FBD416A}" name="Column16175"/>
    <tableColumn id="16194" xr3:uid="{D77EECAF-C549-5C43-9C58-637805E3EF6F}" name="Column16176"/>
    <tableColumn id="16195" xr3:uid="{512EFC22-330F-CA4E-82A3-BE2D34433207}" name="Column16177"/>
    <tableColumn id="16196" xr3:uid="{3CCFA62B-CB10-BC4B-A373-179CE97E91EF}" name="Column16178"/>
    <tableColumn id="16197" xr3:uid="{BC165EB8-3691-8344-95AD-9DC27C8C7B70}" name="Column16179"/>
    <tableColumn id="16198" xr3:uid="{1B98A5F0-0164-B747-A486-928AC291D0AD}" name="Column16180"/>
    <tableColumn id="16199" xr3:uid="{D9061C31-3267-FB4E-AEBC-4C959F010F40}" name="Column16181"/>
    <tableColumn id="16200" xr3:uid="{4176679A-CE32-7B44-ADFF-8C2EDA71709A}" name="Column16182"/>
    <tableColumn id="16201" xr3:uid="{7645C873-B7B4-1348-8B8E-64F3739BCF02}" name="Column16183"/>
    <tableColumn id="16202" xr3:uid="{B2DB6385-13FD-A742-86C4-111085A5F415}" name="Column16184"/>
    <tableColumn id="16203" xr3:uid="{A1B78335-0AA5-6F45-B131-56CF7AD71E18}" name="Column16185"/>
    <tableColumn id="16204" xr3:uid="{A63CA371-3569-4B40-BEE2-6555FCEFE832}" name="Column16186"/>
    <tableColumn id="16205" xr3:uid="{200F21B0-347B-584D-AB6D-4B759D567F4B}" name="Column16187"/>
    <tableColumn id="16206" xr3:uid="{29490A87-4B8E-3046-9AEC-3831BA54487C}" name="Column16188"/>
    <tableColumn id="16207" xr3:uid="{2C6056D9-008D-C64C-A3AA-2A4BC21ED3E2}" name="Column16189"/>
    <tableColumn id="16208" xr3:uid="{E08497DD-2809-1248-9903-4ED31F5D87B2}" name="Column16190"/>
    <tableColumn id="16209" xr3:uid="{2A937072-367B-584B-A92B-247582E0A6F4}" name="Column16191"/>
    <tableColumn id="16210" xr3:uid="{85E61C36-3247-7D41-953E-AEB76D22221D}" name="Column16192"/>
    <tableColumn id="16211" xr3:uid="{E390B089-F846-F24B-A4E7-968CE4EC5498}" name="Column16193"/>
    <tableColumn id="16212" xr3:uid="{917F53D1-9336-E14D-B8BF-1B03577FD6C3}" name="Column16194"/>
    <tableColumn id="16213" xr3:uid="{ACB10C36-F7D2-4046-9A76-00DB1F6633A5}" name="Column16195"/>
    <tableColumn id="16214" xr3:uid="{09D09954-B361-D940-B5AF-CA1F78F3CF96}" name="Column16196"/>
    <tableColumn id="16215" xr3:uid="{2D1BF6F1-4E6A-BE4F-BFC1-1B40ECB021BD}" name="Column16197"/>
    <tableColumn id="16216" xr3:uid="{D4DB6386-EB97-4F4A-99ED-D87CED72A385}" name="Column16198"/>
    <tableColumn id="16217" xr3:uid="{BBF934D1-EECB-AC43-A772-D6B4D928C057}" name="Column16199"/>
    <tableColumn id="16218" xr3:uid="{452613BC-8DCE-B646-B8AC-CCEA17BB9822}" name="Column16200"/>
    <tableColumn id="16219" xr3:uid="{2D502723-FFA7-CF4F-8464-F62CE0C597F7}" name="Column16201"/>
    <tableColumn id="16220" xr3:uid="{2289DD62-7902-154E-9138-D9AC9326E0EE}" name="Column16202"/>
    <tableColumn id="16221" xr3:uid="{0949C8D5-A55C-3149-AEBC-B1113A8DDBD8}" name="Column16203"/>
    <tableColumn id="16222" xr3:uid="{C49BFFEB-7B27-E14F-9609-26F779DD0539}" name="Column16204"/>
    <tableColumn id="16223" xr3:uid="{58B5CE24-D53F-9D4F-AD88-D2AFFEF55C2F}" name="Column16205"/>
    <tableColumn id="16224" xr3:uid="{F80D7BEC-926B-084D-814D-D7B7FA09C1A4}" name="Column16206"/>
    <tableColumn id="16225" xr3:uid="{C4522DB5-835B-C240-A006-A936EC6D7527}" name="Column16207"/>
    <tableColumn id="16226" xr3:uid="{66903664-79DC-5C47-B89E-0402ED646878}" name="Column16208"/>
    <tableColumn id="16227" xr3:uid="{6D5D65AC-5402-8949-A2C3-EEF08772ADEF}" name="Column16209"/>
    <tableColumn id="16228" xr3:uid="{CDDFA128-4E64-DB42-8368-D0449364CCD9}" name="Column16210"/>
    <tableColumn id="16229" xr3:uid="{0EA540C8-5641-E54E-A219-622C4120797C}" name="Column16211"/>
    <tableColumn id="16230" xr3:uid="{478D7305-6E6F-224E-99C5-E0BF2109C381}" name="Column16212"/>
    <tableColumn id="16231" xr3:uid="{EA03E28C-9E55-764E-ACF7-DD73632BE56F}" name="Column16213"/>
    <tableColumn id="16232" xr3:uid="{6E2407D8-A6A2-9849-B847-3ECA6366ADB4}" name="Column16214"/>
    <tableColumn id="16233" xr3:uid="{B6D0D028-B101-6A4E-9293-C9E32BDA1CD0}" name="Column16215"/>
    <tableColumn id="16234" xr3:uid="{E91AC7C6-9E74-3E48-B1C9-0D13F3A7C9C4}" name="Column16216"/>
    <tableColumn id="16235" xr3:uid="{B336537D-9B55-2943-AD0C-8C9C7B28F4DA}" name="Column16217"/>
    <tableColumn id="16236" xr3:uid="{8DF7351F-18DE-6048-88D2-38530D5AC15A}" name="Column16218"/>
    <tableColumn id="16237" xr3:uid="{203AE236-D4AB-B84D-9CEE-EDAB6D4153BB}" name="Column16219"/>
    <tableColumn id="16238" xr3:uid="{12401FCF-6722-4748-A3FB-6B3C2205CFAC}" name="Column16220"/>
    <tableColumn id="16239" xr3:uid="{D2325801-3E9B-8E48-A74E-2C85460180AE}" name="Column16221"/>
    <tableColumn id="16240" xr3:uid="{79AAD3C2-630A-5D47-845F-05FDCBE11DA5}" name="Column16222"/>
    <tableColumn id="16241" xr3:uid="{CDB80D34-E5CB-D648-80F2-1B227B2BF04D}" name="Column16223"/>
    <tableColumn id="16242" xr3:uid="{CF57C6AB-7A91-C248-9DCF-C182E15480E4}" name="Column16224"/>
    <tableColumn id="16243" xr3:uid="{258EAB50-1842-AD4C-AA3B-58238F0600A1}" name="Column16225"/>
    <tableColumn id="16244" xr3:uid="{0719E0A0-1D42-A046-B9A4-4B0449E3DDB7}" name="Column16226"/>
    <tableColumn id="16245" xr3:uid="{54193B8F-AA92-004B-8061-C650FB4DC237}" name="Column16227"/>
    <tableColumn id="16246" xr3:uid="{3477BB88-A20D-0E4D-B36A-F97F959099C1}" name="Column16228"/>
    <tableColumn id="16247" xr3:uid="{87D43AF6-CCCC-F645-B6A2-8B2C651600DA}" name="Column16229"/>
    <tableColumn id="16248" xr3:uid="{8722AD55-D45A-BE45-AAB0-831F979DAD90}" name="Column16230"/>
    <tableColumn id="16249" xr3:uid="{7DAB9D77-ED21-1B4E-B76F-B45EABD139B2}" name="Column16231"/>
    <tableColumn id="16250" xr3:uid="{8E35977E-3F9B-D347-B637-57A7419D3C37}" name="Column16232"/>
    <tableColumn id="16251" xr3:uid="{1197CB3D-1167-CA46-8D2F-DA40060A0DC1}" name="Column16233"/>
    <tableColumn id="16252" xr3:uid="{DF214E49-2979-ED4A-BDAA-67E8C48E8933}" name="Column16234"/>
    <tableColumn id="16253" xr3:uid="{5616D812-97C0-9845-A823-F60FB8B6D970}" name="Column16235"/>
    <tableColumn id="16254" xr3:uid="{D83818A3-964E-8A4B-A8BB-395CD8C021D8}" name="Column16236"/>
    <tableColumn id="16255" xr3:uid="{539F516D-9F4E-E744-B228-F27065DDCBA2}" name="Column16237"/>
    <tableColumn id="16256" xr3:uid="{CF0A5898-AA39-C24E-A477-B4B818147F70}" name="Column16238"/>
    <tableColumn id="16257" xr3:uid="{3F456DBD-B03B-3543-98AE-9396CB03134B}" name="Column16239"/>
    <tableColumn id="16258" xr3:uid="{C7D36067-9C66-494A-B452-938BC8B11EC8}" name="Column16240"/>
    <tableColumn id="16259" xr3:uid="{D6075FF9-72AF-5E40-A4B5-3A76BFD32C6D}" name="Column16241"/>
    <tableColumn id="16260" xr3:uid="{5A8034A5-34D7-F243-8A4C-4E483F85A432}" name="Column16242"/>
    <tableColumn id="16261" xr3:uid="{4ACFBFBC-0202-204E-AF19-04F0E8D581F8}" name="Column16243"/>
    <tableColumn id="16262" xr3:uid="{ECC2260D-58D2-EC48-A50F-712C8B22CCF5}" name="Column16244"/>
    <tableColumn id="16263" xr3:uid="{A02014E4-6A07-304A-BEFD-3D632E4B9A57}" name="Column16245"/>
    <tableColumn id="16264" xr3:uid="{AB565CEC-B319-1E4E-850E-4EA8E8710A23}" name="Column16246"/>
    <tableColumn id="16265" xr3:uid="{747991DD-0483-2A42-A8ED-5353AFE52BF1}" name="Column16247"/>
    <tableColumn id="16266" xr3:uid="{07311615-1CFA-C54E-85A6-BE073E916515}" name="Column16248"/>
    <tableColumn id="16267" xr3:uid="{647C9CC9-2118-5840-BBF5-BBA6980E9CCA}" name="Column16249"/>
    <tableColumn id="16268" xr3:uid="{2E25F347-E135-F44B-B5F3-B12500EA7AA5}" name="Column16250"/>
    <tableColumn id="16269" xr3:uid="{051D63B4-6A12-AA4F-84FB-949DC1912390}" name="Column16251"/>
    <tableColumn id="16270" xr3:uid="{41DF418F-4303-4E48-93F2-9171014574DE}" name="Column16252"/>
    <tableColumn id="16271" xr3:uid="{470D9A71-D752-1941-82F5-00A88C1F6FEF}" name="Column16253"/>
    <tableColumn id="16272" xr3:uid="{F50173EB-809A-D74A-AFBD-4A5E2387837F}" name="Column16254"/>
    <tableColumn id="16273" xr3:uid="{E31A08BB-C1B5-454F-BA02-A8F3F10D3EB1}" name="Column16255"/>
    <tableColumn id="16274" xr3:uid="{50CC0833-7456-C14B-B7BF-83031EA6210B}" name="Column16256"/>
    <tableColumn id="16275" xr3:uid="{D35802A7-DF31-9044-80AC-7B635CA66260}" name="Column16257"/>
    <tableColumn id="16276" xr3:uid="{FEF5821E-5FF3-CB4F-9905-1FDD4A433898}" name="Column16258"/>
    <tableColumn id="16277" xr3:uid="{E0B3D7EA-70F4-1140-A2B4-28D5D28D395A}" name="Column16259"/>
    <tableColumn id="16278" xr3:uid="{6C1E49D4-7086-BC4C-BD79-1B8D8D5E9A2D}" name="Column16260"/>
    <tableColumn id="16279" xr3:uid="{9ED3662E-0277-5A43-8F4A-784FA19998E2}" name="Column16261"/>
    <tableColumn id="16280" xr3:uid="{04D5D67B-44DA-3946-AA09-87B4AA04E501}" name="Column16262"/>
    <tableColumn id="16281" xr3:uid="{35436726-C0DB-BB46-A7CE-84188F70B931}" name="Column16263"/>
    <tableColumn id="16282" xr3:uid="{56116913-AA1E-0344-A5ED-CA403BB2330D}" name="Column16264"/>
    <tableColumn id="16283" xr3:uid="{04A40402-6660-F04D-B3BF-63F62DF70F08}" name="Column16265"/>
    <tableColumn id="16284" xr3:uid="{5E9D5F07-3569-B141-828F-805798728018}" name="Column16266"/>
    <tableColumn id="16285" xr3:uid="{84AEF359-7C18-F544-AD5D-95A76B67710E}" name="Column16267"/>
    <tableColumn id="16286" xr3:uid="{F757D934-E7BC-5C41-9B31-5CEB88AA48A3}" name="Column16268"/>
    <tableColumn id="16287" xr3:uid="{ADE841AF-A9A7-9D45-A617-B3ED27678B92}" name="Column16269"/>
    <tableColumn id="16288" xr3:uid="{687D6570-CF01-CF4D-8CE2-A7A825B39DA0}" name="Column16270"/>
    <tableColumn id="16289" xr3:uid="{25213198-4B4D-3F49-BD58-BD5B9A689077}" name="Column16271"/>
    <tableColumn id="16290" xr3:uid="{66560CD6-F2A0-DD4A-8081-24605FDD83B5}" name="Column16272"/>
    <tableColumn id="16291" xr3:uid="{2ABE54FA-A01D-9E46-AF1F-AD7E09129579}" name="Column16273"/>
    <tableColumn id="16292" xr3:uid="{33765FE4-C639-F745-8895-F7953357E8A8}" name="Column16274"/>
    <tableColumn id="16293" xr3:uid="{C00F6B4D-DA84-4E4A-B424-18AD5AE489C8}" name="Column16275"/>
    <tableColumn id="16294" xr3:uid="{C4FFEB6E-73D4-4C43-95EC-B53FD6F85438}" name="Column16276"/>
    <tableColumn id="16295" xr3:uid="{F6EE8D52-F653-7F41-A9CD-DE309CA5F1E7}" name="Column16277"/>
    <tableColumn id="16296" xr3:uid="{8A0FF58E-354A-E847-9039-C637D5754531}" name="Column16278"/>
    <tableColumn id="16297" xr3:uid="{4A6DF069-7A69-8141-BDB7-2212DAE9650C}" name="Column16279"/>
    <tableColumn id="16298" xr3:uid="{6F45DB66-6018-924D-B805-1237D962A657}" name="Column16280"/>
    <tableColumn id="16299" xr3:uid="{88E30732-14D1-474D-B9B6-535F0BDF6CD5}" name="Column16281"/>
    <tableColumn id="16300" xr3:uid="{F9A25925-52B7-3642-A171-474B09F5EA7E}" name="Column16282"/>
    <tableColumn id="16301" xr3:uid="{4AB20155-E504-7A46-A2CF-A7D5AB14B988}" name="Column16283"/>
    <tableColumn id="16302" xr3:uid="{6907361D-0CE0-2143-BC71-06745F4840D3}" name="Column16284"/>
    <tableColumn id="16303" xr3:uid="{0513404E-4F79-AA46-A996-B1FEDB8DD197}" name="Column16285"/>
    <tableColumn id="16304" xr3:uid="{5439DCEA-FB9F-B042-8B4A-82180C445DE4}" name="Column16286"/>
    <tableColumn id="16305" xr3:uid="{E6CFDF71-C0E6-5541-B6D6-6F790F5A4789}" name="Column16287"/>
    <tableColumn id="16306" xr3:uid="{D53052D6-56D8-BD4D-9E2A-A678F776BCA7}" name="Column16288"/>
    <tableColumn id="16307" xr3:uid="{CC042FEC-8FB5-D54F-8877-3D1E3DD18E36}" name="Column16289"/>
    <tableColumn id="16308" xr3:uid="{7883894B-7057-9A45-B119-1184EE45C375}" name="Column16290"/>
    <tableColumn id="16309" xr3:uid="{BC4196F0-5E52-A644-A929-A874A4124A70}" name="Column16291"/>
    <tableColumn id="16310" xr3:uid="{31C158F4-70CC-A844-AD99-DC0B8277E651}" name="Column16292"/>
    <tableColumn id="16311" xr3:uid="{2885E18B-6FBE-5B43-91F2-102ADBE7EFBF}" name="Column16293"/>
    <tableColumn id="16312" xr3:uid="{92D7441C-D7C2-E24C-B55E-2E28CB3DD0DA}" name="Column16294"/>
    <tableColumn id="16313" xr3:uid="{0F6BA70A-3EEF-D046-8C9E-27F31A97A316}" name="Column16295"/>
    <tableColumn id="16314" xr3:uid="{3EFDCA6B-E3E2-5C41-9C41-369E38DF5D8D}" name="Column16296"/>
    <tableColumn id="16315" xr3:uid="{4322E687-5E47-0043-B115-973B4EE22895}" name="Column16297"/>
    <tableColumn id="16316" xr3:uid="{E0BC72F7-BA37-6741-AC54-4F9BF775543A}" name="Column16298"/>
    <tableColumn id="16317" xr3:uid="{5762881A-6DCD-6148-8627-8E3A95F0C346}" name="Column16299"/>
    <tableColumn id="16318" xr3:uid="{8591B396-B54A-D24B-B8D5-C125722C1222}" name="Column16300"/>
    <tableColumn id="16319" xr3:uid="{5BE8F641-3A81-F04C-897F-67017433AD7B}" name="Column16301"/>
    <tableColumn id="16320" xr3:uid="{C703CFD2-FCAA-3442-A4D4-66566CF5C337}" name="Column16302"/>
    <tableColumn id="16321" xr3:uid="{70883739-5941-754D-B7A4-F8ABCC410F8D}" name="Column16303"/>
    <tableColumn id="16322" xr3:uid="{A6111A9F-791D-5D4B-A7D2-65DA3C225163}" name="Column16304"/>
    <tableColumn id="16323" xr3:uid="{515E205D-CC7F-824C-9732-F30899F4646B}" name="Column16305"/>
    <tableColumn id="16324" xr3:uid="{20A1FFEE-B2B5-6F40-90AC-C9200843D143}" name="Column16306"/>
    <tableColumn id="16325" xr3:uid="{6532269E-0119-0D41-8EFB-4DE8997E8FD5}" name="Column16307"/>
    <tableColumn id="16326" xr3:uid="{A5591B4B-EE39-0043-B089-E27FABEBDD49}" name="Column16308"/>
    <tableColumn id="16327" xr3:uid="{161518C0-669F-3C42-8070-46159A69F10D}" name="Column16309"/>
    <tableColumn id="16328" xr3:uid="{1AA91FB5-317F-DF4F-A6EB-7A41E89967DB}" name="Column16310"/>
    <tableColumn id="16329" xr3:uid="{6F7FCB04-DA0A-0C41-A7DC-B0A847F3AE9B}" name="Column16311"/>
    <tableColumn id="16330" xr3:uid="{F2C97F2C-46D0-C94A-B5DE-3391918F4A52}" name="Column16312"/>
    <tableColumn id="16331" xr3:uid="{00C321B6-2820-6542-836B-6FD8A7BC4923}" name="Column16313"/>
    <tableColumn id="16332" xr3:uid="{08A8B2ED-8631-7044-8579-B5970CE33E0F}" name="Column16314"/>
    <tableColumn id="16333" xr3:uid="{4A1D4011-217F-B347-B09B-B79412882550}" name="Column16315"/>
    <tableColumn id="16334" xr3:uid="{7698227E-3C7C-B74A-A8E8-D5BD7E735711}" name="Column16316"/>
    <tableColumn id="16335" xr3:uid="{BC4A2778-52A3-EB46-B448-B362FE508FC8}" name="Column16317"/>
    <tableColumn id="16336" xr3:uid="{9E7989BB-F210-154F-B594-F0A604E227FA}" name="Column16318"/>
    <tableColumn id="16337" xr3:uid="{3BA8A819-4FD0-D247-85E1-3CD6E91ACE3B}" name="Column16319"/>
    <tableColumn id="16338" xr3:uid="{5CB93323-1BCE-B446-8659-F5A33B9B8D76}" name="Column16320"/>
    <tableColumn id="16339" xr3:uid="{611AB90B-0353-2E4E-81CD-4646AF2FFA6E}" name="Column16321"/>
    <tableColumn id="16340" xr3:uid="{1D32911F-03D4-FA44-BD95-8AB6A6F7A97F}" name="Column16322"/>
    <tableColumn id="16341" xr3:uid="{4EE4F899-440B-6A47-8A8C-6B809934FBA4}" name="Column16323"/>
    <tableColumn id="16342" xr3:uid="{1FECE575-5646-2749-A86B-FBF78418C312}" name="Column16324"/>
    <tableColumn id="16343" xr3:uid="{95213144-2EDA-ED48-9E16-C96169D7FB6F}" name="Column16325"/>
    <tableColumn id="16344" xr3:uid="{27FE32CF-624D-4F49-A93F-B9D2E951DDF2}" name="Column16326"/>
    <tableColumn id="16345" xr3:uid="{49BDDDD9-0BE8-2F4C-861D-11C6DA11932B}" name="Column16327"/>
    <tableColumn id="16346" xr3:uid="{9260B156-31E0-4248-915B-171F2EE05096}" name="Column16328"/>
    <tableColumn id="16347" xr3:uid="{C61E2534-866D-3D4E-BA4C-8340E378D232}" name="Column16329"/>
    <tableColumn id="16348" xr3:uid="{60E25F1A-7410-BA41-9588-2F498206FF76}" name="Column16330"/>
    <tableColumn id="16349" xr3:uid="{F0E42C71-05DC-E348-BED8-4FAE398D8446}" name="Column16331"/>
    <tableColumn id="16350" xr3:uid="{1C44BCAF-B1DA-804D-BE14-9A3C50054F59}" name="Column16332"/>
    <tableColumn id="16351" xr3:uid="{3DA20C33-3146-144B-8D66-A0AF5BAAE38A}" name="Column16333"/>
    <tableColumn id="16352" xr3:uid="{2C13091E-9D34-EB49-ADB0-97A5ABB7FE16}" name="Column16334"/>
    <tableColumn id="16353" xr3:uid="{743539E9-AF65-BE4B-BC67-A27D55181427}" name="Column16335"/>
    <tableColumn id="16354" xr3:uid="{E5520821-575E-2243-8961-64038BF1DC5F}" name="Column16336"/>
    <tableColumn id="16355" xr3:uid="{DD559C4B-9C09-2D4F-84C1-D90715CC9F0D}" name="Column16337"/>
    <tableColumn id="16356" xr3:uid="{72C4A3D9-7857-644D-ACA0-DD04466D7AB0}" name="Column16338"/>
    <tableColumn id="16357" xr3:uid="{20FFEED2-E442-3C4B-AA2E-B7A4BFB6191D}" name="Column16339"/>
    <tableColumn id="16358" xr3:uid="{C78861B3-84C0-D44E-AA6F-1777DEF92A3C}" name="Column16340"/>
    <tableColumn id="16359" xr3:uid="{0CF9E925-BCCE-B04A-B066-56DE10F9DAF2}" name="Column16341"/>
    <tableColumn id="16360" xr3:uid="{F451B79F-E764-8D4E-9D0A-EC41E3172365}" name="Column16342"/>
    <tableColumn id="16361" xr3:uid="{E8BC2667-BBE2-ED49-A662-33814A311481}" name="Column16343"/>
    <tableColumn id="16362" xr3:uid="{C3E9BC38-7885-6D42-8A76-700B8C35F91D}" name="Column16344"/>
    <tableColumn id="16363" xr3:uid="{E3B096B8-A24D-3240-A620-775AA98A0D4D}" name="Column16345"/>
    <tableColumn id="16364" xr3:uid="{E3623C52-3ACA-2A40-8C67-A4B47C780258}" name="Column16346"/>
    <tableColumn id="16365" xr3:uid="{FF8F1396-D9B6-1549-A86D-BC7068A139AC}" name="Column16347"/>
    <tableColumn id="16366" xr3:uid="{C7E211A9-5AF2-5F40-B651-D00A5676D071}" name="Column16348"/>
    <tableColumn id="16367" xr3:uid="{D8960368-2190-F14F-A37E-55E6EBA54CB8}" name="Column16349"/>
    <tableColumn id="16368" xr3:uid="{522BBB28-9CAE-1342-B6E2-187175CF535C}" name="Column16350"/>
    <tableColumn id="16369" xr3:uid="{B14DC651-2731-DC49-8D7F-57B4DB240439}" name="Column16351"/>
    <tableColumn id="16370" xr3:uid="{DCA273E6-0846-5D41-A6BA-5BABA7B09F40}" name="Column16352"/>
    <tableColumn id="16371" xr3:uid="{E5A8B19F-D4BF-8042-96B4-3661AFB839D1}" name="Column16353"/>
    <tableColumn id="16372" xr3:uid="{6736EFC2-28E1-DC4E-8E5D-801727EB7659}" name="Column16354"/>
    <tableColumn id="16373" xr3:uid="{C3B1E96D-73C7-B349-92E1-C782AC8AD0F1}" name="Column16355"/>
    <tableColumn id="16374" xr3:uid="{5B4BCD35-DD5F-094B-A201-A613BC94BA28}" name="Column16356"/>
    <tableColumn id="16375" xr3:uid="{45E9A754-C4F4-4B49-B82B-4FFF935B4AAB}" name="Column16357"/>
    <tableColumn id="16376" xr3:uid="{99D57EC3-DA90-3241-B556-255911C5739F}" name="Column16358"/>
    <tableColumn id="16377" xr3:uid="{BBA2C8E5-F873-014B-A5EB-1D3833941D40}" name="Column16359"/>
    <tableColumn id="16378" xr3:uid="{450D026F-C9BE-4A42-BD58-63D4A305BD12}" name="Column16360"/>
    <tableColumn id="16379" xr3:uid="{2E7CACA3-8B85-394C-BD35-A20EB864FFCE}" name="Column16361"/>
    <tableColumn id="16380" xr3:uid="{79F9C062-605E-DF44-AEBC-00104337B46C}" name="Column16362"/>
    <tableColumn id="16381" xr3:uid="{5CC5BA66-2065-1A45-979E-F2E32C6D397A}" name="Column16363"/>
    <tableColumn id="16382" xr3:uid="{886D7A70-2621-F741-BAD3-787F9EE2DC72}" name="Column16364"/>
    <tableColumn id="16383" xr3:uid="{CDAC313E-847A-7B42-A4FB-3DA9DDF37879}" name="Column16365"/>
    <tableColumn id="16384" xr3:uid="{DA1AF998-9037-9244-B949-780D799EB30C}" name="Column16366"/>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E3F9-C3A7-0043-ACE7-12036744B6EA}">
  <dimension ref="A1:XFD1001"/>
  <sheetViews>
    <sheetView tabSelected="1" workbookViewId="0">
      <selection activeCell="J10" sqref="J10"/>
    </sheetView>
  </sheetViews>
  <sheetFormatPr baseColWidth="10" defaultRowHeight="16" x14ac:dyDescent="0.2"/>
  <cols>
    <col min="1" max="1" width="15" customWidth="1"/>
    <col min="2" max="2" width="22.6640625" hidden="1" customWidth="1"/>
    <col min="3" max="3" width="20.1640625" customWidth="1"/>
    <col min="4" max="4" width="0" hidden="1" customWidth="1"/>
    <col min="8" max="8" width="11.5" customWidth="1"/>
    <col min="9" max="9" width="21.6640625" bestFit="1" customWidth="1"/>
    <col min="10" max="11" width="20.33203125" customWidth="1"/>
    <col min="12" max="12" width="19.5" hidden="1" customWidth="1"/>
    <col min="13" max="13" width="19.5" style="2" customWidth="1"/>
    <col min="15" max="15" width="0" hidden="1" customWidth="1"/>
    <col min="17" max="17" width="20.1640625" hidden="1" customWidth="1"/>
    <col min="18" max="18" width="22.6640625" customWidth="1"/>
    <col min="19" max="27" width="11" customWidth="1"/>
    <col min="28" max="117" width="12" customWidth="1"/>
    <col min="118" max="1017" width="13" customWidth="1"/>
    <col min="1018" max="10017" width="14" customWidth="1"/>
    <col min="10018" max="16384" width="15" customWidth="1"/>
  </cols>
  <sheetData>
    <row r="1" spans="1:16384" s="9" customFormat="1" x14ac:dyDescent="0.2">
      <c r="A1" s="9" t="s">
        <v>2077</v>
      </c>
      <c r="B1" s="9" t="s">
        <v>2070</v>
      </c>
      <c r="C1" s="9" t="s">
        <v>2067</v>
      </c>
      <c r="D1" s="9" t="s">
        <v>2069</v>
      </c>
      <c r="E1" s="9" t="s">
        <v>2068</v>
      </c>
      <c r="F1" s="9" t="s">
        <v>2081</v>
      </c>
      <c r="G1" s="9" t="s">
        <v>2078</v>
      </c>
      <c r="H1" s="9" t="s">
        <v>2079</v>
      </c>
      <c r="I1" s="9" t="s">
        <v>2095</v>
      </c>
      <c r="J1" s="9" t="s">
        <v>0</v>
      </c>
      <c r="K1" s="9" t="s">
        <v>2071</v>
      </c>
      <c r="L1" s="9" t="s">
        <v>2072</v>
      </c>
      <c r="M1" s="10" t="s">
        <v>2073</v>
      </c>
      <c r="N1" s="9" t="s">
        <v>2080</v>
      </c>
      <c r="O1" s="9" t="s">
        <v>1</v>
      </c>
      <c r="P1" s="9" t="s">
        <v>2094</v>
      </c>
      <c r="Q1" s="9" t="s">
        <v>2076</v>
      </c>
      <c r="R1" s="9" t="s">
        <v>2082</v>
      </c>
      <c r="S1" s="9" t="s">
        <v>2096</v>
      </c>
      <c r="T1" s="9" t="s">
        <v>2097</v>
      </c>
      <c r="U1" s="9" t="s">
        <v>2098</v>
      </c>
      <c r="V1" s="9" t="s">
        <v>2099</v>
      </c>
      <c r="W1" s="9" t="s">
        <v>2100</v>
      </c>
      <c r="X1" s="9" t="s">
        <v>2101</v>
      </c>
      <c r="Y1" s="9" t="s">
        <v>2102</v>
      </c>
      <c r="Z1" s="9" t="s">
        <v>2103</v>
      </c>
      <c r="AA1" s="9" t="s">
        <v>2104</v>
      </c>
      <c r="AB1" s="9" t="s">
        <v>2105</v>
      </c>
      <c r="AC1" s="9" t="s">
        <v>2106</v>
      </c>
      <c r="AD1" s="9" t="s">
        <v>2107</v>
      </c>
      <c r="AE1" s="9" t="s">
        <v>2108</v>
      </c>
      <c r="AF1" s="9" t="s">
        <v>2109</v>
      </c>
      <c r="AG1" s="9" t="s">
        <v>2110</v>
      </c>
      <c r="AH1" s="9" t="s">
        <v>2111</v>
      </c>
      <c r="AI1" s="9" t="s">
        <v>2112</v>
      </c>
      <c r="AJ1" s="9" t="s">
        <v>2113</v>
      </c>
      <c r="AK1" s="9" t="s">
        <v>2114</v>
      </c>
      <c r="AL1" s="9" t="s">
        <v>2115</v>
      </c>
      <c r="AM1" s="9" t="s">
        <v>2116</v>
      </c>
      <c r="AN1" s="9" t="s">
        <v>2117</v>
      </c>
      <c r="AO1" s="9" t="s">
        <v>2118</v>
      </c>
      <c r="AP1" s="9" t="s">
        <v>2119</v>
      </c>
      <c r="AQ1" s="9" t="s">
        <v>2120</v>
      </c>
      <c r="AR1" s="9" t="s">
        <v>2121</v>
      </c>
      <c r="AS1" s="9" t="s">
        <v>2122</v>
      </c>
      <c r="AT1" s="9" t="s">
        <v>2123</v>
      </c>
      <c r="AU1" s="9" t="s">
        <v>2124</v>
      </c>
      <c r="AV1" s="9" t="s">
        <v>2125</v>
      </c>
      <c r="AW1" s="9" t="s">
        <v>2126</v>
      </c>
      <c r="AX1" s="9" t="s">
        <v>2127</v>
      </c>
      <c r="AY1" s="9" t="s">
        <v>2128</v>
      </c>
      <c r="AZ1" s="9" t="s">
        <v>2129</v>
      </c>
      <c r="BA1" s="9" t="s">
        <v>2130</v>
      </c>
      <c r="BB1" s="9" t="s">
        <v>2131</v>
      </c>
      <c r="BC1" s="9" t="s">
        <v>2132</v>
      </c>
      <c r="BD1" s="9" t="s">
        <v>2133</v>
      </c>
      <c r="BE1" s="9" t="s">
        <v>2134</v>
      </c>
      <c r="BF1" s="9" t="s">
        <v>2135</v>
      </c>
      <c r="BG1" s="9" t="s">
        <v>2136</v>
      </c>
      <c r="BH1" s="9" t="s">
        <v>2137</v>
      </c>
      <c r="BI1" s="9" t="s">
        <v>2138</v>
      </c>
      <c r="BJ1" s="9" t="s">
        <v>2139</v>
      </c>
      <c r="BK1" s="9" t="s">
        <v>2140</v>
      </c>
      <c r="BL1" s="9" t="s">
        <v>2141</v>
      </c>
      <c r="BM1" s="9" t="s">
        <v>2142</v>
      </c>
      <c r="BN1" s="9" t="s">
        <v>2143</v>
      </c>
      <c r="BO1" s="9" t="s">
        <v>2144</v>
      </c>
      <c r="BP1" s="9" t="s">
        <v>2145</v>
      </c>
      <c r="BQ1" s="9" t="s">
        <v>2146</v>
      </c>
      <c r="BR1" s="9" t="s">
        <v>2147</v>
      </c>
      <c r="BS1" s="9" t="s">
        <v>2148</v>
      </c>
      <c r="BT1" s="9" t="s">
        <v>2149</v>
      </c>
      <c r="BU1" s="9" t="s">
        <v>2150</v>
      </c>
      <c r="BV1" s="9" t="s">
        <v>2151</v>
      </c>
      <c r="BW1" s="9" t="s">
        <v>2152</v>
      </c>
      <c r="BX1" s="9" t="s">
        <v>2153</v>
      </c>
      <c r="BY1" s="9" t="s">
        <v>2154</v>
      </c>
      <c r="BZ1" s="9" t="s">
        <v>2155</v>
      </c>
      <c r="CA1" s="9" t="s">
        <v>2156</v>
      </c>
      <c r="CB1" s="9" t="s">
        <v>2157</v>
      </c>
      <c r="CC1" s="9" t="s">
        <v>2158</v>
      </c>
      <c r="CD1" s="9" t="s">
        <v>2159</v>
      </c>
      <c r="CE1" s="9" t="s">
        <v>2160</v>
      </c>
      <c r="CF1" s="9" t="s">
        <v>2161</v>
      </c>
      <c r="CG1" s="9" t="s">
        <v>2162</v>
      </c>
      <c r="CH1" s="9" t="s">
        <v>2163</v>
      </c>
      <c r="CI1" s="9" t="s">
        <v>2164</v>
      </c>
      <c r="CJ1" s="9" t="s">
        <v>2165</v>
      </c>
      <c r="CK1" s="9" t="s">
        <v>2166</v>
      </c>
      <c r="CL1" s="9" t="s">
        <v>2167</v>
      </c>
      <c r="CM1" s="9" t="s">
        <v>2168</v>
      </c>
      <c r="CN1" s="9" t="s">
        <v>2169</v>
      </c>
      <c r="CO1" s="9" t="s">
        <v>2170</v>
      </c>
      <c r="CP1" s="9" t="s">
        <v>2171</v>
      </c>
      <c r="CQ1" s="9" t="s">
        <v>2172</v>
      </c>
      <c r="CR1" s="9" t="s">
        <v>2173</v>
      </c>
      <c r="CS1" s="9" t="s">
        <v>2174</v>
      </c>
      <c r="CT1" s="9" t="s">
        <v>2175</v>
      </c>
      <c r="CU1" s="9" t="s">
        <v>2176</v>
      </c>
      <c r="CV1" s="9" t="s">
        <v>2177</v>
      </c>
      <c r="CW1" s="9" t="s">
        <v>2178</v>
      </c>
      <c r="CX1" s="9" t="s">
        <v>2179</v>
      </c>
      <c r="CY1" s="9" t="s">
        <v>2180</v>
      </c>
      <c r="CZ1" s="9" t="s">
        <v>2181</v>
      </c>
      <c r="DA1" s="9" t="s">
        <v>2182</v>
      </c>
      <c r="DB1" s="9" t="s">
        <v>2183</v>
      </c>
      <c r="DC1" s="9" t="s">
        <v>2184</v>
      </c>
      <c r="DD1" s="9" t="s">
        <v>2185</v>
      </c>
      <c r="DE1" s="9" t="s">
        <v>2186</v>
      </c>
      <c r="DF1" s="9" t="s">
        <v>2187</v>
      </c>
      <c r="DG1" s="9" t="s">
        <v>2188</v>
      </c>
      <c r="DH1" s="9" t="s">
        <v>2189</v>
      </c>
      <c r="DI1" s="9" t="s">
        <v>2190</v>
      </c>
      <c r="DJ1" s="9" t="s">
        <v>2191</v>
      </c>
      <c r="DK1" s="9" t="s">
        <v>2192</v>
      </c>
      <c r="DL1" s="9" t="s">
        <v>2193</v>
      </c>
      <c r="DM1" s="9" t="s">
        <v>2194</v>
      </c>
      <c r="DN1" s="9" t="s">
        <v>2195</v>
      </c>
      <c r="DO1" s="9" t="s">
        <v>2196</v>
      </c>
      <c r="DP1" s="9" t="s">
        <v>2197</v>
      </c>
      <c r="DQ1" s="9" t="s">
        <v>2198</v>
      </c>
      <c r="DR1" s="9" t="s">
        <v>2199</v>
      </c>
      <c r="DS1" s="9" t="s">
        <v>2200</v>
      </c>
      <c r="DT1" s="9" t="s">
        <v>2201</v>
      </c>
      <c r="DU1" s="9" t="s">
        <v>2202</v>
      </c>
      <c r="DV1" s="9" t="s">
        <v>2203</v>
      </c>
      <c r="DW1" s="9" t="s">
        <v>2204</v>
      </c>
      <c r="DX1" s="9" t="s">
        <v>2205</v>
      </c>
      <c r="DY1" s="9" t="s">
        <v>2206</v>
      </c>
      <c r="DZ1" s="9" t="s">
        <v>2207</v>
      </c>
      <c r="EA1" s="9" t="s">
        <v>2208</v>
      </c>
      <c r="EB1" s="9" t="s">
        <v>2209</v>
      </c>
      <c r="EC1" s="9" t="s">
        <v>2210</v>
      </c>
      <c r="ED1" s="9" t="s">
        <v>2211</v>
      </c>
      <c r="EE1" s="9" t="s">
        <v>2212</v>
      </c>
      <c r="EF1" s="9" t="s">
        <v>2213</v>
      </c>
      <c r="EG1" s="9" t="s">
        <v>2214</v>
      </c>
      <c r="EH1" s="9" t="s">
        <v>2215</v>
      </c>
      <c r="EI1" s="9" t="s">
        <v>2216</v>
      </c>
      <c r="EJ1" s="9" t="s">
        <v>2217</v>
      </c>
      <c r="EK1" s="9" t="s">
        <v>2218</v>
      </c>
      <c r="EL1" s="9" t="s">
        <v>2219</v>
      </c>
      <c r="EM1" s="9" t="s">
        <v>2220</v>
      </c>
      <c r="EN1" s="9" t="s">
        <v>2221</v>
      </c>
      <c r="EO1" s="9" t="s">
        <v>2222</v>
      </c>
      <c r="EP1" s="9" t="s">
        <v>2223</v>
      </c>
      <c r="EQ1" s="9" t="s">
        <v>2224</v>
      </c>
      <c r="ER1" s="9" t="s">
        <v>2225</v>
      </c>
      <c r="ES1" s="9" t="s">
        <v>2226</v>
      </c>
      <c r="ET1" s="9" t="s">
        <v>2227</v>
      </c>
      <c r="EU1" s="9" t="s">
        <v>2228</v>
      </c>
      <c r="EV1" s="9" t="s">
        <v>2229</v>
      </c>
      <c r="EW1" s="9" t="s">
        <v>2230</v>
      </c>
      <c r="EX1" s="9" t="s">
        <v>2231</v>
      </c>
      <c r="EY1" s="9" t="s">
        <v>2232</v>
      </c>
      <c r="EZ1" s="9" t="s">
        <v>2233</v>
      </c>
      <c r="FA1" s="9" t="s">
        <v>2234</v>
      </c>
      <c r="FB1" s="9" t="s">
        <v>2235</v>
      </c>
      <c r="FC1" s="9" t="s">
        <v>2236</v>
      </c>
      <c r="FD1" s="9" t="s">
        <v>2237</v>
      </c>
      <c r="FE1" s="9" t="s">
        <v>2238</v>
      </c>
      <c r="FF1" s="9" t="s">
        <v>2239</v>
      </c>
      <c r="FG1" s="9" t="s">
        <v>2240</v>
      </c>
      <c r="FH1" s="9" t="s">
        <v>2241</v>
      </c>
      <c r="FI1" s="9" t="s">
        <v>2242</v>
      </c>
      <c r="FJ1" s="9" t="s">
        <v>2243</v>
      </c>
      <c r="FK1" s="9" t="s">
        <v>2244</v>
      </c>
      <c r="FL1" s="9" t="s">
        <v>2245</v>
      </c>
      <c r="FM1" s="9" t="s">
        <v>2246</v>
      </c>
      <c r="FN1" s="9" t="s">
        <v>2247</v>
      </c>
      <c r="FO1" s="9" t="s">
        <v>2248</v>
      </c>
      <c r="FP1" s="9" t="s">
        <v>2249</v>
      </c>
      <c r="FQ1" s="9" t="s">
        <v>2250</v>
      </c>
      <c r="FR1" s="9" t="s">
        <v>2251</v>
      </c>
      <c r="FS1" s="9" t="s">
        <v>2252</v>
      </c>
      <c r="FT1" s="9" t="s">
        <v>2253</v>
      </c>
      <c r="FU1" s="9" t="s">
        <v>2254</v>
      </c>
      <c r="FV1" s="9" t="s">
        <v>2255</v>
      </c>
      <c r="FW1" s="9" t="s">
        <v>2256</v>
      </c>
      <c r="FX1" s="9" t="s">
        <v>2257</v>
      </c>
      <c r="FY1" s="9" t="s">
        <v>2258</v>
      </c>
      <c r="FZ1" s="9" t="s">
        <v>2259</v>
      </c>
      <c r="GA1" s="9" t="s">
        <v>2260</v>
      </c>
      <c r="GB1" s="9" t="s">
        <v>2261</v>
      </c>
      <c r="GC1" s="9" t="s">
        <v>2262</v>
      </c>
      <c r="GD1" s="9" t="s">
        <v>2263</v>
      </c>
      <c r="GE1" s="9" t="s">
        <v>2264</v>
      </c>
      <c r="GF1" s="9" t="s">
        <v>2265</v>
      </c>
      <c r="GG1" s="9" t="s">
        <v>2266</v>
      </c>
      <c r="GH1" s="9" t="s">
        <v>2267</v>
      </c>
      <c r="GI1" s="9" t="s">
        <v>2268</v>
      </c>
      <c r="GJ1" s="9" t="s">
        <v>2269</v>
      </c>
      <c r="GK1" s="9" t="s">
        <v>2270</v>
      </c>
      <c r="GL1" s="9" t="s">
        <v>2271</v>
      </c>
      <c r="GM1" s="9" t="s">
        <v>2272</v>
      </c>
      <c r="GN1" s="9" t="s">
        <v>2273</v>
      </c>
      <c r="GO1" s="9" t="s">
        <v>2274</v>
      </c>
      <c r="GP1" s="9" t="s">
        <v>2275</v>
      </c>
      <c r="GQ1" s="9" t="s">
        <v>2276</v>
      </c>
      <c r="GR1" s="9" t="s">
        <v>2277</v>
      </c>
      <c r="GS1" s="9" t="s">
        <v>2278</v>
      </c>
      <c r="GT1" s="9" t="s">
        <v>2279</v>
      </c>
      <c r="GU1" s="9" t="s">
        <v>2280</v>
      </c>
      <c r="GV1" s="9" t="s">
        <v>2281</v>
      </c>
      <c r="GW1" s="9" t="s">
        <v>2282</v>
      </c>
      <c r="GX1" s="9" t="s">
        <v>2283</v>
      </c>
      <c r="GY1" s="9" t="s">
        <v>2284</v>
      </c>
      <c r="GZ1" s="9" t="s">
        <v>2285</v>
      </c>
      <c r="HA1" s="9" t="s">
        <v>2286</v>
      </c>
      <c r="HB1" s="9" t="s">
        <v>2287</v>
      </c>
      <c r="HC1" s="9" t="s">
        <v>2288</v>
      </c>
      <c r="HD1" s="9" t="s">
        <v>2289</v>
      </c>
      <c r="HE1" s="9" t="s">
        <v>2290</v>
      </c>
      <c r="HF1" s="9" t="s">
        <v>2291</v>
      </c>
      <c r="HG1" s="9" t="s">
        <v>2292</v>
      </c>
      <c r="HH1" s="9" t="s">
        <v>2293</v>
      </c>
      <c r="HI1" s="9" t="s">
        <v>2294</v>
      </c>
      <c r="HJ1" s="9" t="s">
        <v>2295</v>
      </c>
      <c r="HK1" s="9" t="s">
        <v>2296</v>
      </c>
      <c r="HL1" s="9" t="s">
        <v>2297</v>
      </c>
      <c r="HM1" s="9" t="s">
        <v>2298</v>
      </c>
      <c r="HN1" s="9" t="s">
        <v>2299</v>
      </c>
      <c r="HO1" s="9" t="s">
        <v>2300</v>
      </c>
      <c r="HP1" s="9" t="s">
        <v>2301</v>
      </c>
      <c r="HQ1" s="9" t="s">
        <v>2302</v>
      </c>
      <c r="HR1" s="9" t="s">
        <v>2303</v>
      </c>
      <c r="HS1" s="9" t="s">
        <v>2304</v>
      </c>
      <c r="HT1" s="9" t="s">
        <v>2305</v>
      </c>
      <c r="HU1" s="9" t="s">
        <v>2306</v>
      </c>
      <c r="HV1" s="9" t="s">
        <v>2307</v>
      </c>
      <c r="HW1" s="9" t="s">
        <v>2308</v>
      </c>
      <c r="HX1" s="9" t="s">
        <v>2309</v>
      </c>
      <c r="HY1" s="9" t="s">
        <v>2310</v>
      </c>
      <c r="HZ1" s="9" t="s">
        <v>2311</v>
      </c>
      <c r="IA1" s="9" t="s">
        <v>2312</v>
      </c>
      <c r="IB1" s="9" t="s">
        <v>2313</v>
      </c>
      <c r="IC1" s="9" t="s">
        <v>2314</v>
      </c>
      <c r="ID1" s="9" t="s">
        <v>2315</v>
      </c>
      <c r="IE1" s="9" t="s">
        <v>2316</v>
      </c>
      <c r="IF1" s="9" t="s">
        <v>2317</v>
      </c>
      <c r="IG1" s="9" t="s">
        <v>2318</v>
      </c>
      <c r="IH1" s="9" t="s">
        <v>2319</v>
      </c>
      <c r="II1" s="9" t="s">
        <v>2320</v>
      </c>
      <c r="IJ1" s="9" t="s">
        <v>2321</v>
      </c>
      <c r="IK1" s="9" t="s">
        <v>2322</v>
      </c>
      <c r="IL1" s="9" t="s">
        <v>2323</v>
      </c>
      <c r="IM1" s="9" t="s">
        <v>2324</v>
      </c>
      <c r="IN1" s="9" t="s">
        <v>2325</v>
      </c>
      <c r="IO1" s="9" t="s">
        <v>2326</v>
      </c>
      <c r="IP1" s="9" t="s">
        <v>2327</v>
      </c>
      <c r="IQ1" s="9" t="s">
        <v>2328</v>
      </c>
      <c r="IR1" s="9" t="s">
        <v>2329</v>
      </c>
      <c r="IS1" s="9" t="s">
        <v>2330</v>
      </c>
      <c r="IT1" s="9" t="s">
        <v>2331</v>
      </c>
      <c r="IU1" s="9" t="s">
        <v>2332</v>
      </c>
      <c r="IV1" s="9" t="s">
        <v>2333</v>
      </c>
      <c r="IW1" s="9" t="s">
        <v>2334</v>
      </c>
      <c r="IX1" s="9" t="s">
        <v>2335</v>
      </c>
      <c r="IY1" s="9" t="s">
        <v>2336</v>
      </c>
      <c r="IZ1" s="9" t="s">
        <v>2337</v>
      </c>
      <c r="JA1" s="9" t="s">
        <v>2338</v>
      </c>
      <c r="JB1" s="9" t="s">
        <v>2339</v>
      </c>
      <c r="JC1" s="9" t="s">
        <v>2340</v>
      </c>
      <c r="JD1" s="9" t="s">
        <v>2341</v>
      </c>
      <c r="JE1" s="9" t="s">
        <v>2342</v>
      </c>
      <c r="JF1" s="9" t="s">
        <v>2343</v>
      </c>
      <c r="JG1" s="9" t="s">
        <v>2344</v>
      </c>
      <c r="JH1" s="9" t="s">
        <v>2345</v>
      </c>
      <c r="JI1" s="9" t="s">
        <v>2346</v>
      </c>
      <c r="JJ1" s="9" t="s">
        <v>2347</v>
      </c>
      <c r="JK1" s="9" t="s">
        <v>2348</v>
      </c>
      <c r="JL1" s="9" t="s">
        <v>2349</v>
      </c>
      <c r="JM1" s="9" t="s">
        <v>2350</v>
      </c>
      <c r="JN1" s="9" t="s">
        <v>2351</v>
      </c>
      <c r="JO1" s="9" t="s">
        <v>2352</v>
      </c>
      <c r="JP1" s="9" t="s">
        <v>2353</v>
      </c>
      <c r="JQ1" s="9" t="s">
        <v>2354</v>
      </c>
      <c r="JR1" s="9" t="s">
        <v>2355</v>
      </c>
      <c r="JS1" s="9" t="s">
        <v>2356</v>
      </c>
      <c r="JT1" s="9" t="s">
        <v>2357</v>
      </c>
      <c r="JU1" s="9" t="s">
        <v>2358</v>
      </c>
      <c r="JV1" s="9" t="s">
        <v>2359</v>
      </c>
      <c r="JW1" s="9" t="s">
        <v>2360</v>
      </c>
      <c r="JX1" s="9" t="s">
        <v>2361</v>
      </c>
      <c r="JY1" s="9" t="s">
        <v>2362</v>
      </c>
      <c r="JZ1" s="9" t="s">
        <v>2363</v>
      </c>
      <c r="KA1" s="9" t="s">
        <v>2364</v>
      </c>
      <c r="KB1" s="9" t="s">
        <v>2365</v>
      </c>
      <c r="KC1" s="9" t="s">
        <v>2366</v>
      </c>
      <c r="KD1" s="9" t="s">
        <v>2367</v>
      </c>
      <c r="KE1" s="9" t="s">
        <v>2368</v>
      </c>
      <c r="KF1" s="9" t="s">
        <v>2369</v>
      </c>
      <c r="KG1" s="9" t="s">
        <v>2370</v>
      </c>
      <c r="KH1" s="9" t="s">
        <v>2371</v>
      </c>
      <c r="KI1" s="9" t="s">
        <v>2372</v>
      </c>
      <c r="KJ1" s="9" t="s">
        <v>2373</v>
      </c>
      <c r="KK1" s="9" t="s">
        <v>2374</v>
      </c>
      <c r="KL1" s="9" t="s">
        <v>2375</v>
      </c>
      <c r="KM1" s="9" t="s">
        <v>2376</v>
      </c>
      <c r="KN1" s="9" t="s">
        <v>2377</v>
      </c>
      <c r="KO1" s="9" t="s">
        <v>2378</v>
      </c>
      <c r="KP1" s="9" t="s">
        <v>2379</v>
      </c>
      <c r="KQ1" s="9" t="s">
        <v>2380</v>
      </c>
      <c r="KR1" s="9" t="s">
        <v>2381</v>
      </c>
      <c r="KS1" s="9" t="s">
        <v>2382</v>
      </c>
      <c r="KT1" s="9" t="s">
        <v>2383</v>
      </c>
      <c r="KU1" s="9" t="s">
        <v>2384</v>
      </c>
      <c r="KV1" s="9" t="s">
        <v>2385</v>
      </c>
      <c r="KW1" s="9" t="s">
        <v>2386</v>
      </c>
      <c r="KX1" s="9" t="s">
        <v>2387</v>
      </c>
      <c r="KY1" s="9" t="s">
        <v>2388</v>
      </c>
      <c r="KZ1" s="9" t="s">
        <v>2389</v>
      </c>
      <c r="LA1" s="9" t="s">
        <v>2390</v>
      </c>
      <c r="LB1" s="9" t="s">
        <v>2391</v>
      </c>
      <c r="LC1" s="9" t="s">
        <v>2392</v>
      </c>
      <c r="LD1" s="9" t="s">
        <v>2393</v>
      </c>
      <c r="LE1" s="9" t="s">
        <v>2394</v>
      </c>
      <c r="LF1" s="9" t="s">
        <v>2395</v>
      </c>
      <c r="LG1" s="9" t="s">
        <v>2396</v>
      </c>
      <c r="LH1" s="9" t="s">
        <v>2397</v>
      </c>
      <c r="LI1" s="9" t="s">
        <v>2398</v>
      </c>
      <c r="LJ1" s="9" t="s">
        <v>2399</v>
      </c>
      <c r="LK1" s="9" t="s">
        <v>2400</v>
      </c>
      <c r="LL1" s="9" t="s">
        <v>2401</v>
      </c>
      <c r="LM1" s="9" t="s">
        <v>2402</v>
      </c>
      <c r="LN1" s="9" t="s">
        <v>2403</v>
      </c>
      <c r="LO1" s="9" t="s">
        <v>2404</v>
      </c>
      <c r="LP1" s="9" t="s">
        <v>2405</v>
      </c>
      <c r="LQ1" s="9" t="s">
        <v>2406</v>
      </c>
      <c r="LR1" s="9" t="s">
        <v>2407</v>
      </c>
      <c r="LS1" s="9" t="s">
        <v>2408</v>
      </c>
      <c r="LT1" s="9" t="s">
        <v>2409</v>
      </c>
      <c r="LU1" s="9" t="s">
        <v>2410</v>
      </c>
      <c r="LV1" s="9" t="s">
        <v>2411</v>
      </c>
      <c r="LW1" s="9" t="s">
        <v>2412</v>
      </c>
      <c r="LX1" s="9" t="s">
        <v>2413</v>
      </c>
      <c r="LY1" s="9" t="s">
        <v>2414</v>
      </c>
      <c r="LZ1" s="9" t="s">
        <v>2415</v>
      </c>
      <c r="MA1" s="9" t="s">
        <v>2416</v>
      </c>
      <c r="MB1" s="9" t="s">
        <v>2417</v>
      </c>
      <c r="MC1" s="9" t="s">
        <v>2418</v>
      </c>
      <c r="MD1" s="9" t="s">
        <v>2419</v>
      </c>
      <c r="ME1" s="9" t="s">
        <v>2420</v>
      </c>
      <c r="MF1" s="9" t="s">
        <v>2421</v>
      </c>
      <c r="MG1" s="9" t="s">
        <v>2422</v>
      </c>
      <c r="MH1" s="9" t="s">
        <v>2423</v>
      </c>
      <c r="MI1" s="9" t="s">
        <v>2424</v>
      </c>
      <c r="MJ1" s="9" t="s">
        <v>2425</v>
      </c>
      <c r="MK1" s="9" t="s">
        <v>2426</v>
      </c>
      <c r="ML1" s="9" t="s">
        <v>2427</v>
      </c>
      <c r="MM1" s="9" t="s">
        <v>2428</v>
      </c>
      <c r="MN1" s="9" t="s">
        <v>2429</v>
      </c>
      <c r="MO1" s="9" t="s">
        <v>2430</v>
      </c>
      <c r="MP1" s="9" t="s">
        <v>2431</v>
      </c>
      <c r="MQ1" s="9" t="s">
        <v>2432</v>
      </c>
      <c r="MR1" s="9" t="s">
        <v>2433</v>
      </c>
      <c r="MS1" s="9" t="s">
        <v>2434</v>
      </c>
      <c r="MT1" s="9" t="s">
        <v>2435</v>
      </c>
      <c r="MU1" s="9" t="s">
        <v>2436</v>
      </c>
      <c r="MV1" s="9" t="s">
        <v>2437</v>
      </c>
      <c r="MW1" s="9" t="s">
        <v>2438</v>
      </c>
      <c r="MX1" s="9" t="s">
        <v>2439</v>
      </c>
      <c r="MY1" s="9" t="s">
        <v>2440</v>
      </c>
      <c r="MZ1" s="9" t="s">
        <v>2441</v>
      </c>
      <c r="NA1" s="9" t="s">
        <v>2442</v>
      </c>
      <c r="NB1" s="9" t="s">
        <v>2443</v>
      </c>
      <c r="NC1" s="9" t="s">
        <v>2444</v>
      </c>
      <c r="ND1" s="9" t="s">
        <v>2445</v>
      </c>
      <c r="NE1" s="9" t="s">
        <v>2446</v>
      </c>
      <c r="NF1" s="9" t="s">
        <v>2447</v>
      </c>
      <c r="NG1" s="9" t="s">
        <v>2448</v>
      </c>
      <c r="NH1" s="9" t="s">
        <v>2449</v>
      </c>
      <c r="NI1" s="9" t="s">
        <v>2450</v>
      </c>
      <c r="NJ1" s="9" t="s">
        <v>2451</v>
      </c>
      <c r="NK1" s="9" t="s">
        <v>2452</v>
      </c>
      <c r="NL1" s="9" t="s">
        <v>2453</v>
      </c>
      <c r="NM1" s="9" t="s">
        <v>2454</v>
      </c>
      <c r="NN1" s="9" t="s">
        <v>2455</v>
      </c>
      <c r="NO1" s="9" t="s">
        <v>2456</v>
      </c>
      <c r="NP1" s="9" t="s">
        <v>2457</v>
      </c>
      <c r="NQ1" s="9" t="s">
        <v>2458</v>
      </c>
      <c r="NR1" s="9" t="s">
        <v>2459</v>
      </c>
      <c r="NS1" s="9" t="s">
        <v>2460</v>
      </c>
      <c r="NT1" s="9" t="s">
        <v>2461</v>
      </c>
      <c r="NU1" s="9" t="s">
        <v>2462</v>
      </c>
      <c r="NV1" s="9" t="s">
        <v>2463</v>
      </c>
      <c r="NW1" s="9" t="s">
        <v>2464</v>
      </c>
      <c r="NX1" s="9" t="s">
        <v>2465</v>
      </c>
      <c r="NY1" s="9" t="s">
        <v>2466</v>
      </c>
      <c r="NZ1" s="9" t="s">
        <v>2467</v>
      </c>
      <c r="OA1" s="9" t="s">
        <v>2468</v>
      </c>
      <c r="OB1" s="9" t="s">
        <v>2469</v>
      </c>
      <c r="OC1" s="9" t="s">
        <v>2470</v>
      </c>
      <c r="OD1" s="9" t="s">
        <v>2471</v>
      </c>
      <c r="OE1" s="9" t="s">
        <v>2472</v>
      </c>
      <c r="OF1" s="9" t="s">
        <v>2473</v>
      </c>
      <c r="OG1" s="9" t="s">
        <v>2474</v>
      </c>
      <c r="OH1" s="9" t="s">
        <v>2475</v>
      </c>
      <c r="OI1" s="9" t="s">
        <v>2476</v>
      </c>
      <c r="OJ1" s="9" t="s">
        <v>2477</v>
      </c>
      <c r="OK1" s="9" t="s">
        <v>2478</v>
      </c>
      <c r="OL1" s="9" t="s">
        <v>2479</v>
      </c>
      <c r="OM1" s="9" t="s">
        <v>2480</v>
      </c>
      <c r="ON1" s="9" t="s">
        <v>2481</v>
      </c>
      <c r="OO1" s="9" t="s">
        <v>2482</v>
      </c>
      <c r="OP1" s="9" t="s">
        <v>2483</v>
      </c>
      <c r="OQ1" s="9" t="s">
        <v>2484</v>
      </c>
      <c r="OR1" s="9" t="s">
        <v>2485</v>
      </c>
      <c r="OS1" s="9" t="s">
        <v>2486</v>
      </c>
      <c r="OT1" s="9" t="s">
        <v>2487</v>
      </c>
      <c r="OU1" s="9" t="s">
        <v>2488</v>
      </c>
      <c r="OV1" s="9" t="s">
        <v>2489</v>
      </c>
      <c r="OW1" s="9" t="s">
        <v>2490</v>
      </c>
      <c r="OX1" s="9" t="s">
        <v>2491</v>
      </c>
      <c r="OY1" s="9" t="s">
        <v>2492</v>
      </c>
      <c r="OZ1" s="9" t="s">
        <v>2493</v>
      </c>
      <c r="PA1" s="9" t="s">
        <v>2494</v>
      </c>
      <c r="PB1" s="9" t="s">
        <v>2495</v>
      </c>
      <c r="PC1" s="9" t="s">
        <v>2496</v>
      </c>
      <c r="PD1" s="9" t="s">
        <v>2497</v>
      </c>
      <c r="PE1" s="9" t="s">
        <v>2498</v>
      </c>
      <c r="PF1" s="9" t="s">
        <v>2499</v>
      </c>
      <c r="PG1" s="9" t="s">
        <v>2500</v>
      </c>
      <c r="PH1" s="9" t="s">
        <v>2501</v>
      </c>
      <c r="PI1" s="9" t="s">
        <v>2502</v>
      </c>
      <c r="PJ1" s="9" t="s">
        <v>2503</v>
      </c>
      <c r="PK1" s="9" t="s">
        <v>2504</v>
      </c>
      <c r="PL1" s="9" t="s">
        <v>2505</v>
      </c>
      <c r="PM1" s="9" t="s">
        <v>2506</v>
      </c>
      <c r="PN1" s="9" t="s">
        <v>2507</v>
      </c>
      <c r="PO1" s="9" t="s">
        <v>2508</v>
      </c>
      <c r="PP1" s="9" t="s">
        <v>2509</v>
      </c>
      <c r="PQ1" s="9" t="s">
        <v>2510</v>
      </c>
      <c r="PR1" s="9" t="s">
        <v>2511</v>
      </c>
      <c r="PS1" s="9" t="s">
        <v>2512</v>
      </c>
      <c r="PT1" s="9" t="s">
        <v>2513</v>
      </c>
      <c r="PU1" s="9" t="s">
        <v>2514</v>
      </c>
      <c r="PV1" s="9" t="s">
        <v>2515</v>
      </c>
      <c r="PW1" s="9" t="s">
        <v>2516</v>
      </c>
      <c r="PX1" s="9" t="s">
        <v>2517</v>
      </c>
      <c r="PY1" s="9" t="s">
        <v>2518</v>
      </c>
      <c r="PZ1" s="9" t="s">
        <v>2519</v>
      </c>
      <c r="QA1" s="9" t="s">
        <v>2520</v>
      </c>
      <c r="QB1" s="9" t="s">
        <v>2521</v>
      </c>
      <c r="QC1" s="9" t="s">
        <v>2522</v>
      </c>
      <c r="QD1" s="9" t="s">
        <v>2523</v>
      </c>
      <c r="QE1" s="9" t="s">
        <v>2524</v>
      </c>
      <c r="QF1" s="9" t="s">
        <v>2525</v>
      </c>
      <c r="QG1" s="9" t="s">
        <v>2526</v>
      </c>
      <c r="QH1" s="9" t="s">
        <v>2527</v>
      </c>
      <c r="QI1" s="9" t="s">
        <v>2528</v>
      </c>
      <c r="QJ1" s="9" t="s">
        <v>2529</v>
      </c>
      <c r="QK1" s="9" t="s">
        <v>2530</v>
      </c>
      <c r="QL1" s="9" t="s">
        <v>2531</v>
      </c>
      <c r="QM1" s="9" t="s">
        <v>2532</v>
      </c>
      <c r="QN1" s="9" t="s">
        <v>2533</v>
      </c>
      <c r="QO1" s="9" t="s">
        <v>2534</v>
      </c>
      <c r="QP1" s="9" t="s">
        <v>2535</v>
      </c>
      <c r="QQ1" s="9" t="s">
        <v>2536</v>
      </c>
      <c r="QR1" s="9" t="s">
        <v>2537</v>
      </c>
      <c r="QS1" s="9" t="s">
        <v>2538</v>
      </c>
      <c r="QT1" s="9" t="s">
        <v>2539</v>
      </c>
      <c r="QU1" s="9" t="s">
        <v>2540</v>
      </c>
      <c r="QV1" s="9" t="s">
        <v>2541</v>
      </c>
      <c r="QW1" s="9" t="s">
        <v>2542</v>
      </c>
      <c r="QX1" s="9" t="s">
        <v>2543</v>
      </c>
      <c r="QY1" s="9" t="s">
        <v>2544</v>
      </c>
      <c r="QZ1" s="9" t="s">
        <v>2545</v>
      </c>
      <c r="RA1" s="9" t="s">
        <v>2546</v>
      </c>
      <c r="RB1" s="9" t="s">
        <v>2547</v>
      </c>
      <c r="RC1" s="9" t="s">
        <v>2548</v>
      </c>
      <c r="RD1" s="9" t="s">
        <v>2549</v>
      </c>
      <c r="RE1" s="9" t="s">
        <v>2550</v>
      </c>
      <c r="RF1" s="9" t="s">
        <v>2551</v>
      </c>
      <c r="RG1" s="9" t="s">
        <v>2552</v>
      </c>
      <c r="RH1" s="9" t="s">
        <v>2553</v>
      </c>
      <c r="RI1" s="9" t="s">
        <v>2554</v>
      </c>
      <c r="RJ1" s="9" t="s">
        <v>2555</v>
      </c>
      <c r="RK1" s="9" t="s">
        <v>2556</v>
      </c>
      <c r="RL1" s="9" t="s">
        <v>2557</v>
      </c>
      <c r="RM1" s="9" t="s">
        <v>2558</v>
      </c>
      <c r="RN1" s="9" t="s">
        <v>2559</v>
      </c>
      <c r="RO1" s="9" t="s">
        <v>2560</v>
      </c>
      <c r="RP1" s="9" t="s">
        <v>2561</v>
      </c>
      <c r="RQ1" s="9" t="s">
        <v>2562</v>
      </c>
      <c r="RR1" s="9" t="s">
        <v>2563</v>
      </c>
      <c r="RS1" s="9" t="s">
        <v>2564</v>
      </c>
      <c r="RT1" s="9" t="s">
        <v>2565</v>
      </c>
      <c r="RU1" s="9" t="s">
        <v>2566</v>
      </c>
      <c r="RV1" s="9" t="s">
        <v>2567</v>
      </c>
      <c r="RW1" s="9" t="s">
        <v>2568</v>
      </c>
      <c r="RX1" s="9" t="s">
        <v>2569</v>
      </c>
      <c r="RY1" s="9" t="s">
        <v>2570</v>
      </c>
      <c r="RZ1" s="9" t="s">
        <v>2571</v>
      </c>
      <c r="SA1" s="9" t="s">
        <v>2572</v>
      </c>
      <c r="SB1" s="9" t="s">
        <v>2573</v>
      </c>
      <c r="SC1" s="9" t="s">
        <v>2574</v>
      </c>
      <c r="SD1" s="9" t="s">
        <v>2575</v>
      </c>
      <c r="SE1" s="9" t="s">
        <v>2576</v>
      </c>
      <c r="SF1" s="9" t="s">
        <v>2577</v>
      </c>
      <c r="SG1" s="9" t="s">
        <v>2578</v>
      </c>
      <c r="SH1" s="9" t="s">
        <v>2579</v>
      </c>
      <c r="SI1" s="9" t="s">
        <v>2580</v>
      </c>
      <c r="SJ1" s="9" t="s">
        <v>2581</v>
      </c>
      <c r="SK1" s="9" t="s">
        <v>2582</v>
      </c>
      <c r="SL1" s="9" t="s">
        <v>2583</v>
      </c>
      <c r="SM1" s="9" t="s">
        <v>2584</v>
      </c>
      <c r="SN1" s="9" t="s">
        <v>2585</v>
      </c>
      <c r="SO1" s="9" t="s">
        <v>2586</v>
      </c>
      <c r="SP1" s="9" t="s">
        <v>2587</v>
      </c>
      <c r="SQ1" s="9" t="s">
        <v>2588</v>
      </c>
      <c r="SR1" s="9" t="s">
        <v>2589</v>
      </c>
      <c r="SS1" s="9" t="s">
        <v>2590</v>
      </c>
      <c r="ST1" s="9" t="s">
        <v>2591</v>
      </c>
      <c r="SU1" s="9" t="s">
        <v>2592</v>
      </c>
      <c r="SV1" s="9" t="s">
        <v>2593</v>
      </c>
      <c r="SW1" s="9" t="s">
        <v>2594</v>
      </c>
      <c r="SX1" s="9" t="s">
        <v>2595</v>
      </c>
      <c r="SY1" s="9" t="s">
        <v>2596</v>
      </c>
      <c r="SZ1" s="9" t="s">
        <v>2597</v>
      </c>
      <c r="TA1" s="9" t="s">
        <v>2598</v>
      </c>
      <c r="TB1" s="9" t="s">
        <v>2599</v>
      </c>
      <c r="TC1" s="9" t="s">
        <v>2600</v>
      </c>
      <c r="TD1" s="9" t="s">
        <v>2601</v>
      </c>
      <c r="TE1" s="9" t="s">
        <v>2602</v>
      </c>
      <c r="TF1" s="9" t="s">
        <v>2603</v>
      </c>
      <c r="TG1" s="9" t="s">
        <v>2604</v>
      </c>
      <c r="TH1" s="9" t="s">
        <v>2605</v>
      </c>
      <c r="TI1" s="9" t="s">
        <v>2606</v>
      </c>
      <c r="TJ1" s="9" t="s">
        <v>2607</v>
      </c>
      <c r="TK1" s="9" t="s">
        <v>2608</v>
      </c>
      <c r="TL1" s="9" t="s">
        <v>2609</v>
      </c>
      <c r="TM1" s="9" t="s">
        <v>2610</v>
      </c>
      <c r="TN1" s="9" t="s">
        <v>2611</v>
      </c>
      <c r="TO1" s="9" t="s">
        <v>2612</v>
      </c>
      <c r="TP1" s="9" t="s">
        <v>2613</v>
      </c>
      <c r="TQ1" s="9" t="s">
        <v>2614</v>
      </c>
      <c r="TR1" s="9" t="s">
        <v>2615</v>
      </c>
      <c r="TS1" s="9" t="s">
        <v>2616</v>
      </c>
      <c r="TT1" s="9" t="s">
        <v>2617</v>
      </c>
      <c r="TU1" s="9" t="s">
        <v>2618</v>
      </c>
      <c r="TV1" s="9" t="s">
        <v>2619</v>
      </c>
      <c r="TW1" s="9" t="s">
        <v>2620</v>
      </c>
      <c r="TX1" s="9" t="s">
        <v>2621</v>
      </c>
      <c r="TY1" s="9" t="s">
        <v>2622</v>
      </c>
      <c r="TZ1" s="9" t="s">
        <v>2623</v>
      </c>
      <c r="UA1" s="9" t="s">
        <v>2624</v>
      </c>
      <c r="UB1" s="9" t="s">
        <v>2625</v>
      </c>
      <c r="UC1" s="9" t="s">
        <v>2626</v>
      </c>
      <c r="UD1" s="9" t="s">
        <v>2627</v>
      </c>
      <c r="UE1" s="9" t="s">
        <v>2628</v>
      </c>
      <c r="UF1" s="9" t="s">
        <v>2629</v>
      </c>
      <c r="UG1" s="9" t="s">
        <v>2630</v>
      </c>
      <c r="UH1" s="9" t="s">
        <v>2631</v>
      </c>
      <c r="UI1" s="9" t="s">
        <v>2632</v>
      </c>
      <c r="UJ1" s="9" t="s">
        <v>2633</v>
      </c>
      <c r="UK1" s="9" t="s">
        <v>2634</v>
      </c>
      <c r="UL1" s="9" t="s">
        <v>2635</v>
      </c>
      <c r="UM1" s="9" t="s">
        <v>2636</v>
      </c>
      <c r="UN1" s="9" t="s">
        <v>2637</v>
      </c>
      <c r="UO1" s="9" t="s">
        <v>2638</v>
      </c>
      <c r="UP1" s="9" t="s">
        <v>2639</v>
      </c>
      <c r="UQ1" s="9" t="s">
        <v>2640</v>
      </c>
      <c r="UR1" s="9" t="s">
        <v>2641</v>
      </c>
      <c r="US1" s="9" t="s">
        <v>2642</v>
      </c>
      <c r="UT1" s="9" t="s">
        <v>2643</v>
      </c>
      <c r="UU1" s="9" t="s">
        <v>2644</v>
      </c>
      <c r="UV1" s="9" t="s">
        <v>2645</v>
      </c>
      <c r="UW1" s="9" t="s">
        <v>2646</v>
      </c>
      <c r="UX1" s="9" t="s">
        <v>2647</v>
      </c>
      <c r="UY1" s="9" t="s">
        <v>2648</v>
      </c>
      <c r="UZ1" s="9" t="s">
        <v>2649</v>
      </c>
      <c r="VA1" s="9" t="s">
        <v>2650</v>
      </c>
      <c r="VB1" s="9" t="s">
        <v>2651</v>
      </c>
      <c r="VC1" s="9" t="s">
        <v>2652</v>
      </c>
      <c r="VD1" s="9" t="s">
        <v>2653</v>
      </c>
      <c r="VE1" s="9" t="s">
        <v>2654</v>
      </c>
      <c r="VF1" s="9" t="s">
        <v>2655</v>
      </c>
      <c r="VG1" s="9" t="s">
        <v>2656</v>
      </c>
      <c r="VH1" s="9" t="s">
        <v>2657</v>
      </c>
      <c r="VI1" s="9" t="s">
        <v>2658</v>
      </c>
      <c r="VJ1" s="9" t="s">
        <v>2659</v>
      </c>
      <c r="VK1" s="9" t="s">
        <v>2660</v>
      </c>
      <c r="VL1" s="9" t="s">
        <v>2661</v>
      </c>
      <c r="VM1" s="9" t="s">
        <v>2662</v>
      </c>
      <c r="VN1" s="9" t="s">
        <v>2663</v>
      </c>
      <c r="VO1" s="9" t="s">
        <v>2664</v>
      </c>
      <c r="VP1" s="9" t="s">
        <v>2665</v>
      </c>
      <c r="VQ1" s="9" t="s">
        <v>2666</v>
      </c>
      <c r="VR1" s="9" t="s">
        <v>2667</v>
      </c>
      <c r="VS1" s="9" t="s">
        <v>2668</v>
      </c>
      <c r="VT1" s="9" t="s">
        <v>2669</v>
      </c>
      <c r="VU1" s="9" t="s">
        <v>2670</v>
      </c>
      <c r="VV1" s="9" t="s">
        <v>2671</v>
      </c>
      <c r="VW1" s="9" t="s">
        <v>2672</v>
      </c>
      <c r="VX1" s="9" t="s">
        <v>2673</v>
      </c>
      <c r="VY1" s="9" t="s">
        <v>2674</v>
      </c>
      <c r="VZ1" s="9" t="s">
        <v>2675</v>
      </c>
      <c r="WA1" s="9" t="s">
        <v>2676</v>
      </c>
      <c r="WB1" s="9" t="s">
        <v>2677</v>
      </c>
      <c r="WC1" s="9" t="s">
        <v>2678</v>
      </c>
      <c r="WD1" s="9" t="s">
        <v>2679</v>
      </c>
      <c r="WE1" s="9" t="s">
        <v>2680</v>
      </c>
      <c r="WF1" s="9" t="s">
        <v>2681</v>
      </c>
      <c r="WG1" s="9" t="s">
        <v>2682</v>
      </c>
      <c r="WH1" s="9" t="s">
        <v>2683</v>
      </c>
      <c r="WI1" s="9" t="s">
        <v>2684</v>
      </c>
      <c r="WJ1" s="9" t="s">
        <v>2685</v>
      </c>
      <c r="WK1" s="9" t="s">
        <v>2686</v>
      </c>
      <c r="WL1" s="9" t="s">
        <v>2687</v>
      </c>
      <c r="WM1" s="9" t="s">
        <v>2688</v>
      </c>
      <c r="WN1" s="9" t="s">
        <v>2689</v>
      </c>
      <c r="WO1" s="9" t="s">
        <v>2690</v>
      </c>
      <c r="WP1" s="9" t="s">
        <v>2691</v>
      </c>
      <c r="WQ1" s="9" t="s">
        <v>2692</v>
      </c>
      <c r="WR1" s="9" t="s">
        <v>2693</v>
      </c>
      <c r="WS1" s="9" t="s">
        <v>2694</v>
      </c>
      <c r="WT1" s="9" t="s">
        <v>2695</v>
      </c>
      <c r="WU1" s="9" t="s">
        <v>2696</v>
      </c>
      <c r="WV1" s="9" t="s">
        <v>2697</v>
      </c>
      <c r="WW1" s="9" t="s">
        <v>2698</v>
      </c>
      <c r="WX1" s="9" t="s">
        <v>2699</v>
      </c>
      <c r="WY1" s="9" t="s">
        <v>2700</v>
      </c>
      <c r="WZ1" s="9" t="s">
        <v>2701</v>
      </c>
      <c r="XA1" s="9" t="s">
        <v>2702</v>
      </c>
      <c r="XB1" s="9" t="s">
        <v>2703</v>
      </c>
      <c r="XC1" s="9" t="s">
        <v>2704</v>
      </c>
      <c r="XD1" s="9" t="s">
        <v>2705</v>
      </c>
      <c r="XE1" s="9" t="s">
        <v>2706</v>
      </c>
      <c r="XF1" s="9" t="s">
        <v>2707</v>
      </c>
      <c r="XG1" s="9" t="s">
        <v>2708</v>
      </c>
      <c r="XH1" s="9" t="s">
        <v>2709</v>
      </c>
      <c r="XI1" s="9" t="s">
        <v>2710</v>
      </c>
      <c r="XJ1" s="9" t="s">
        <v>2711</v>
      </c>
      <c r="XK1" s="9" t="s">
        <v>2712</v>
      </c>
      <c r="XL1" s="9" t="s">
        <v>2713</v>
      </c>
      <c r="XM1" s="9" t="s">
        <v>2714</v>
      </c>
      <c r="XN1" s="9" t="s">
        <v>2715</v>
      </c>
      <c r="XO1" s="9" t="s">
        <v>2716</v>
      </c>
      <c r="XP1" s="9" t="s">
        <v>2717</v>
      </c>
      <c r="XQ1" s="9" t="s">
        <v>2718</v>
      </c>
      <c r="XR1" s="9" t="s">
        <v>2719</v>
      </c>
      <c r="XS1" s="9" t="s">
        <v>2720</v>
      </c>
      <c r="XT1" s="9" t="s">
        <v>2721</v>
      </c>
      <c r="XU1" s="9" t="s">
        <v>2722</v>
      </c>
      <c r="XV1" s="9" t="s">
        <v>2723</v>
      </c>
      <c r="XW1" s="9" t="s">
        <v>2724</v>
      </c>
      <c r="XX1" s="9" t="s">
        <v>2725</v>
      </c>
      <c r="XY1" s="9" t="s">
        <v>2726</v>
      </c>
      <c r="XZ1" s="9" t="s">
        <v>2727</v>
      </c>
      <c r="YA1" s="9" t="s">
        <v>2728</v>
      </c>
      <c r="YB1" s="9" t="s">
        <v>2729</v>
      </c>
      <c r="YC1" s="9" t="s">
        <v>2730</v>
      </c>
      <c r="YD1" s="9" t="s">
        <v>2731</v>
      </c>
      <c r="YE1" s="9" t="s">
        <v>2732</v>
      </c>
      <c r="YF1" s="9" t="s">
        <v>2733</v>
      </c>
      <c r="YG1" s="9" t="s">
        <v>2734</v>
      </c>
      <c r="YH1" s="9" t="s">
        <v>2735</v>
      </c>
      <c r="YI1" s="9" t="s">
        <v>2736</v>
      </c>
      <c r="YJ1" s="9" t="s">
        <v>2737</v>
      </c>
      <c r="YK1" s="9" t="s">
        <v>2738</v>
      </c>
      <c r="YL1" s="9" t="s">
        <v>2739</v>
      </c>
      <c r="YM1" s="9" t="s">
        <v>2740</v>
      </c>
      <c r="YN1" s="9" t="s">
        <v>2741</v>
      </c>
      <c r="YO1" s="9" t="s">
        <v>2742</v>
      </c>
      <c r="YP1" s="9" t="s">
        <v>2743</v>
      </c>
      <c r="YQ1" s="9" t="s">
        <v>2744</v>
      </c>
      <c r="YR1" s="9" t="s">
        <v>2745</v>
      </c>
      <c r="YS1" s="9" t="s">
        <v>2746</v>
      </c>
      <c r="YT1" s="9" t="s">
        <v>2747</v>
      </c>
      <c r="YU1" s="9" t="s">
        <v>2748</v>
      </c>
      <c r="YV1" s="9" t="s">
        <v>2749</v>
      </c>
      <c r="YW1" s="9" t="s">
        <v>2750</v>
      </c>
      <c r="YX1" s="9" t="s">
        <v>2751</v>
      </c>
      <c r="YY1" s="9" t="s">
        <v>2752</v>
      </c>
      <c r="YZ1" s="9" t="s">
        <v>2753</v>
      </c>
      <c r="ZA1" s="9" t="s">
        <v>2754</v>
      </c>
      <c r="ZB1" s="9" t="s">
        <v>2755</v>
      </c>
      <c r="ZC1" s="9" t="s">
        <v>2756</v>
      </c>
      <c r="ZD1" s="9" t="s">
        <v>2757</v>
      </c>
      <c r="ZE1" s="9" t="s">
        <v>2758</v>
      </c>
      <c r="ZF1" s="9" t="s">
        <v>2759</v>
      </c>
      <c r="ZG1" s="9" t="s">
        <v>2760</v>
      </c>
      <c r="ZH1" s="9" t="s">
        <v>2761</v>
      </c>
      <c r="ZI1" s="9" t="s">
        <v>2762</v>
      </c>
      <c r="ZJ1" s="9" t="s">
        <v>2763</v>
      </c>
      <c r="ZK1" s="9" t="s">
        <v>2764</v>
      </c>
      <c r="ZL1" s="9" t="s">
        <v>2765</v>
      </c>
      <c r="ZM1" s="9" t="s">
        <v>2766</v>
      </c>
      <c r="ZN1" s="9" t="s">
        <v>2767</v>
      </c>
      <c r="ZO1" s="9" t="s">
        <v>2768</v>
      </c>
      <c r="ZP1" s="9" t="s">
        <v>2769</v>
      </c>
      <c r="ZQ1" s="9" t="s">
        <v>2770</v>
      </c>
      <c r="ZR1" s="9" t="s">
        <v>2771</v>
      </c>
      <c r="ZS1" s="9" t="s">
        <v>2772</v>
      </c>
      <c r="ZT1" s="9" t="s">
        <v>2773</v>
      </c>
      <c r="ZU1" s="9" t="s">
        <v>2774</v>
      </c>
      <c r="ZV1" s="9" t="s">
        <v>2775</v>
      </c>
      <c r="ZW1" s="9" t="s">
        <v>2776</v>
      </c>
      <c r="ZX1" s="9" t="s">
        <v>2777</v>
      </c>
      <c r="ZY1" s="9" t="s">
        <v>2778</v>
      </c>
      <c r="ZZ1" s="9" t="s">
        <v>2779</v>
      </c>
      <c r="AAA1" s="9" t="s">
        <v>2780</v>
      </c>
      <c r="AAB1" s="9" t="s">
        <v>2781</v>
      </c>
      <c r="AAC1" s="9" t="s">
        <v>2782</v>
      </c>
      <c r="AAD1" s="9" t="s">
        <v>2783</v>
      </c>
      <c r="AAE1" s="9" t="s">
        <v>2784</v>
      </c>
      <c r="AAF1" s="9" t="s">
        <v>2785</v>
      </c>
      <c r="AAG1" s="9" t="s">
        <v>2786</v>
      </c>
      <c r="AAH1" s="9" t="s">
        <v>2787</v>
      </c>
      <c r="AAI1" s="9" t="s">
        <v>2788</v>
      </c>
      <c r="AAJ1" s="9" t="s">
        <v>2789</v>
      </c>
      <c r="AAK1" s="9" t="s">
        <v>2790</v>
      </c>
      <c r="AAL1" s="9" t="s">
        <v>2791</v>
      </c>
      <c r="AAM1" s="9" t="s">
        <v>2792</v>
      </c>
      <c r="AAN1" s="9" t="s">
        <v>2793</v>
      </c>
      <c r="AAO1" s="9" t="s">
        <v>2794</v>
      </c>
      <c r="AAP1" s="9" t="s">
        <v>2795</v>
      </c>
      <c r="AAQ1" s="9" t="s">
        <v>2796</v>
      </c>
      <c r="AAR1" s="9" t="s">
        <v>2797</v>
      </c>
      <c r="AAS1" s="9" t="s">
        <v>2798</v>
      </c>
      <c r="AAT1" s="9" t="s">
        <v>2799</v>
      </c>
      <c r="AAU1" s="9" t="s">
        <v>2800</v>
      </c>
      <c r="AAV1" s="9" t="s">
        <v>2801</v>
      </c>
      <c r="AAW1" s="9" t="s">
        <v>2802</v>
      </c>
      <c r="AAX1" s="9" t="s">
        <v>2803</v>
      </c>
      <c r="AAY1" s="9" t="s">
        <v>2804</v>
      </c>
      <c r="AAZ1" s="9" t="s">
        <v>2805</v>
      </c>
      <c r="ABA1" s="9" t="s">
        <v>2806</v>
      </c>
      <c r="ABB1" s="9" t="s">
        <v>2807</v>
      </c>
      <c r="ABC1" s="9" t="s">
        <v>2808</v>
      </c>
      <c r="ABD1" s="9" t="s">
        <v>2809</v>
      </c>
      <c r="ABE1" s="9" t="s">
        <v>2810</v>
      </c>
      <c r="ABF1" s="9" t="s">
        <v>2811</v>
      </c>
      <c r="ABG1" s="9" t="s">
        <v>2812</v>
      </c>
      <c r="ABH1" s="9" t="s">
        <v>2813</v>
      </c>
      <c r="ABI1" s="9" t="s">
        <v>2814</v>
      </c>
      <c r="ABJ1" s="9" t="s">
        <v>2815</v>
      </c>
      <c r="ABK1" s="9" t="s">
        <v>2816</v>
      </c>
      <c r="ABL1" s="9" t="s">
        <v>2817</v>
      </c>
      <c r="ABM1" s="9" t="s">
        <v>2818</v>
      </c>
      <c r="ABN1" s="9" t="s">
        <v>2819</v>
      </c>
      <c r="ABO1" s="9" t="s">
        <v>2820</v>
      </c>
      <c r="ABP1" s="9" t="s">
        <v>2821</v>
      </c>
      <c r="ABQ1" s="9" t="s">
        <v>2822</v>
      </c>
      <c r="ABR1" s="9" t="s">
        <v>2823</v>
      </c>
      <c r="ABS1" s="9" t="s">
        <v>2824</v>
      </c>
      <c r="ABT1" s="9" t="s">
        <v>2825</v>
      </c>
      <c r="ABU1" s="9" t="s">
        <v>2826</v>
      </c>
      <c r="ABV1" s="9" t="s">
        <v>2827</v>
      </c>
      <c r="ABW1" s="9" t="s">
        <v>2828</v>
      </c>
      <c r="ABX1" s="9" t="s">
        <v>2829</v>
      </c>
      <c r="ABY1" s="9" t="s">
        <v>2830</v>
      </c>
      <c r="ABZ1" s="9" t="s">
        <v>2831</v>
      </c>
      <c r="ACA1" s="9" t="s">
        <v>2832</v>
      </c>
      <c r="ACB1" s="9" t="s">
        <v>2833</v>
      </c>
      <c r="ACC1" s="9" t="s">
        <v>2834</v>
      </c>
      <c r="ACD1" s="9" t="s">
        <v>2835</v>
      </c>
      <c r="ACE1" s="9" t="s">
        <v>2836</v>
      </c>
      <c r="ACF1" s="9" t="s">
        <v>2837</v>
      </c>
      <c r="ACG1" s="9" t="s">
        <v>2838</v>
      </c>
      <c r="ACH1" s="9" t="s">
        <v>2839</v>
      </c>
      <c r="ACI1" s="9" t="s">
        <v>2840</v>
      </c>
      <c r="ACJ1" s="9" t="s">
        <v>2841</v>
      </c>
      <c r="ACK1" s="9" t="s">
        <v>2842</v>
      </c>
      <c r="ACL1" s="9" t="s">
        <v>2843</v>
      </c>
      <c r="ACM1" s="9" t="s">
        <v>2844</v>
      </c>
      <c r="ACN1" s="9" t="s">
        <v>2845</v>
      </c>
      <c r="ACO1" s="9" t="s">
        <v>2846</v>
      </c>
      <c r="ACP1" s="9" t="s">
        <v>2847</v>
      </c>
      <c r="ACQ1" s="9" t="s">
        <v>2848</v>
      </c>
      <c r="ACR1" s="9" t="s">
        <v>2849</v>
      </c>
      <c r="ACS1" s="9" t="s">
        <v>2850</v>
      </c>
      <c r="ACT1" s="9" t="s">
        <v>2851</v>
      </c>
      <c r="ACU1" s="9" t="s">
        <v>2852</v>
      </c>
      <c r="ACV1" s="9" t="s">
        <v>2853</v>
      </c>
      <c r="ACW1" s="9" t="s">
        <v>2854</v>
      </c>
      <c r="ACX1" s="9" t="s">
        <v>2855</v>
      </c>
      <c r="ACY1" s="9" t="s">
        <v>2856</v>
      </c>
      <c r="ACZ1" s="9" t="s">
        <v>2857</v>
      </c>
      <c r="ADA1" s="9" t="s">
        <v>2858</v>
      </c>
      <c r="ADB1" s="9" t="s">
        <v>2859</v>
      </c>
      <c r="ADC1" s="9" t="s">
        <v>2860</v>
      </c>
      <c r="ADD1" s="9" t="s">
        <v>2861</v>
      </c>
      <c r="ADE1" s="9" t="s">
        <v>2862</v>
      </c>
      <c r="ADF1" s="9" t="s">
        <v>2863</v>
      </c>
      <c r="ADG1" s="9" t="s">
        <v>2864</v>
      </c>
      <c r="ADH1" s="9" t="s">
        <v>2865</v>
      </c>
      <c r="ADI1" s="9" t="s">
        <v>2866</v>
      </c>
      <c r="ADJ1" s="9" t="s">
        <v>2867</v>
      </c>
      <c r="ADK1" s="9" t="s">
        <v>2868</v>
      </c>
      <c r="ADL1" s="9" t="s">
        <v>2869</v>
      </c>
      <c r="ADM1" s="9" t="s">
        <v>2870</v>
      </c>
      <c r="ADN1" s="9" t="s">
        <v>2871</v>
      </c>
      <c r="ADO1" s="9" t="s">
        <v>2872</v>
      </c>
      <c r="ADP1" s="9" t="s">
        <v>2873</v>
      </c>
      <c r="ADQ1" s="9" t="s">
        <v>2874</v>
      </c>
      <c r="ADR1" s="9" t="s">
        <v>2875</v>
      </c>
      <c r="ADS1" s="9" t="s">
        <v>2876</v>
      </c>
      <c r="ADT1" s="9" t="s">
        <v>2877</v>
      </c>
      <c r="ADU1" s="9" t="s">
        <v>2878</v>
      </c>
      <c r="ADV1" s="9" t="s">
        <v>2879</v>
      </c>
      <c r="ADW1" s="9" t="s">
        <v>2880</v>
      </c>
      <c r="ADX1" s="9" t="s">
        <v>2881</v>
      </c>
      <c r="ADY1" s="9" t="s">
        <v>2882</v>
      </c>
      <c r="ADZ1" s="9" t="s">
        <v>2883</v>
      </c>
      <c r="AEA1" s="9" t="s">
        <v>2884</v>
      </c>
      <c r="AEB1" s="9" t="s">
        <v>2885</v>
      </c>
      <c r="AEC1" s="9" t="s">
        <v>2886</v>
      </c>
      <c r="AED1" s="9" t="s">
        <v>2887</v>
      </c>
      <c r="AEE1" s="9" t="s">
        <v>2888</v>
      </c>
      <c r="AEF1" s="9" t="s">
        <v>2889</v>
      </c>
      <c r="AEG1" s="9" t="s">
        <v>2890</v>
      </c>
      <c r="AEH1" s="9" t="s">
        <v>2891</v>
      </c>
      <c r="AEI1" s="9" t="s">
        <v>2892</v>
      </c>
      <c r="AEJ1" s="9" t="s">
        <v>2893</v>
      </c>
      <c r="AEK1" s="9" t="s">
        <v>2894</v>
      </c>
      <c r="AEL1" s="9" t="s">
        <v>2895</v>
      </c>
      <c r="AEM1" s="9" t="s">
        <v>2896</v>
      </c>
      <c r="AEN1" s="9" t="s">
        <v>2897</v>
      </c>
      <c r="AEO1" s="9" t="s">
        <v>2898</v>
      </c>
      <c r="AEP1" s="9" t="s">
        <v>2899</v>
      </c>
      <c r="AEQ1" s="9" t="s">
        <v>2900</v>
      </c>
      <c r="AER1" s="9" t="s">
        <v>2901</v>
      </c>
      <c r="AES1" s="9" t="s">
        <v>2902</v>
      </c>
      <c r="AET1" s="9" t="s">
        <v>2903</v>
      </c>
      <c r="AEU1" s="9" t="s">
        <v>2904</v>
      </c>
      <c r="AEV1" s="9" t="s">
        <v>2905</v>
      </c>
      <c r="AEW1" s="9" t="s">
        <v>2906</v>
      </c>
      <c r="AEX1" s="9" t="s">
        <v>2907</v>
      </c>
      <c r="AEY1" s="9" t="s">
        <v>2908</v>
      </c>
      <c r="AEZ1" s="9" t="s">
        <v>2909</v>
      </c>
      <c r="AFA1" s="9" t="s">
        <v>2910</v>
      </c>
      <c r="AFB1" s="9" t="s">
        <v>2911</v>
      </c>
      <c r="AFC1" s="9" t="s">
        <v>2912</v>
      </c>
      <c r="AFD1" s="9" t="s">
        <v>2913</v>
      </c>
      <c r="AFE1" s="9" t="s">
        <v>2914</v>
      </c>
      <c r="AFF1" s="9" t="s">
        <v>2915</v>
      </c>
      <c r="AFG1" s="9" t="s">
        <v>2916</v>
      </c>
      <c r="AFH1" s="9" t="s">
        <v>2917</v>
      </c>
      <c r="AFI1" s="9" t="s">
        <v>2918</v>
      </c>
      <c r="AFJ1" s="9" t="s">
        <v>2919</v>
      </c>
      <c r="AFK1" s="9" t="s">
        <v>2920</v>
      </c>
      <c r="AFL1" s="9" t="s">
        <v>2921</v>
      </c>
      <c r="AFM1" s="9" t="s">
        <v>2922</v>
      </c>
      <c r="AFN1" s="9" t="s">
        <v>2923</v>
      </c>
      <c r="AFO1" s="9" t="s">
        <v>2924</v>
      </c>
      <c r="AFP1" s="9" t="s">
        <v>2925</v>
      </c>
      <c r="AFQ1" s="9" t="s">
        <v>2926</v>
      </c>
      <c r="AFR1" s="9" t="s">
        <v>2927</v>
      </c>
      <c r="AFS1" s="9" t="s">
        <v>2928</v>
      </c>
      <c r="AFT1" s="9" t="s">
        <v>2929</v>
      </c>
      <c r="AFU1" s="9" t="s">
        <v>2930</v>
      </c>
      <c r="AFV1" s="9" t="s">
        <v>2931</v>
      </c>
      <c r="AFW1" s="9" t="s">
        <v>2932</v>
      </c>
      <c r="AFX1" s="9" t="s">
        <v>2933</v>
      </c>
      <c r="AFY1" s="9" t="s">
        <v>2934</v>
      </c>
      <c r="AFZ1" s="9" t="s">
        <v>2935</v>
      </c>
      <c r="AGA1" s="9" t="s">
        <v>2936</v>
      </c>
      <c r="AGB1" s="9" t="s">
        <v>2937</v>
      </c>
      <c r="AGC1" s="9" t="s">
        <v>2938</v>
      </c>
      <c r="AGD1" s="9" t="s">
        <v>2939</v>
      </c>
      <c r="AGE1" s="9" t="s">
        <v>2940</v>
      </c>
      <c r="AGF1" s="9" t="s">
        <v>2941</v>
      </c>
      <c r="AGG1" s="9" t="s">
        <v>2942</v>
      </c>
      <c r="AGH1" s="9" t="s">
        <v>2943</v>
      </c>
      <c r="AGI1" s="9" t="s">
        <v>2944</v>
      </c>
      <c r="AGJ1" s="9" t="s">
        <v>2945</v>
      </c>
      <c r="AGK1" s="9" t="s">
        <v>2946</v>
      </c>
      <c r="AGL1" s="9" t="s">
        <v>2947</v>
      </c>
      <c r="AGM1" s="9" t="s">
        <v>2948</v>
      </c>
      <c r="AGN1" s="9" t="s">
        <v>2949</v>
      </c>
      <c r="AGO1" s="9" t="s">
        <v>2950</v>
      </c>
      <c r="AGP1" s="9" t="s">
        <v>2951</v>
      </c>
      <c r="AGQ1" s="9" t="s">
        <v>2952</v>
      </c>
      <c r="AGR1" s="9" t="s">
        <v>2953</v>
      </c>
      <c r="AGS1" s="9" t="s">
        <v>2954</v>
      </c>
      <c r="AGT1" s="9" t="s">
        <v>2955</v>
      </c>
      <c r="AGU1" s="9" t="s">
        <v>2956</v>
      </c>
      <c r="AGV1" s="9" t="s">
        <v>2957</v>
      </c>
      <c r="AGW1" s="9" t="s">
        <v>2958</v>
      </c>
      <c r="AGX1" s="9" t="s">
        <v>2959</v>
      </c>
      <c r="AGY1" s="9" t="s">
        <v>2960</v>
      </c>
      <c r="AGZ1" s="9" t="s">
        <v>2961</v>
      </c>
      <c r="AHA1" s="9" t="s">
        <v>2962</v>
      </c>
      <c r="AHB1" s="9" t="s">
        <v>2963</v>
      </c>
      <c r="AHC1" s="9" t="s">
        <v>2964</v>
      </c>
      <c r="AHD1" s="9" t="s">
        <v>2965</v>
      </c>
      <c r="AHE1" s="9" t="s">
        <v>2966</v>
      </c>
      <c r="AHF1" s="9" t="s">
        <v>2967</v>
      </c>
      <c r="AHG1" s="9" t="s">
        <v>2968</v>
      </c>
      <c r="AHH1" s="9" t="s">
        <v>2969</v>
      </c>
      <c r="AHI1" s="9" t="s">
        <v>2970</v>
      </c>
      <c r="AHJ1" s="9" t="s">
        <v>2971</v>
      </c>
      <c r="AHK1" s="9" t="s">
        <v>2972</v>
      </c>
      <c r="AHL1" s="9" t="s">
        <v>2973</v>
      </c>
      <c r="AHM1" s="9" t="s">
        <v>2974</v>
      </c>
      <c r="AHN1" s="9" t="s">
        <v>2975</v>
      </c>
      <c r="AHO1" s="9" t="s">
        <v>2976</v>
      </c>
      <c r="AHP1" s="9" t="s">
        <v>2977</v>
      </c>
      <c r="AHQ1" s="9" t="s">
        <v>2978</v>
      </c>
      <c r="AHR1" s="9" t="s">
        <v>2979</v>
      </c>
      <c r="AHS1" s="9" t="s">
        <v>2980</v>
      </c>
      <c r="AHT1" s="9" t="s">
        <v>2981</v>
      </c>
      <c r="AHU1" s="9" t="s">
        <v>2982</v>
      </c>
      <c r="AHV1" s="9" t="s">
        <v>2983</v>
      </c>
      <c r="AHW1" s="9" t="s">
        <v>2984</v>
      </c>
      <c r="AHX1" s="9" t="s">
        <v>2985</v>
      </c>
      <c r="AHY1" s="9" t="s">
        <v>2986</v>
      </c>
      <c r="AHZ1" s="9" t="s">
        <v>2987</v>
      </c>
      <c r="AIA1" s="9" t="s">
        <v>2988</v>
      </c>
      <c r="AIB1" s="9" t="s">
        <v>2989</v>
      </c>
      <c r="AIC1" s="9" t="s">
        <v>2990</v>
      </c>
      <c r="AID1" s="9" t="s">
        <v>2991</v>
      </c>
      <c r="AIE1" s="9" t="s">
        <v>2992</v>
      </c>
      <c r="AIF1" s="9" t="s">
        <v>2993</v>
      </c>
      <c r="AIG1" s="9" t="s">
        <v>2994</v>
      </c>
      <c r="AIH1" s="9" t="s">
        <v>2995</v>
      </c>
      <c r="AII1" s="9" t="s">
        <v>2996</v>
      </c>
      <c r="AIJ1" s="9" t="s">
        <v>2997</v>
      </c>
      <c r="AIK1" s="9" t="s">
        <v>2998</v>
      </c>
      <c r="AIL1" s="9" t="s">
        <v>2999</v>
      </c>
      <c r="AIM1" s="9" t="s">
        <v>3000</v>
      </c>
      <c r="AIN1" s="9" t="s">
        <v>3001</v>
      </c>
      <c r="AIO1" s="9" t="s">
        <v>3002</v>
      </c>
      <c r="AIP1" s="9" t="s">
        <v>3003</v>
      </c>
      <c r="AIQ1" s="9" t="s">
        <v>3004</v>
      </c>
      <c r="AIR1" s="9" t="s">
        <v>3005</v>
      </c>
      <c r="AIS1" s="9" t="s">
        <v>3006</v>
      </c>
      <c r="AIT1" s="9" t="s">
        <v>3007</v>
      </c>
      <c r="AIU1" s="9" t="s">
        <v>3008</v>
      </c>
      <c r="AIV1" s="9" t="s">
        <v>3009</v>
      </c>
      <c r="AIW1" s="9" t="s">
        <v>3010</v>
      </c>
      <c r="AIX1" s="9" t="s">
        <v>3011</v>
      </c>
      <c r="AIY1" s="9" t="s">
        <v>3012</v>
      </c>
      <c r="AIZ1" s="9" t="s">
        <v>3013</v>
      </c>
      <c r="AJA1" s="9" t="s">
        <v>3014</v>
      </c>
      <c r="AJB1" s="9" t="s">
        <v>3015</v>
      </c>
      <c r="AJC1" s="9" t="s">
        <v>3016</v>
      </c>
      <c r="AJD1" s="9" t="s">
        <v>3017</v>
      </c>
      <c r="AJE1" s="9" t="s">
        <v>3018</v>
      </c>
      <c r="AJF1" s="9" t="s">
        <v>3019</v>
      </c>
      <c r="AJG1" s="9" t="s">
        <v>3020</v>
      </c>
      <c r="AJH1" s="9" t="s">
        <v>3021</v>
      </c>
      <c r="AJI1" s="9" t="s">
        <v>3022</v>
      </c>
      <c r="AJJ1" s="9" t="s">
        <v>3023</v>
      </c>
      <c r="AJK1" s="9" t="s">
        <v>3024</v>
      </c>
      <c r="AJL1" s="9" t="s">
        <v>3025</v>
      </c>
      <c r="AJM1" s="9" t="s">
        <v>3026</v>
      </c>
      <c r="AJN1" s="9" t="s">
        <v>3027</v>
      </c>
      <c r="AJO1" s="9" t="s">
        <v>3028</v>
      </c>
      <c r="AJP1" s="9" t="s">
        <v>3029</v>
      </c>
      <c r="AJQ1" s="9" t="s">
        <v>3030</v>
      </c>
      <c r="AJR1" s="9" t="s">
        <v>3031</v>
      </c>
      <c r="AJS1" s="9" t="s">
        <v>3032</v>
      </c>
      <c r="AJT1" s="9" t="s">
        <v>3033</v>
      </c>
      <c r="AJU1" s="9" t="s">
        <v>3034</v>
      </c>
      <c r="AJV1" s="9" t="s">
        <v>3035</v>
      </c>
      <c r="AJW1" s="9" t="s">
        <v>3036</v>
      </c>
      <c r="AJX1" s="9" t="s">
        <v>3037</v>
      </c>
      <c r="AJY1" s="9" t="s">
        <v>3038</v>
      </c>
      <c r="AJZ1" s="9" t="s">
        <v>3039</v>
      </c>
      <c r="AKA1" s="9" t="s">
        <v>3040</v>
      </c>
      <c r="AKB1" s="9" t="s">
        <v>3041</v>
      </c>
      <c r="AKC1" s="9" t="s">
        <v>3042</v>
      </c>
      <c r="AKD1" s="9" t="s">
        <v>3043</v>
      </c>
      <c r="AKE1" s="9" t="s">
        <v>3044</v>
      </c>
      <c r="AKF1" s="9" t="s">
        <v>3045</v>
      </c>
      <c r="AKG1" s="9" t="s">
        <v>3046</v>
      </c>
      <c r="AKH1" s="9" t="s">
        <v>3047</v>
      </c>
      <c r="AKI1" s="9" t="s">
        <v>3048</v>
      </c>
      <c r="AKJ1" s="9" t="s">
        <v>3049</v>
      </c>
      <c r="AKK1" s="9" t="s">
        <v>3050</v>
      </c>
      <c r="AKL1" s="9" t="s">
        <v>3051</v>
      </c>
      <c r="AKM1" s="9" t="s">
        <v>3052</v>
      </c>
      <c r="AKN1" s="9" t="s">
        <v>3053</v>
      </c>
      <c r="AKO1" s="9" t="s">
        <v>3054</v>
      </c>
      <c r="AKP1" s="9" t="s">
        <v>3055</v>
      </c>
      <c r="AKQ1" s="9" t="s">
        <v>3056</v>
      </c>
      <c r="AKR1" s="9" t="s">
        <v>3057</v>
      </c>
      <c r="AKS1" s="9" t="s">
        <v>3058</v>
      </c>
      <c r="AKT1" s="9" t="s">
        <v>3059</v>
      </c>
      <c r="AKU1" s="9" t="s">
        <v>3060</v>
      </c>
      <c r="AKV1" s="9" t="s">
        <v>3061</v>
      </c>
      <c r="AKW1" s="9" t="s">
        <v>3062</v>
      </c>
      <c r="AKX1" s="9" t="s">
        <v>3063</v>
      </c>
      <c r="AKY1" s="9" t="s">
        <v>3064</v>
      </c>
      <c r="AKZ1" s="9" t="s">
        <v>3065</v>
      </c>
      <c r="ALA1" s="9" t="s">
        <v>3066</v>
      </c>
      <c r="ALB1" s="9" t="s">
        <v>3067</v>
      </c>
      <c r="ALC1" s="9" t="s">
        <v>3068</v>
      </c>
      <c r="ALD1" s="9" t="s">
        <v>3069</v>
      </c>
      <c r="ALE1" s="9" t="s">
        <v>3070</v>
      </c>
      <c r="ALF1" s="9" t="s">
        <v>3071</v>
      </c>
      <c r="ALG1" s="9" t="s">
        <v>3072</v>
      </c>
      <c r="ALH1" s="9" t="s">
        <v>3073</v>
      </c>
      <c r="ALI1" s="9" t="s">
        <v>3074</v>
      </c>
      <c r="ALJ1" s="9" t="s">
        <v>3075</v>
      </c>
      <c r="ALK1" s="9" t="s">
        <v>3076</v>
      </c>
      <c r="ALL1" s="9" t="s">
        <v>3077</v>
      </c>
      <c r="ALM1" s="9" t="s">
        <v>3078</v>
      </c>
      <c r="ALN1" s="9" t="s">
        <v>3079</v>
      </c>
      <c r="ALO1" s="9" t="s">
        <v>3080</v>
      </c>
      <c r="ALP1" s="9" t="s">
        <v>3081</v>
      </c>
      <c r="ALQ1" s="9" t="s">
        <v>3082</v>
      </c>
      <c r="ALR1" s="9" t="s">
        <v>3083</v>
      </c>
      <c r="ALS1" s="9" t="s">
        <v>3084</v>
      </c>
      <c r="ALT1" s="9" t="s">
        <v>3085</v>
      </c>
      <c r="ALU1" s="9" t="s">
        <v>3086</v>
      </c>
      <c r="ALV1" s="9" t="s">
        <v>3087</v>
      </c>
      <c r="ALW1" s="9" t="s">
        <v>3088</v>
      </c>
      <c r="ALX1" s="9" t="s">
        <v>3089</v>
      </c>
      <c r="ALY1" s="9" t="s">
        <v>3090</v>
      </c>
      <c r="ALZ1" s="9" t="s">
        <v>3091</v>
      </c>
      <c r="AMA1" s="9" t="s">
        <v>3092</v>
      </c>
      <c r="AMB1" s="9" t="s">
        <v>3093</v>
      </c>
      <c r="AMC1" s="9" t="s">
        <v>3094</v>
      </c>
      <c r="AMD1" s="9" t="s">
        <v>3095</v>
      </c>
      <c r="AME1" s="9" t="s">
        <v>3096</v>
      </c>
      <c r="AMF1" s="9" t="s">
        <v>3097</v>
      </c>
      <c r="AMG1" s="9" t="s">
        <v>3098</v>
      </c>
      <c r="AMH1" s="9" t="s">
        <v>3099</v>
      </c>
      <c r="AMI1" s="9" t="s">
        <v>3100</v>
      </c>
      <c r="AMJ1" s="9" t="s">
        <v>3101</v>
      </c>
      <c r="AMK1" s="9" t="s">
        <v>3102</v>
      </c>
      <c r="AML1" s="9" t="s">
        <v>3103</v>
      </c>
      <c r="AMM1" s="9" t="s">
        <v>3104</v>
      </c>
      <c r="AMN1" s="9" t="s">
        <v>3105</v>
      </c>
      <c r="AMO1" s="9" t="s">
        <v>3106</v>
      </c>
      <c r="AMP1" s="9" t="s">
        <v>3107</v>
      </c>
      <c r="AMQ1" s="9" t="s">
        <v>3108</v>
      </c>
      <c r="AMR1" s="9" t="s">
        <v>3109</v>
      </c>
      <c r="AMS1" s="9" t="s">
        <v>3110</v>
      </c>
      <c r="AMT1" s="9" t="s">
        <v>3111</v>
      </c>
      <c r="AMU1" s="9" t="s">
        <v>3112</v>
      </c>
      <c r="AMV1" s="9" t="s">
        <v>3113</v>
      </c>
      <c r="AMW1" s="9" t="s">
        <v>3114</v>
      </c>
      <c r="AMX1" s="9" t="s">
        <v>3115</v>
      </c>
      <c r="AMY1" s="9" t="s">
        <v>3116</v>
      </c>
      <c r="AMZ1" s="9" t="s">
        <v>3117</v>
      </c>
      <c r="ANA1" s="9" t="s">
        <v>3118</v>
      </c>
      <c r="ANB1" s="9" t="s">
        <v>3119</v>
      </c>
      <c r="ANC1" s="9" t="s">
        <v>3120</v>
      </c>
      <c r="AND1" s="9" t="s">
        <v>3121</v>
      </c>
      <c r="ANE1" s="9" t="s">
        <v>3122</v>
      </c>
      <c r="ANF1" s="9" t="s">
        <v>3123</v>
      </c>
      <c r="ANG1" s="9" t="s">
        <v>3124</v>
      </c>
      <c r="ANH1" s="9" t="s">
        <v>3125</v>
      </c>
      <c r="ANI1" s="9" t="s">
        <v>3126</v>
      </c>
      <c r="ANJ1" s="9" t="s">
        <v>3127</v>
      </c>
      <c r="ANK1" s="9" t="s">
        <v>3128</v>
      </c>
      <c r="ANL1" s="9" t="s">
        <v>3129</v>
      </c>
      <c r="ANM1" s="9" t="s">
        <v>3130</v>
      </c>
      <c r="ANN1" s="9" t="s">
        <v>3131</v>
      </c>
      <c r="ANO1" s="9" t="s">
        <v>3132</v>
      </c>
      <c r="ANP1" s="9" t="s">
        <v>3133</v>
      </c>
      <c r="ANQ1" s="9" t="s">
        <v>3134</v>
      </c>
      <c r="ANR1" s="9" t="s">
        <v>3135</v>
      </c>
      <c r="ANS1" s="9" t="s">
        <v>3136</v>
      </c>
      <c r="ANT1" s="9" t="s">
        <v>3137</v>
      </c>
      <c r="ANU1" s="9" t="s">
        <v>3138</v>
      </c>
      <c r="ANV1" s="9" t="s">
        <v>3139</v>
      </c>
      <c r="ANW1" s="9" t="s">
        <v>3140</v>
      </c>
      <c r="ANX1" s="9" t="s">
        <v>3141</v>
      </c>
      <c r="ANY1" s="9" t="s">
        <v>3142</v>
      </c>
      <c r="ANZ1" s="9" t="s">
        <v>3143</v>
      </c>
      <c r="AOA1" s="9" t="s">
        <v>3144</v>
      </c>
      <c r="AOB1" s="9" t="s">
        <v>3145</v>
      </c>
      <c r="AOC1" s="9" t="s">
        <v>3146</v>
      </c>
      <c r="AOD1" s="9" t="s">
        <v>3147</v>
      </c>
      <c r="AOE1" s="9" t="s">
        <v>3148</v>
      </c>
      <c r="AOF1" s="9" t="s">
        <v>3149</v>
      </c>
      <c r="AOG1" s="9" t="s">
        <v>3150</v>
      </c>
      <c r="AOH1" s="9" t="s">
        <v>3151</v>
      </c>
      <c r="AOI1" s="9" t="s">
        <v>3152</v>
      </c>
      <c r="AOJ1" s="9" t="s">
        <v>3153</v>
      </c>
      <c r="AOK1" s="9" t="s">
        <v>3154</v>
      </c>
      <c r="AOL1" s="9" t="s">
        <v>3155</v>
      </c>
      <c r="AOM1" s="9" t="s">
        <v>3156</v>
      </c>
      <c r="AON1" s="9" t="s">
        <v>3157</v>
      </c>
      <c r="AOO1" s="9" t="s">
        <v>3158</v>
      </c>
      <c r="AOP1" s="9" t="s">
        <v>3159</v>
      </c>
      <c r="AOQ1" s="9" t="s">
        <v>3160</v>
      </c>
      <c r="AOR1" s="9" t="s">
        <v>3161</v>
      </c>
      <c r="AOS1" s="9" t="s">
        <v>3162</v>
      </c>
      <c r="AOT1" s="9" t="s">
        <v>3163</v>
      </c>
      <c r="AOU1" s="9" t="s">
        <v>3164</v>
      </c>
      <c r="AOV1" s="9" t="s">
        <v>3165</v>
      </c>
      <c r="AOW1" s="9" t="s">
        <v>3166</v>
      </c>
      <c r="AOX1" s="9" t="s">
        <v>3167</v>
      </c>
      <c r="AOY1" s="9" t="s">
        <v>3168</v>
      </c>
      <c r="AOZ1" s="9" t="s">
        <v>3169</v>
      </c>
      <c r="APA1" s="9" t="s">
        <v>3170</v>
      </c>
      <c r="APB1" s="9" t="s">
        <v>3171</v>
      </c>
      <c r="APC1" s="9" t="s">
        <v>3172</v>
      </c>
      <c r="APD1" s="9" t="s">
        <v>3173</v>
      </c>
      <c r="APE1" s="9" t="s">
        <v>3174</v>
      </c>
      <c r="APF1" s="9" t="s">
        <v>3175</v>
      </c>
      <c r="APG1" s="9" t="s">
        <v>3176</v>
      </c>
      <c r="APH1" s="9" t="s">
        <v>3177</v>
      </c>
      <c r="API1" s="9" t="s">
        <v>3178</v>
      </c>
      <c r="APJ1" s="9" t="s">
        <v>3179</v>
      </c>
      <c r="APK1" s="9" t="s">
        <v>3180</v>
      </c>
      <c r="APL1" s="9" t="s">
        <v>3181</v>
      </c>
      <c r="APM1" s="9" t="s">
        <v>3182</v>
      </c>
      <c r="APN1" s="9" t="s">
        <v>3183</v>
      </c>
      <c r="APO1" s="9" t="s">
        <v>3184</v>
      </c>
      <c r="APP1" s="9" t="s">
        <v>3185</v>
      </c>
      <c r="APQ1" s="9" t="s">
        <v>3186</v>
      </c>
      <c r="APR1" s="9" t="s">
        <v>3187</v>
      </c>
      <c r="APS1" s="9" t="s">
        <v>3188</v>
      </c>
      <c r="APT1" s="9" t="s">
        <v>3189</v>
      </c>
      <c r="APU1" s="9" t="s">
        <v>3190</v>
      </c>
      <c r="APV1" s="9" t="s">
        <v>3191</v>
      </c>
      <c r="APW1" s="9" t="s">
        <v>3192</v>
      </c>
      <c r="APX1" s="9" t="s">
        <v>3193</v>
      </c>
      <c r="APY1" s="9" t="s">
        <v>3194</v>
      </c>
      <c r="APZ1" s="9" t="s">
        <v>3195</v>
      </c>
      <c r="AQA1" s="9" t="s">
        <v>3196</v>
      </c>
      <c r="AQB1" s="9" t="s">
        <v>3197</v>
      </c>
      <c r="AQC1" s="9" t="s">
        <v>3198</v>
      </c>
      <c r="AQD1" s="9" t="s">
        <v>3199</v>
      </c>
      <c r="AQE1" s="9" t="s">
        <v>3200</v>
      </c>
      <c r="AQF1" s="9" t="s">
        <v>3201</v>
      </c>
      <c r="AQG1" s="9" t="s">
        <v>3202</v>
      </c>
      <c r="AQH1" s="9" t="s">
        <v>3203</v>
      </c>
      <c r="AQI1" s="9" t="s">
        <v>3204</v>
      </c>
      <c r="AQJ1" s="9" t="s">
        <v>3205</v>
      </c>
      <c r="AQK1" s="9" t="s">
        <v>3206</v>
      </c>
      <c r="AQL1" s="9" t="s">
        <v>3207</v>
      </c>
      <c r="AQM1" s="9" t="s">
        <v>3208</v>
      </c>
      <c r="AQN1" s="9" t="s">
        <v>3209</v>
      </c>
      <c r="AQO1" s="9" t="s">
        <v>3210</v>
      </c>
      <c r="AQP1" s="9" t="s">
        <v>3211</v>
      </c>
      <c r="AQQ1" s="9" t="s">
        <v>3212</v>
      </c>
      <c r="AQR1" s="9" t="s">
        <v>3213</v>
      </c>
      <c r="AQS1" s="9" t="s">
        <v>3214</v>
      </c>
      <c r="AQT1" s="9" t="s">
        <v>3215</v>
      </c>
      <c r="AQU1" s="9" t="s">
        <v>3216</v>
      </c>
      <c r="AQV1" s="9" t="s">
        <v>3217</v>
      </c>
      <c r="AQW1" s="9" t="s">
        <v>3218</v>
      </c>
      <c r="AQX1" s="9" t="s">
        <v>3219</v>
      </c>
      <c r="AQY1" s="9" t="s">
        <v>3220</v>
      </c>
      <c r="AQZ1" s="9" t="s">
        <v>3221</v>
      </c>
      <c r="ARA1" s="9" t="s">
        <v>3222</v>
      </c>
      <c r="ARB1" s="9" t="s">
        <v>3223</v>
      </c>
      <c r="ARC1" s="9" t="s">
        <v>3224</v>
      </c>
      <c r="ARD1" s="9" t="s">
        <v>3225</v>
      </c>
      <c r="ARE1" s="9" t="s">
        <v>3226</v>
      </c>
      <c r="ARF1" s="9" t="s">
        <v>3227</v>
      </c>
      <c r="ARG1" s="9" t="s">
        <v>3228</v>
      </c>
      <c r="ARH1" s="9" t="s">
        <v>3229</v>
      </c>
      <c r="ARI1" s="9" t="s">
        <v>3230</v>
      </c>
      <c r="ARJ1" s="9" t="s">
        <v>3231</v>
      </c>
      <c r="ARK1" s="9" t="s">
        <v>3232</v>
      </c>
      <c r="ARL1" s="9" t="s">
        <v>3233</v>
      </c>
      <c r="ARM1" s="9" t="s">
        <v>3234</v>
      </c>
      <c r="ARN1" s="9" t="s">
        <v>3235</v>
      </c>
      <c r="ARO1" s="9" t="s">
        <v>3236</v>
      </c>
      <c r="ARP1" s="9" t="s">
        <v>3237</v>
      </c>
      <c r="ARQ1" s="9" t="s">
        <v>3238</v>
      </c>
      <c r="ARR1" s="9" t="s">
        <v>3239</v>
      </c>
      <c r="ARS1" s="9" t="s">
        <v>3240</v>
      </c>
      <c r="ART1" s="9" t="s">
        <v>3241</v>
      </c>
      <c r="ARU1" s="9" t="s">
        <v>3242</v>
      </c>
      <c r="ARV1" s="9" t="s">
        <v>3243</v>
      </c>
      <c r="ARW1" s="9" t="s">
        <v>3244</v>
      </c>
      <c r="ARX1" s="9" t="s">
        <v>3245</v>
      </c>
      <c r="ARY1" s="9" t="s">
        <v>3246</v>
      </c>
      <c r="ARZ1" s="9" t="s">
        <v>3247</v>
      </c>
      <c r="ASA1" s="9" t="s">
        <v>3248</v>
      </c>
      <c r="ASB1" s="9" t="s">
        <v>3249</v>
      </c>
      <c r="ASC1" s="9" t="s">
        <v>3250</v>
      </c>
      <c r="ASD1" s="9" t="s">
        <v>3251</v>
      </c>
      <c r="ASE1" s="9" t="s">
        <v>3252</v>
      </c>
      <c r="ASF1" s="9" t="s">
        <v>3253</v>
      </c>
      <c r="ASG1" s="9" t="s">
        <v>3254</v>
      </c>
      <c r="ASH1" s="9" t="s">
        <v>3255</v>
      </c>
      <c r="ASI1" s="9" t="s">
        <v>3256</v>
      </c>
      <c r="ASJ1" s="9" t="s">
        <v>3257</v>
      </c>
      <c r="ASK1" s="9" t="s">
        <v>3258</v>
      </c>
      <c r="ASL1" s="9" t="s">
        <v>3259</v>
      </c>
      <c r="ASM1" s="9" t="s">
        <v>3260</v>
      </c>
      <c r="ASN1" s="9" t="s">
        <v>3261</v>
      </c>
      <c r="ASO1" s="9" t="s">
        <v>3262</v>
      </c>
      <c r="ASP1" s="9" t="s">
        <v>3263</v>
      </c>
      <c r="ASQ1" s="9" t="s">
        <v>3264</v>
      </c>
      <c r="ASR1" s="9" t="s">
        <v>3265</v>
      </c>
      <c r="ASS1" s="9" t="s">
        <v>3266</v>
      </c>
      <c r="AST1" s="9" t="s">
        <v>3267</v>
      </c>
      <c r="ASU1" s="9" t="s">
        <v>3268</v>
      </c>
      <c r="ASV1" s="9" t="s">
        <v>3269</v>
      </c>
      <c r="ASW1" s="9" t="s">
        <v>3270</v>
      </c>
      <c r="ASX1" s="9" t="s">
        <v>3271</v>
      </c>
      <c r="ASY1" s="9" t="s">
        <v>3272</v>
      </c>
      <c r="ASZ1" s="9" t="s">
        <v>3273</v>
      </c>
      <c r="ATA1" s="9" t="s">
        <v>3274</v>
      </c>
      <c r="ATB1" s="9" t="s">
        <v>3275</v>
      </c>
      <c r="ATC1" s="9" t="s">
        <v>3276</v>
      </c>
      <c r="ATD1" s="9" t="s">
        <v>3277</v>
      </c>
      <c r="ATE1" s="9" t="s">
        <v>3278</v>
      </c>
      <c r="ATF1" s="9" t="s">
        <v>3279</v>
      </c>
      <c r="ATG1" s="9" t="s">
        <v>3280</v>
      </c>
      <c r="ATH1" s="9" t="s">
        <v>3281</v>
      </c>
      <c r="ATI1" s="9" t="s">
        <v>3282</v>
      </c>
      <c r="ATJ1" s="9" t="s">
        <v>3283</v>
      </c>
      <c r="ATK1" s="9" t="s">
        <v>3284</v>
      </c>
      <c r="ATL1" s="9" t="s">
        <v>3285</v>
      </c>
      <c r="ATM1" s="9" t="s">
        <v>3286</v>
      </c>
      <c r="ATN1" s="9" t="s">
        <v>3287</v>
      </c>
      <c r="ATO1" s="9" t="s">
        <v>3288</v>
      </c>
      <c r="ATP1" s="9" t="s">
        <v>3289</v>
      </c>
      <c r="ATQ1" s="9" t="s">
        <v>3290</v>
      </c>
      <c r="ATR1" s="9" t="s">
        <v>3291</v>
      </c>
      <c r="ATS1" s="9" t="s">
        <v>3292</v>
      </c>
      <c r="ATT1" s="9" t="s">
        <v>3293</v>
      </c>
      <c r="ATU1" s="9" t="s">
        <v>3294</v>
      </c>
      <c r="ATV1" s="9" t="s">
        <v>3295</v>
      </c>
      <c r="ATW1" s="9" t="s">
        <v>3296</v>
      </c>
      <c r="ATX1" s="9" t="s">
        <v>3297</v>
      </c>
      <c r="ATY1" s="9" t="s">
        <v>3298</v>
      </c>
      <c r="ATZ1" s="9" t="s">
        <v>3299</v>
      </c>
      <c r="AUA1" s="9" t="s">
        <v>3300</v>
      </c>
      <c r="AUB1" s="9" t="s">
        <v>3301</v>
      </c>
      <c r="AUC1" s="9" t="s">
        <v>3302</v>
      </c>
      <c r="AUD1" s="9" t="s">
        <v>3303</v>
      </c>
      <c r="AUE1" s="9" t="s">
        <v>3304</v>
      </c>
      <c r="AUF1" s="9" t="s">
        <v>3305</v>
      </c>
      <c r="AUG1" s="9" t="s">
        <v>3306</v>
      </c>
      <c r="AUH1" s="9" t="s">
        <v>3307</v>
      </c>
      <c r="AUI1" s="9" t="s">
        <v>3308</v>
      </c>
      <c r="AUJ1" s="9" t="s">
        <v>3309</v>
      </c>
      <c r="AUK1" s="9" t="s">
        <v>3310</v>
      </c>
      <c r="AUL1" s="9" t="s">
        <v>3311</v>
      </c>
      <c r="AUM1" s="9" t="s">
        <v>3312</v>
      </c>
      <c r="AUN1" s="9" t="s">
        <v>3313</v>
      </c>
      <c r="AUO1" s="9" t="s">
        <v>3314</v>
      </c>
      <c r="AUP1" s="9" t="s">
        <v>3315</v>
      </c>
      <c r="AUQ1" s="9" t="s">
        <v>3316</v>
      </c>
      <c r="AUR1" s="9" t="s">
        <v>3317</v>
      </c>
      <c r="AUS1" s="9" t="s">
        <v>3318</v>
      </c>
      <c r="AUT1" s="9" t="s">
        <v>3319</v>
      </c>
      <c r="AUU1" s="9" t="s">
        <v>3320</v>
      </c>
      <c r="AUV1" s="9" t="s">
        <v>3321</v>
      </c>
      <c r="AUW1" s="9" t="s">
        <v>3322</v>
      </c>
      <c r="AUX1" s="9" t="s">
        <v>3323</v>
      </c>
      <c r="AUY1" s="9" t="s">
        <v>3324</v>
      </c>
      <c r="AUZ1" s="9" t="s">
        <v>3325</v>
      </c>
      <c r="AVA1" s="9" t="s">
        <v>3326</v>
      </c>
      <c r="AVB1" s="9" t="s">
        <v>3327</v>
      </c>
      <c r="AVC1" s="9" t="s">
        <v>3328</v>
      </c>
      <c r="AVD1" s="9" t="s">
        <v>3329</v>
      </c>
      <c r="AVE1" s="9" t="s">
        <v>3330</v>
      </c>
      <c r="AVF1" s="9" t="s">
        <v>3331</v>
      </c>
      <c r="AVG1" s="9" t="s">
        <v>3332</v>
      </c>
      <c r="AVH1" s="9" t="s">
        <v>3333</v>
      </c>
      <c r="AVI1" s="9" t="s">
        <v>3334</v>
      </c>
      <c r="AVJ1" s="9" t="s">
        <v>3335</v>
      </c>
      <c r="AVK1" s="9" t="s">
        <v>3336</v>
      </c>
      <c r="AVL1" s="9" t="s">
        <v>3337</v>
      </c>
      <c r="AVM1" s="9" t="s">
        <v>3338</v>
      </c>
      <c r="AVN1" s="9" t="s">
        <v>3339</v>
      </c>
      <c r="AVO1" s="9" t="s">
        <v>3340</v>
      </c>
      <c r="AVP1" s="9" t="s">
        <v>3341</v>
      </c>
      <c r="AVQ1" s="9" t="s">
        <v>3342</v>
      </c>
      <c r="AVR1" s="9" t="s">
        <v>3343</v>
      </c>
      <c r="AVS1" s="9" t="s">
        <v>3344</v>
      </c>
      <c r="AVT1" s="9" t="s">
        <v>3345</v>
      </c>
      <c r="AVU1" s="9" t="s">
        <v>3346</v>
      </c>
      <c r="AVV1" s="9" t="s">
        <v>3347</v>
      </c>
      <c r="AVW1" s="9" t="s">
        <v>3348</v>
      </c>
      <c r="AVX1" s="9" t="s">
        <v>3349</v>
      </c>
      <c r="AVY1" s="9" t="s">
        <v>3350</v>
      </c>
      <c r="AVZ1" s="9" t="s">
        <v>3351</v>
      </c>
      <c r="AWA1" s="9" t="s">
        <v>3352</v>
      </c>
      <c r="AWB1" s="9" t="s">
        <v>3353</v>
      </c>
      <c r="AWC1" s="9" t="s">
        <v>3354</v>
      </c>
      <c r="AWD1" s="9" t="s">
        <v>3355</v>
      </c>
      <c r="AWE1" s="9" t="s">
        <v>3356</v>
      </c>
      <c r="AWF1" s="9" t="s">
        <v>3357</v>
      </c>
      <c r="AWG1" s="9" t="s">
        <v>3358</v>
      </c>
      <c r="AWH1" s="9" t="s">
        <v>3359</v>
      </c>
      <c r="AWI1" s="9" t="s">
        <v>3360</v>
      </c>
      <c r="AWJ1" s="9" t="s">
        <v>3361</v>
      </c>
      <c r="AWK1" s="9" t="s">
        <v>3362</v>
      </c>
      <c r="AWL1" s="9" t="s">
        <v>3363</v>
      </c>
      <c r="AWM1" s="9" t="s">
        <v>3364</v>
      </c>
      <c r="AWN1" s="9" t="s">
        <v>3365</v>
      </c>
      <c r="AWO1" s="9" t="s">
        <v>3366</v>
      </c>
      <c r="AWP1" s="9" t="s">
        <v>3367</v>
      </c>
      <c r="AWQ1" s="9" t="s">
        <v>3368</v>
      </c>
      <c r="AWR1" s="9" t="s">
        <v>3369</v>
      </c>
      <c r="AWS1" s="9" t="s">
        <v>3370</v>
      </c>
      <c r="AWT1" s="9" t="s">
        <v>3371</v>
      </c>
      <c r="AWU1" s="9" t="s">
        <v>3372</v>
      </c>
      <c r="AWV1" s="9" t="s">
        <v>3373</v>
      </c>
      <c r="AWW1" s="9" t="s">
        <v>3374</v>
      </c>
      <c r="AWX1" s="9" t="s">
        <v>3375</v>
      </c>
      <c r="AWY1" s="9" t="s">
        <v>3376</v>
      </c>
      <c r="AWZ1" s="9" t="s">
        <v>3377</v>
      </c>
      <c r="AXA1" s="9" t="s">
        <v>3378</v>
      </c>
      <c r="AXB1" s="9" t="s">
        <v>3379</v>
      </c>
      <c r="AXC1" s="9" t="s">
        <v>3380</v>
      </c>
      <c r="AXD1" s="9" t="s">
        <v>3381</v>
      </c>
      <c r="AXE1" s="9" t="s">
        <v>3382</v>
      </c>
      <c r="AXF1" s="9" t="s">
        <v>3383</v>
      </c>
      <c r="AXG1" s="9" t="s">
        <v>3384</v>
      </c>
      <c r="AXH1" s="9" t="s">
        <v>3385</v>
      </c>
      <c r="AXI1" s="9" t="s">
        <v>3386</v>
      </c>
      <c r="AXJ1" s="9" t="s">
        <v>3387</v>
      </c>
      <c r="AXK1" s="9" t="s">
        <v>3388</v>
      </c>
      <c r="AXL1" s="9" t="s">
        <v>3389</v>
      </c>
      <c r="AXM1" s="9" t="s">
        <v>3390</v>
      </c>
      <c r="AXN1" s="9" t="s">
        <v>3391</v>
      </c>
      <c r="AXO1" s="9" t="s">
        <v>3392</v>
      </c>
      <c r="AXP1" s="9" t="s">
        <v>3393</v>
      </c>
      <c r="AXQ1" s="9" t="s">
        <v>3394</v>
      </c>
      <c r="AXR1" s="9" t="s">
        <v>3395</v>
      </c>
      <c r="AXS1" s="9" t="s">
        <v>3396</v>
      </c>
      <c r="AXT1" s="9" t="s">
        <v>3397</v>
      </c>
      <c r="AXU1" s="9" t="s">
        <v>3398</v>
      </c>
      <c r="AXV1" s="9" t="s">
        <v>3399</v>
      </c>
      <c r="AXW1" s="9" t="s">
        <v>3400</v>
      </c>
      <c r="AXX1" s="9" t="s">
        <v>3401</v>
      </c>
      <c r="AXY1" s="9" t="s">
        <v>3402</v>
      </c>
      <c r="AXZ1" s="9" t="s">
        <v>3403</v>
      </c>
      <c r="AYA1" s="9" t="s">
        <v>3404</v>
      </c>
      <c r="AYB1" s="9" t="s">
        <v>3405</v>
      </c>
      <c r="AYC1" s="9" t="s">
        <v>3406</v>
      </c>
      <c r="AYD1" s="9" t="s">
        <v>3407</v>
      </c>
      <c r="AYE1" s="9" t="s">
        <v>3408</v>
      </c>
      <c r="AYF1" s="9" t="s">
        <v>3409</v>
      </c>
      <c r="AYG1" s="9" t="s">
        <v>3410</v>
      </c>
      <c r="AYH1" s="9" t="s">
        <v>3411</v>
      </c>
      <c r="AYI1" s="9" t="s">
        <v>3412</v>
      </c>
      <c r="AYJ1" s="9" t="s">
        <v>3413</v>
      </c>
      <c r="AYK1" s="9" t="s">
        <v>3414</v>
      </c>
      <c r="AYL1" s="9" t="s">
        <v>3415</v>
      </c>
      <c r="AYM1" s="9" t="s">
        <v>3416</v>
      </c>
      <c r="AYN1" s="9" t="s">
        <v>3417</v>
      </c>
      <c r="AYO1" s="9" t="s">
        <v>3418</v>
      </c>
      <c r="AYP1" s="9" t="s">
        <v>3419</v>
      </c>
      <c r="AYQ1" s="9" t="s">
        <v>3420</v>
      </c>
      <c r="AYR1" s="9" t="s">
        <v>3421</v>
      </c>
      <c r="AYS1" s="9" t="s">
        <v>3422</v>
      </c>
      <c r="AYT1" s="9" t="s">
        <v>3423</v>
      </c>
      <c r="AYU1" s="9" t="s">
        <v>3424</v>
      </c>
      <c r="AYV1" s="9" t="s">
        <v>3425</v>
      </c>
      <c r="AYW1" s="9" t="s">
        <v>3426</v>
      </c>
      <c r="AYX1" s="9" t="s">
        <v>3427</v>
      </c>
      <c r="AYY1" s="9" t="s">
        <v>3428</v>
      </c>
      <c r="AYZ1" s="9" t="s">
        <v>3429</v>
      </c>
      <c r="AZA1" s="9" t="s">
        <v>3430</v>
      </c>
      <c r="AZB1" s="9" t="s">
        <v>3431</v>
      </c>
      <c r="AZC1" s="9" t="s">
        <v>3432</v>
      </c>
      <c r="AZD1" s="9" t="s">
        <v>3433</v>
      </c>
      <c r="AZE1" s="9" t="s">
        <v>3434</v>
      </c>
      <c r="AZF1" s="9" t="s">
        <v>3435</v>
      </c>
      <c r="AZG1" s="9" t="s">
        <v>3436</v>
      </c>
      <c r="AZH1" s="9" t="s">
        <v>3437</v>
      </c>
      <c r="AZI1" s="9" t="s">
        <v>3438</v>
      </c>
      <c r="AZJ1" s="9" t="s">
        <v>3439</v>
      </c>
      <c r="AZK1" s="9" t="s">
        <v>3440</v>
      </c>
      <c r="AZL1" s="9" t="s">
        <v>3441</v>
      </c>
      <c r="AZM1" s="9" t="s">
        <v>3442</v>
      </c>
      <c r="AZN1" s="9" t="s">
        <v>3443</v>
      </c>
      <c r="AZO1" s="9" t="s">
        <v>3444</v>
      </c>
      <c r="AZP1" s="9" t="s">
        <v>3445</v>
      </c>
      <c r="AZQ1" s="9" t="s">
        <v>3446</v>
      </c>
      <c r="AZR1" s="9" t="s">
        <v>3447</v>
      </c>
      <c r="AZS1" s="9" t="s">
        <v>3448</v>
      </c>
      <c r="AZT1" s="9" t="s">
        <v>3449</v>
      </c>
      <c r="AZU1" s="9" t="s">
        <v>3450</v>
      </c>
      <c r="AZV1" s="9" t="s">
        <v>3451</v>
      </c>
      <c r="AZW1" s="9" t="s">
        <v>3452</v>
      </c>
      <c r="AZX1" s="9" t="s">
        <v>3453</v>
      </c>
      <c r="AZY1" s="9" t="s">
        <v>3454</v>
      </c>
      <c r="AZZ1" s="9" t="s">
        <v>3455</v>
      </c>
      <c r="BAA1" s="9" t="s">
        <v>3456</v>
      </c>
      <c r="BAB1" s="9" t="s">
        <v>3457</v>
      </c>
      <c r="BAC1" s="9" t="s">
        <v>3458</v>
      </c>
      <c r="BAD1" s="9" t="s">
        <v>3459</v>
      </c>
      <c r="BAE1" s="9" t="s">
        <v>3460</v>
      </c>
      <c r="BAF1" s="9" t="s">
        <v>3461</v>
      </c>
      <c r="BAG1" s="9" t="s">
        <v>3462</v>
      </c>
      <c r="BAH1" s="9" t="s">
        <v>3463</v>
      </c>
      <c r="BAI1" s="9" t="s">
        <v>3464</v>
      </c>
      <c r="BAJ1" s="9" t="s">
        <v>3465</v>
      </c>
      <c r="BAK1" s="9" t="s">
        <v>3466</v>
      </c>
      <c r="BAL1" s="9" t="s">
        <v>3467</v>
      </c>
      <c r="BAM1" s="9" t="s">
        <v>3468</v>
      </c>
      <c r="BAN1" s="9" t="s">
        <v>3469</v>
      </c>
      <c r="BAO1" s="9" t="s">
        <v>3470</v>
      </c>
      <c r="BAP1" s="9" t="s">
        <v>3471</v>
      </c>
      <c r="BAQ1" s="9" t="s">
        <v>3472</v>
      </c>
      <c r="BAR1" s="9" t="s">
        <v>3473</v>
      </c>
      <c r="BAS1" s="9" t="s">
        <v>3474</v>
      </c>
      <c r="BAT1" s="9" t="s">
        <v>3475</v>
      </c>
      <c r="BAU1" s="9" t="s">
        <v>3476</v>
      </c>
      <c r="BAV1" s="9" t="s">
        <v>3477</v>
      </c>
      <c r="BAW1" s="9" t="s">
        <v>3478</v>
      </c>
      <c r="BAX1" s="9" t="s">
        <v>3479</v>
      </c>
      <c r="BAY1" s="9" t="s">
        <v>3480</v>
      </c>
      <c r="BAZ1" s="9" t="s">
        <v>3481</v>
      </c>
      <c r="BBA1" s="9" t="s">
        <v>3482</v>
      </c>
      <c r="BBB1" s="9" t="s">
        <v>3483</v>
      </c>
      <c r="BBC1" s="9" t="s">
        <v>3484</v>
      </c>
      <c r="BBD1" s="9" t="s">
        <v>3485</v>
      </c>
      <c r="BBE1" s="9" t="s">
        <v>3486</v>
      </c>
      <c r="BBF1" s="9" t="s">
        <v>3487</v>
      </c>
      <c r="BBG1" s="9" t="s">
        <v>3488</v>
      </c>
      <c r="BBH1" s="9" t="s">
        <v>3489</v>
      </c>
      <c r="BBI1" s="9" t="s">
        <v>3490</v>
      </c>
      <c r="BBJ1" s="9" t="s">
        <v>3491</v>
      </c>
      <c r="BBK1" s="9" t="s">
        <v>3492</v>
      </c>
      <c r="BBL1" s="9" t="s">
        <v>3493</v>
      </c>
      <c r="BBM1" s="9" t="s">
        <v>3494</v>
      </c>
      <c r="BBN1" s="9" t="s">
        <v>3495</v>
      </c>
      <c r="BBO1" s="9" t="s">
        <v>3496</v>
      </c>
      <c r="BBP1" s="9" t="s">
        <v>3497</v>
      </c>
      <c r="BBQ1" s="9" t="s">
        <v>3498</v>
      </c>
      <c r="BBR1" s="9" t="s">
        <v>3499</v>
      </c>
      <c r="BBS1" s="9" t="s">
        <v>3500</v>
      </c>
      <c r="BBT1" s="9" t="s">
        <v>3501</v>
      </c>
      <c r="BBU1" s="9" t="s">
        <v>3502</v>
      </c>
      <c r="BBV1" s="9" t="s">
        <v>3503</v>
      </c>
      <c r="BBW1" s="9" t="s">
        <v>3504</v>
      </c>
      <c r="BBX1" s="9" t="s">
        <v>3505</v>
      </c>
      <c r="BBY1" s="9" t="s">
        <v>3506</v>
      </c>
      <c r="BBZ1" s="9" t="s">
        <v>3507</v>
      </c>
      <c r="BCA1" s="9" t="s">
        <v>3508</v>
      </c>
      <c r="BCB1" s="9" t="s">
        <v>3509</v>
      </c>
      <c r="BCC1" s="9" t="s">
        <v>3510</v>
      </c>
      <c r="BCD1" s="9" t="s">
        <v>3511</v>
      </c>
      <c r="BCE1" s="9" t="s">
        <v>3512</v>
      </c>
      <c r="BCF1" s="9" t="s">
        <v>3513</v>
      </c>
      <c r="BCG1" s="9" t="s">
        <v>3514</v>
      </c>
      <c r="BCH1" s="9" t="s">
        <v>3515</v>
      </c>
      <c r="BCI1" s="9" t="s">
        <v>3516</v>
      </c>
      <c r="BCJ1" s="9" t="s">
        <v>3517</v>
      </c>
      <c r="BCK1" s="9" t="s">
        <v>3518</v>
      </c>
      <c r="BCL1" s="9" t="s">
        <v>3519</v>
      </c>
      <c r="BCM1" s="9" t="s">
        <v>3520</v>
      </c>
      <c r="BCN1" s="9" t="s">
        <v>3521</v>
      </c>
      <c r="BCO1" s="9" t="s">
        <v>3522</v>
      </c>
      <c r="BCP1" s="9" t="s">
        <v>3523</v>
      </c>
      <c r="BCQ1" s="9" t="s">
        <v>3524</v>
      </c>
      <c r="BCR1" s="9" t="s">
        <v>3525</v>
      </c>
      <c r="BCS1" s="9" t="s">
        <v>3526</v>
      </c>
      <c r="BCT1" s="9" t="s">
        <v>3527</v>
      </c>
      <c r="BCU1" s="9" t="s">
        <v>3528</v>
      </c>
      <c r="BCV1" s="9" t="s">
        <v>3529</v>
      </c>
      <c r="BCW1" s="9" t="s">
        <v>3530</v>
      </c>
      <c r="BCX1" s="9" t="s">
        <v>3531</v>
      </c>
      <c r="BCY1" s="9" t="s">
        <v>3532</v>
      </c>
      <c r="BCZ1" s="9" t="s">
        <v>3533</v>
      </c>
      <c r="BDA1" s="9" t="s">
        <v>3534</v>
      </c>
      <c r="BDB1" s="9" t="s">
        <v>3535</v>
      </c>
      <c r="BDC1" s="9" t="s">
        <v>3536</v>
      </c>
      <c r="BDD1" s="9" t="s">
        <v>3537</v>
      </c>
      <c r="BDE1" s="9" t="s">
        <v>3538</v>
      </c>
      <c r="BDF1" s="9" t="s">
        <v>3539</v>
      </c>
      <c r="BDG1" s="9" t="s">
        <v>3540</v>
      </c>
      <c r="BDH1" s="9" t="s">
        <v>3541</v>
      </c>
      <c r="BDI1" s="9" t="s">
        <v>3542</v>
      </c>
      <c r="BDJ1" s="9" t="s">
        <v>3543</v>
      </c>
      <c r="BDK1" s="9" t="s">
        <v>3544</v>
      </c>
      <c r="BDL1" s="9" t="s">
        <v>3545</v>
      </c>
      <c r="BDM1" s="9" t="s">
        <v>3546</v>
      </c>
      <c r="BDN1" s="9" t="s">
        <v>3547</v>
      </c>
      <c r="BDO1" s="9" t="s">
        <v>3548</v>
      </c>
      <c r="BDP1" s="9" t="s">
        <v>3549</v>
      </c>
      <c r="BDQ1" s="9" t="s">
        <v>3550</v>
      </c>
      <c r="BDR1" s="9" t="s">
        <v>3551</v>
      </c>
      <c r="BDS1" s="9" t="s">
        <v>3552</v>
      </c>
      <c r="BDT1" s="9" t="s">
        <v>3553</v>
      </c>
      <c r="BDU1" s="9" t="s">
        <v>3554</v>
      </c>
      <c r="BDV1" s="9" t="s">
        <v>3555</v>
      </c>
      <c r="BDW1" s="9" t="s">
        <v>3556</v>
      </c>
      <c r="BDX1" s="9" t="s">
        <v>3557</v>
      </c>
      <c r="BDY1" s="9" t="s">
        <v>3558</v>
      </c>
      <c r="BDZ1" s="9" t="s">
        <v>3559</v>
      </c>
      <c r="BEA1" s="9" t="s">
        <v>3560</v>
      </c>
      <c r="BEB1" s="9" t="s">
        <v>3561</v>
      </c>
      <c r="BEC1" s="9" t="s">
        <v>3562</v>
      </c>
      <c r="BED1" s="9" t="s">
        <v>3563</v>
      </c>
      <c r="BEE1" s="9" t="s">
        <v>3564</v>
      </c>
      <c r="BEF1" s="9" t="s">
        <v>3565</v>
      </c>
      <c r="BEG1" s="9" t="s">
        <v>3566</v>
      </c>
      <c r="BEH1" s="9" t="s">
        <v>3567</v>
      </c>
      <c r="BEI1" s="9" t="s">
        <v>3568</v>
      </c>
      <c r="BEJ1" s="9" t="s">
        <v>3569</v>
      </c>
      <c r="BEK1" s="9" t="s">
        <v>3570</v>
      </c>
      <c r="BEL1" s="9" t="s">
        <v>3571</v>
      </c>
      <c r="BEM1" s="9" t="s">
        <v>3572</v>
      </c>
      <c r="BEN1" s="9" t="s">
        <v>3573</v>
      </c>
      <c r="BEO1" s="9" t="s">
        <v>3574</v>
      </c>
      <c r="BEP1" s="9" t="s">
        <v>3575</v>
      </c>
      <c r="BEQ1" s="9" t="s">
        <v>3576</v>
      </c>
      <c r="BER1" s="9" t="s">
        <v>3577</v>
      </c>
      <c r="BES1" s="9" t="s">
        <v>3578</v>
      </c>
      <c r="BET1" s="9" t="s">
        <v>3579</v>
      </c>
      <c r="BEU1" s="9" t="s">
        <v>3580</v>
      </c>
      <c r="BEV1" s="9" t="s">
        <v>3581</v>
      </c>
      <c r="BEW1" s="9" t="s">
        <v>3582</v>
      </c>
      <c r="BEX1" s="9" t="s">
        <v>3583</v>
      </c>
      <c r="BEY1" s="9" t="s">
        <v>3584</v>
      </c>
      <c r="BEZ1" s="9" t="s">
        <v>3585</v>
      </c>
      <c r="BFA1" s="9" t="s">
        <v>3586</v>
      </c>
      <c r="BFB1" s="9" t="s">
        <v>3587</v>
      </c>
      <c r="BFC1" s="9" t="s">
        <v>3588</v>
      </c>
      <c r="BFD1" s="9" t="s">
        <v>3589</v>
      </c>
      <c r="BFE1" s="9" t="s">
        <v>3590</v>
      </c>
      <c r="BFF1" s="9" t="s">
        <v>3591</v>
      </c>
      <c r="BFG1" s="9" t="s">
        <v>3592</v>
      </c>
      <c r="BFH1" s="9" t="s">
        <v>3593</v>
      </c>
      <c r="BFI1" s="9" t="s">
        <v>3594</v>
      </c>
      <c r="BFJ1" s="9" t="s">
        <v>3595</v>
      </c>
      <c r="BFK1" s="9" t="s">
        <v>3596</v>
      </c>
      <c r="BFL1" s="9" t="s">
        <v>3597</v>
      </c>
      <c r="BFM1" s="9" t="s">
        <v>3598</v>
      </c>
      <c r="BFN1" s="9" t="s">
        <v>3599</v>
      </c>
      <c r="BFO1" s="9" t="s">
        <v>3600</v>
      </c>
      <c r="BFP1" s="9" t="s">
        <v>3601</v>
      </c>
      <c r="BFQ1" s="9" t="s">
        <v>3602</v>
      </c>
      <c r="BFR1" s="9" t="s">
        <v>3603</v>
      </c>
      <c r="BFS1" s="9" t="s">
        <v>3604</v>
      </c>
      <c r="BFT1" s="9" t="s">
        <v>3605</v>
      </c>
      <c r="BFU1" s="9" t="s">
        <v>3606</v>
      </c>
      <c r="BFV1" s="9" t="s">
        <v>3607</v>
      </c>
      <c r="BFW1" s="9" t="s">
        <v>3608</v>
      </c>
      <c r="BFX1" s="9" t="s">
        <v>3609</v>
      </c>
      <c r="BFY1" s="9" t="s">
        <v>3610</v>
      </c>
      <c r="BFZ1" s="9" t="s">
        <v>3611</v>
      </c>
      <c r="BGA1" s="9" t="s">
        <v>3612</v>
      </c>
      <c r="BGB1" s="9" t="s">
        <v>3613</v>
      </c>
      <c r="BGC1" s="9" t="s">
        <v>3614</v>
      </c>
      <c r="BGD1" s="9" t="s">
        <v>3615</v>
      </c>
      <c r="BGE1" s="9" t="s">
        <v>3616</v>
      </c>
      <c r="BGF1" s="9" t="s">
        <v>3617</v>
      </c>
      <c r="BGG1" s="9" t="s">
        <v>3618</v>
      </c>
      <c r="BGH1" s="9" t="s">
        <v>3619</v>
      </c>
      <c r="BGI1" s="9" t="s">
        <v>3620</v>
      </c>
      <c r="BGJ1" s="9" t="s">
        <v>3621</v>
      </c>
      <c r="BGK1" s="9" t="s">
        <v>3622</v>
      </c>
      <c r="BGL1" s="9" t="s">
        <v>3623</v>
      </c>
      <c r="BGM1" s="9" t="s">
        <v>3624</v>
      </c>
      <c r="BGN1" s="9" t="s">
        <v>3625</v>
      </c>
      <c r="BGO1" s="9" t="s">
        <v>3626</v>
      </c>
      <c r="BGP1" s="9" t="s">
        <v>3627</v>
      </c>
      <c r="BGQ1" s="9" t="s">
        <v>3628</v>
      </c>
      <c r="BGR1" s="9" t="s">
        <v>3629</v>
      </c>
      <c r="BGS1" s="9" t="s">
        <v>3630</v>
      </c>
      <c r="BGT1" s="9" t="s">
        <v>3631</v>
      </c>
      <c r="BGU1" s="9" t="s">
        <v>3632</v>
      </c>
      <c r="BGV1" s="9" t="s">
        <v>3633</v>
      </c>
      <c r="BGW1" s="9" t="s">
        <v>3634</v>
      </c>
      <c r="BGX1" s="9" t="s">
        <v>3635</v>
      </c>
      <c r="BGY1" s="9" t="s">
        <v>3636</v>
      </c>
      <c r="BGZ1" s="9" t="s">
        <v>3637</v>
      </c>
      <c r="BHA1" s="9" t="s">
        <v>3638</v>
      </c>
      <c r="BHB1" s="9" t="s">
        <v>3639</v>
      </c>
      <c r="BHC1" s="9" t="s">
        <v>3640</v>
      </c>
      <c r="BHD1" s="9" t="s">
        <v>3641</v>
      </c>
      <c r="BHE1" s="9" t="s">
        <v>3642</v>
      </c>
      <c r="BHF1" s="9" t="s">
        <v>3643</v>
      </c>
      <c r="BHG1" s="9" t="s">
        <v>3644</v>
      </c>
      <c r="BHH1" s="9" t="s">
        <v>3645</v>
      </c>
      <c r="BHI1" s="9" t="s">
        <v>3646</v>
      </c>
      <c r="BHJ1" s="9" t="s">
        <v>3647</v>
      </c>
      <c r="BHK1" s="9" t="s">
        <v>3648</v>
      </c>
      <c r="BHL1" s="9" t="s">
        <v>3649</v>
      </c>
      <c r="BHM1" s="9" t="s">
        <v>3650</v>
      </c>
      <c r="BHN1" s="9" t="s">
        <v>3651</v>
      </c>
      <c r="BHO1" s="9" t="s">
        <v>3652</v>
      </c>
      <c r="BHP1" s="9" t="s">
        <v>3653</v>
      </c>
      <c r="BHQ1" s="9" t="s">
        <v>3654</v>
      </c>
      <c r="BHR1" s="9" t="s">
        <v>3655</v>
      </c>
      <c r="BHS1" s="9" t="s">
        <v>3656</v>
      </c>
      <c r="BHT1" s="9" t="s">
        <v>3657</v>
      </c>
      <c r="BHU1" s="9" t="s">
        <v>3658</v>
      </c>
      <c r="BHV1" s="9" t="s">
        <v>3659</v>
      </c>
      <c r="BHW1" s="9" t="s">
        <v>3660</v>
      </c>
      <c r="BHX1" s="9" t="s">
        <v>3661</v>
      </c>
      <c r="BHY1" s="9" t="s">
        <v>3662</v>
      </c>
      <c r="BHZ1" s="9" t="s">
        <v>3663</v>
      </c>
      <c r="BIA1" s="9" t="s">
        <v>3664</v>
      </c>
      <c r="BIB1" s="9" t="s">
        <v>3665</v>
      </c>
      <c r="BIC1" s="9" t="s">
        <v>3666</v>
      </c>
      <c r="BID1" s="9" t="s">
        <v>3667</v>
      </c>
      <c r="BIE1" s="9" t="s">
        <v>3668</v>
      </c>
      <c r="BIF1" s="9" t="s">
        <v>3669</v>
      </c>
      <c r="BIG1" s="9" t="s">
        <v>3670</v>
      </c>
      <c r="BIH1" s="9" t="s">
        <v>3671</v>
      </c>
      <c r="BII1" s="9" t="s">
        <v>3672</v>
      </c>
      <c r="BIJ1" s="9" t="s">
        <v>3673</v>
      </c>
      <c r="BIK1" s="9" t="s">
        <v>3674</v>
      </c>
      <c r="BIL1" s="9" t="s">
        <v>3675</v>
      </c>
      <c r="BIM1" s="9" t="s">
        <v>3676</v>
      </c>
      <c r="BIN1" s="9" t="s">
        <v>3677</v>
      </c>
      <c r="BIO1" s="9" t="s">
        <v>3678</v>
      </c>
      <c r="BIP1" s="9" t="s">
        <v>3679</v>
      </c>
      <c r="BIQ1" s="9" t="s">
        <v>3680</v>
      </c>
      <c r="BIR1" s="9" t="s">
        <v>3681</v>
      </c>
      <c r="BIS1" s="9" t="s">
        <v>3682</v>
      </c>
      <c r="BIT1" s="9" t="s">
        <v>3683</v>
      </c>
      <c r="BIU1" s="9" t="s">
        <v>3684</v>
      </c>
      <c r="BIV1" s="9" t="s">
        <v>3685</v>
      </c>
      <c r="BIW1" s="9" t="s">
        <v>3686</v>
      </c>
      <c r="BIX1" s="9" t="s">
        <v>3687</v>
      </c>
      <c r="BIY1" s="9" t="s">
        <v>3688</v>
      </c>
      <c r="BIZ1" s="9" t="s">
        <v>3689</v>
      </c>
      <c r="BJA1" s="9" t="s">
        <v>3690</v>
      </c>
      <c r="BJB1" s="9" t="s">
        <v>3691</v>
      </c>
      <c r="BJC1" s="9" t="s">
        <v>3692</v>
      </c>
      <c r="BJD1" s="9" t="s">
        <v>3693</v>
      </c>
      <c r="BJE1" s="9" t="s">
        <v>3694</v>
      </c>
      <c r="BJF1" s="9" t="s">
        <v>3695</v>
      </c>
      <c r="BJG1" s="9" t="s">
        <v>3696</v>
      </c>
      <c r="BJH1" s="9" t="s">
        <v>3697</v>
      </c>
      <c r="BJI1" s="9" t="s">
        <v>3698</v>
      </c>
      <c r="BJJ1" s="9" t="s">
        <v>3699</v>
      </c>
      <c r="BJK1" s="9" t="s">
        <v>3700</v>
      </c>
      <c r="BJL1" s="9" t="s">
        <v>3701</v>
      </c>
      <c r="BJM1" s="9" t="s">
        <v>3702</v>
      </c>
      <c r="BJN1" s="9" t="s">
        <v>3703</v>
      </c>
      <c r="BJO1" s="9" t="s">
        <v>3704</v>
      </c>
      <c r="BJP1" s="9" t="s">
        <v>3705</v>
      </c>
      <c r="BJQ1" s="9" t="s">
        <v>3706</v>
      </c>
      <c r="BJR1" s="9" t="s">
        <v>3707</v>
      </c>
      <c r="BJS1" s="9" t="s">
        <v>3708</v>
      </c>
      <c r="BJT1" s="9" t="s">
        <v>3709</v>
      </c>
      <c r="BJU1" s="9" t="s">
        <v>3710</v>
      </c>
      <c r="BJV1" s="9" t="s">
        <v>3711</v>
      </c>
      <c r="BJW1" s="9" t="s">
        <v>3712</v>
      </c>
      <c r="BJX1" s="9" t="s">
        <v>3713</v>
      </c>
      <c r="BJY1" s="9" t="s">
        <v>3714</v>
      </c>
      <c r="BJZ1" s="9" t="s">
        <v>3715</v>
      </c>
      <c r="BKA1" s="9" t="s">
        <v>3716</v>
      </c>
      <c r="BKB1" s="9" t="s">
        <v>3717</v>
      </c>
      <c r="BKC1" s="9" t="s">
        <v>3718</v>
      </c>
      <c r="BKD1" s="9" t="s">
        <v>3719</v>
      </c>
      <c r="BKE1" s="9" t="s">
        <v>3720</v>
      </c>
      <c r="BKF1" s="9" t="s">
        <v>3721</v>
      </c>
      <c r="BKG1" s="9" t="s">
        <v>3722</v>
      </c>
      <c r="BKH1" s="9" t="s">
        <v>3723</v>
      </c>
      <c r="BKI1" s="9" t="s">
        <v>3724</v>
      </c>
      <c r="BKJ1" s="9" t="s">
        <v>3725</v>
      </c>
      <c r="BKK1" s="9" t="s">
        <v>3726</v>
      </c>
      <c r="BKL1" s="9" t="s">
        <v>3727</v>
      </c>
      <c r="BKM1" s="9" t="s">
        <v>3728</v>
      </c>
      <c r="BKN1" s="9" t="s">
        <v>3729</v>
      </c>
      <c r="BKO1" s="9" t="s">
        <v>3730</v>
      </c>
      <c r="BKP1" s="9" t="s">
        <v>3731</v>
      </c>
      <c r="BKQ1" s="9" t="s">
        <v>3732</v>
      </c>
      <c r="BKR1" s="9" t="s">
        <v>3733</v>
      </c>
      <c r="BKS1" s="9" t="s">
        <v>3734</v>
      </c>
      <c r="BKT1" s="9" t="s">
        <v>3735</v>
      </c>
      <c r="BKU1" s="9" t="s">
        <v>3736</v>
      </c>
      <c r="BKV1" s="9" t="s">
        <v>3737</v>
      </c>
      <c r="BKW1" s="9" t="s">
        <v>3738</v>
      </c>
      <c r="BKX1" s="9" t="s">
        <v>3739</v>
      </c>
      <c r="BKY1" s="9" t="s">
        <v>3740</v>
      </c>
      <c r="BKZ1" s="9" t="s">
        <v>3741</v>
      </c>
      <c r="BLA1" s="9" t="s">
        <v>3742</v>
      </c>
      <c r="BLB1" s="9" t="s">
        <v>3743</v>
      </c>
      <c r="BLC1" s="9" t="s">
        <v>3744</v>
      </c>
      <c r="BLD1" s="9" t="s">
        <v>3745</v>
      </c>
      <c r="BLE1" s="9" t="s">
        <v>3746</v>
      </c>
      <c r="BLF1" s="9" t="s">
        <v>3747</v>
      </c>
      <c r="BLG1" s="9" t="s">
        <v>3748</v>
      </c>
      <c r="BLH1" s="9" t="s">
        <v>3749</v>
      </c>
      <c r="BLI1" s="9" t="s">
        <v>3750</v>
      </c>
      <c r="BLJ1" s="9" t="s">
        <v>3751</v>
      </c>
      <c r="BLK1" s="9" t="s">
        <v>3752</v>
      </c>
      <c r="BLL1" s="9" t="s">
        <v>3753</v>
      </c>
      <c r="BLM1" s="9" t="s">
        <v>3754</v>
      </c>
      <c r="BLN1" s="9" t="s">
        <v>3755</v>
      </c>
      <c r="BLO1" s="9" t="s">
        <v>3756</v>
      </c>
      <c r="BLP1" s="9" t="s">
        <v>3757</v>
      </c>
      <c r="BLQ1" s="9" t="s">
        <v>3758</v>
      </c>
      <c r="BLR1" s="9" t="s">
        <v>3759</v>
      </c>
      <c r="BLS1" s="9" t="s">
        <v>3760</v>
      </c>
      <c r="BLT1" s="9" t="s">
        <v>3761</v>
      </c>
      <c r="BLU1" s="9" t="s">
        <v>3762</v>
      </c>
      <c r="BLV1" s="9" t="s">
        <v>3763</v>
      </c>
      <c r="BLW1" s="9" t="s">
        <v>3764</v>
      </c>
      <c r="BLX1" s="9" t="s">
        <v>3765</v>
      </c>
      <c r="BLY1" s="9" t="s">
        <v>3766</v>
      </c>
      <c r="BLZ1" s="9" t="s">
        <v>3767</v>
      </c>
      <c r="BMA1" s="9" t="s">
        <v>3768</v>
      </c>
      <c r="BMB1" s="9" t="s">
        <v>3769</v>
      </c>
      <c r="BMC1" s="9" t="s">
        <v>3770</v>
      </c>
      <c r="BMD1" s="9" t="s">
        <v>3771</v>
      </c>
      <c r="BME1" s="9" t="s">
        <v>3772</v>
      </c>
      <c r="BMF1" s="9" t="s">
        <v>3773</v>
      </c>
      <c r="BMG1" s="9" t="s">
        <v>3774</v>
      </c>
      <c r="BMH1" s="9" t="s">
        <v>3775</v>
      </c>
      <c r="BMI1" s="9" t="s">
        <v>3776</v>
      </c>
      <c r="BMJ1" s="9" t="s">
        <v>3777</v>
      </c>
      <c r="BMK1" s="9" t="s">
        <v>3778</v>
      </c>
      <c r="BML1" s="9" t="s">
        <v>3779</v>
      </c>
      <c r="BMM1" s="9" t="s">
        <v>3780</v>
      </c>
      <c r="BMN1" s="9" t="s">
        <v>3781</v>
      </c>
      <c r="BMO1" s="9" t="s">
        <v>3782</v>
      </c>
      <c r="BMP1" s="9" t="s">
        <v>3783</v>
      </c>
      <c r="BMQ1" s="9" t="s">
        <v>3784</v>
      </c>
      <c r="BMR1" s="9" t="s">
        <v>3785</v>
      </c>
      <c r="BMS1" s="9" t="s">
        <v>3786</v>
      </c>
      <c r="BMT1" s="9" t="s">
        <v>3787</v>
      </c>
      <c r="BMU1" s="9" t="s">
        <v>3788</v>
      </c>
      <c r="BMV1" s="9" t="s">
        <v>3789</v>
      </c>
      <c r="BMW1" s="9" t="s">
        <v>3790</v>
      </c>
      <c r="BMX1" s="9" t="s">
        <v>3791</v>
      </c>
      <c r="BMY1" s="9" t="s">
        <v>3792</v>
      </c>
      <c r="BMZ1" s="9" t="s">
        <v>3793</v>
      </c>
      <c r="BNA1" s="9" t="s">
        <v>3794</v>
      </c>
      <c r="BNB1" s="9" t="s">
        <v>3795</v>
      </c>
      <c r="BNC1" s="9" t="s">
        <v>3796</v>
      </c>
      <c r="BND1" s="9" t="s">
        <v>3797</v>
      </c>
      <c r="BNE1" s="9" t="s">
        <v>3798</v>
      </c>
      <c r="BNF1" s="9" t="s">
        <v>3799</v>
      </c>
      <c r="BNG1" s="9" t="s">
        <v>3800</v>
      </c>
      <c r="BNH1" s="9" t="s">
        <v>3801</v>
      </c>
      <c r="BNI1" s="9" t="s">
        <v>3802</v>
      </c>
      <c r="BNJ1" s="9" t="s">
        <v>3803</v>
      </c>
      <c r="BNK1" s="9" t="s">
        <v>3804</v>
      </c>
      <c r="BNL1" s="9" t="s">
        <v>3805</v>
      </c>
      <c r="BNM1" s="9" t="s">
        <v>3806</v>
      </c>
      <c r="BNN1" s="9" t="s">
        <v>3807</v>
      </c>
      <c r="BNO1" s="9" t="s">
        <v>3808</v>
      </c>
      <c r="BNP1" s="9" t="s">
        <v>3809</v>
      </c>
      <c r="BNQ1" s="9" t="s">
        <v>3810</v>
      </c>
      <c r="BNR1" s="9" t="s">
        <v>3811</v>
      </c>
      <c r="BNS1" s="9" t="s">
        <v>3812</v>
      </c>
      <c r="BNT1" s="9" t="s">
        <v>3813</v>
      </c>
      <c r="BNU1" s="9" t="s">
        <v>3814</v>
      </c>
      <c r="BNV1" s="9" t="s">
        <v>3815</v>
      </c>
      <c r="BNW1" s="9" t="s">
        <v>3816</v>
      </c>
      <c r="BNX1" s="9" t="s">
        <v>3817</v>
      </c>
      <c r="BNY1" s="9" t="s">
        <v>3818</v>
      </c>
      <c r="BNZ1" s="9" t="s">
        <v>3819</v>
      </c>
      <c r="BOA1" s="9" t="s">
        <v>3820</v>
      </c>
      <c r="BOB1" s="9" t="s">
        <v>3821</v>
      </c>
      <c r="BOC1" s="9" t="s">
        <v>3822</v>
      </c>
      <c r="BOD1" s="9" t="s">
        <v>3823</v>
      </c>
      <c r="BOE1" s="9" t="s">
        <v>3824</v>
      </c>
      <c r="BOF1" s="9" t="s">
        <v>3825</v>
      </c>
      <c r="BOG1" s="9" t="s">
        <v>3826</v>
      </c>
      <c r="BOH1" s="9" t="s">
        <v>3827</v>
      </c>
      <c r="BOI1" s="9" t="s">
        <v>3828</v>
      </c>
      <c r="BOJ1" s="9" t="s">
        <v>3829</v>
      </c>
      <c r="BOK1" s="9" t="s">
        <v>3830</v>
      </c>
      <c r="BOL1" s="9" t="s">
        <v>3831</v>
      </c>
      <c r="BOM1" s="9" t="s">
        <v>3832</v>
      </c>
      <c r="BON1" s="9" t="s">
        <v>3833</v>
      </c>
      <c r="BOO1" s="9" t="s">
        <v>3834</v>
      </c>
      <c r="BOP1" s="9" t="s">
        <v>3835</v>
      </c>
      <c r="BOQ1" s="9" t="s">
        <v>3836</v>
      </c>
      <c r="BOR1" s="9" t="s">
        <v>3837</v>
      </c>
      <c r="BOS1" s="9" t="s">
        <v>3838</v>
      </c>
      <c r="BOT1" s="9" t="s">
        <v>3839</v>
      </c>
      <c r="BOU1" s="9" t="s">
        <v>3840</v>
      </c>
      <c r="BOV1" s="9" t="s">
        <v>3841</v>
      </c>
      <c r="BOW1" s="9" t="s">
        <v>3842</v>
      </c>
      <c r="BOX1" s="9" t="s">
        <v>3843</v>
      </c>
      <c r="BOY1" s="9" t="s">
        <v>3844</v>
      </c>
      <c r="BOZ1" s="9" t="s">
        <v>3845</v>
      </c>
      <c r="BPA1" s="9" t="s">
        <v>3846</v>
      </c>
      <c r="BPB1" s="9" t="s">
        <v>3847</v>
      </c>
      <c r="BPC1" s="9" t="s">
        <v>3848</v>
      </c>
      <c r="BPD1" s="9" t="s">
        <v>3849</v>
      </c>
      <c r="BPE1" s="9" t="s">
        <v>3850</v>
      </c>
      <c r="BPF1" s="9" t="s">
        <v>3851</v>
      </c>
      <c r="BPG1" s="9" t="s">
        <v>3852</v>
      </c>
      <c r="BPH1" s="9" t="s">
        <v>3853</v>
      </c>
      <c r="BPI1" s="9" t="s">
        <v>3854</v>
      </c>
      <c r="BPJ1" s="9" t="s">
        <v>3855</v>
      </c>
      <c r="BPK1" s="9" t="s">
        <v>3856</v>
      </c>
      <c r="BPL1" s="9" t="s">
        <v>3857</v>
      </c>
      <c r="BPM1" s="9" t="s">
        <v>3858</v>
      </c>
      <c r="BPN1" s="9" t="s">
        <v>3859</v>
      </c>
      <c r="BPO1" s="9" t="s">
        <v>3860</v>
      </c>
      <c r="BPP1" s="9" t="s">
        <v>3861</v>
      </c>
      <c r="BPQ1" s="9" t="s">
        <v>3862</v>
      </c>
      <c r="BPR1" s="9" t="s">
        <v>3863</v>
      </c>
      <c r="BPS1" s="9" t="s">
        <v>3864</v>
      </c>
      <c r="BPT1" s="9" t="s">
        <v>3865</v>
      </c>
      <c r="BPU1" s="9" t="s">
        <v>3866</v>
      </c>
      <c r="BPV1" s="9" t="s">
        <v>3867</v>
      </c>
      <c r="BPW1" s="9" t="s">
        <v>3868</v>
      </c>
      <c r="BPX1" s="9" t="s">
        <v>3869</v>
      </c>
      <c r="BPY1" s="9" t="s">
        <v>3870</v>
      </c>
      <c r="BPZ1" s="9" t="s">
        <v>3871</v>
      </c>
      <c r="BQA1" s="9" t="s">
        <v>3872</v>
      </c>
      <c r="BQB1" s="9" t="s">
        <v>3873</v>
      </c>
      <c r="BQC1" s="9" t="s">
        <v>3874</v>
      </c>
      <c r="BQD1" s="9" t="s">
        <v>3875</v>
      </c>
      <c r="BQE1" s="9" t="s">
        <v>3876</v>
      </c>
      <c r="BQF1" s="9" t="s">
        <v>3877</v>
      </c>
      <c r="BQG1" s="9" t="s">
        <v>3878</v>
      </c>
      <c r="BQH1" s="9" t="s">
        <v>3879</v>
      </c>
      <c r="BQI1" s="9" t="s">
        <v>3880</v>
      </c>
      <c r="BQJ1" s="9" t="s">
        <v>3881</v>
      </c>
      <c r="BQK1" s="9" t="s">
        <v>3882</v>
      </c>
      <c r="BQL1" s="9" t="s">
        <v>3883</v>
      </c>
      <c r="BQM1" s="9" t="s">
        <v>3884</v>
      </c>
      <c r="BQN1" s="9" t="s">
        <v>3885</v>
      </c>
      <c r="BQO1" s="9" t="s">
        <v>3886</v>
      </c>
      <c r="BQP1" s="9" t="s">
        <v>3887</v>
      </c>
      <c r="BQQ1" s="9" t="s">
        <v>3888</v>
      </c>
      <c r="BQR1" s="9" t="s">
        <v>3889</v>
      </c>
      <c r="BQS1" s="9" t="s">
        <v>3890</v>
      </c>
      <c r="BQT1" s="9" t="s">
        <v>3891</v>
      </c>
      <c r="BQU1" s="9" t="s">
        <v>3892</v>
      </c>
      <c r="BQV1" s="9" t="s">
        <v>3893</v>
      </c>
      <c r="BQW1" s="9" t="s">
        <v>3894</v>
      </c>
      <c r="BQX1" s="9" t="s">
        <v>3895</v>
      </c>
      <c r="BQY1" s="9" t="s">
        <v>3896</v>
      </c>
      <c r="BQZ1" s="9" t="s">
        <v>3897</v>
      </c>
      <c r="BRA1" s="9" t="s">
        <v>3898</v>
      </c>
      <c r="BRB1" s="9" t="s">
        <v>3899</v>
      </c>
      <c r="BRC1" s="9" t="s">
        <v>3900</v>
      </c>
      <c r="BRD1" s="9" t="s">
        <v>3901</v>
      </c>
      <c r="BRE1" s="9" t="s">
        <v>3902</v>
      </c>
      <c r="BRF1" s="9" t="s">
        <v>3903</v>
      </c>
      <c r="BRG1" s="9" t="s">
        <v>3904</v>
      </c>
      <c r="BRH1" s="9" t="s">
        <v>3905</v>
      </c>
      <c r="BRI1" s="9" t="s">
        <v>3906</v>
      </c>
      <c r="BRJ1" s="9" t="s">
        <v>3907</v>
      </c>
      <c r="BRK1" s="9" t="s">
        <v>3908</v>
      </c>
      <c r="BRL1" s="9" t="s">
        <v>3909</v>
      </c>
      <c r="BRM1" s="9" t="s">
        <v>3910</v>
      </c>
      <c r="BRN1" s="9" t="s">
        <v>3911</v>
      </c>
      <c r="BRO1" s="9" t="s">
        <v>3912</v>
      </c>
      <c r="BRP1" s="9" t="s">
        <v>3913</v>
      </c>
      <c r="BRQ1" s="9" t="s">
        <v>3914</v>
      </c>
      <c r="BRR1" s="9" t="s">
        <v>3915</v>
      </c>
      <c r="BRS1" s="9" t="s">
        <v>3916</v>
      </c>
      <c r="BRT1" s="9" t="s">
        <v>3917</v>
      </c>
      <c r="BRU1" s="9" t="s">
        <v>3918</v>
      </c>
      <c r="BRV1" s="9" t="s">
        <v>3919</v>
      </c>
      <c r="BRW1" s="9" t="s">
        <v>3920</v>
      </c>
      <c r="BRX1" s="9" t="s">
        <v>3921</v>
      </c>
      <c r="BRY1" s="9" t="s">
        <v>3922</v>
      </c>
      <c r="BRZ1" s="9" t="s">
        <v>3923</v>
      </c>
      <c r="BSA1" s="9" t="s">
        <v>3924</v>
      </c>
      <c r="BSB1" s="9" t="s">
        <v>3925</v>
      </c>
      <c r="BSC1" s="9" t="s">
        <v>3926</v>
      </c>
      <c r="BSD1" s="9" t="s">
        <v>3927</v>
      </c>
      <c r="BSE1" s="9" t="s">
        <v>3928</v>
      </c>
      <c r="BSF1" s="9" t="s">
        <v>3929</v>
      </c>
      <c r="BSG1" s="9" t="s">
        <v>3930</v>
      </c>
      <c r="BSH1" s="9" t="s">
        <v>3931</v>
      </c>
      <c r="BSI1" s="9" t="s">
        <v>3932</v>
      </c>
      <c r="BSJ1" s="9" t="s">
        <v>3933</v>
      </c>
      <c r="BSK1" s="9" t="s">
        <v>3934</v>
      </c>
      <c r="BSL1" s="9" t="s">
        <v>3935</v>
      </c>
      <c r="BSM1" s="9" t="s">
        <v>3936</v>
      </c>
      <c r="BSN1" s="9" t="s">
        <v>3937</v>
      </c>
      <c r="BSO1" s="9" t="s">
        <v>3938</v>
      </c>
      <c r="BSP1" s="9" t="s">
        <v>3939</v>
      </c>
      <c r="BSQ1" s="9" t="s">
        <v>3940</v>
      </c>
      <c r="BSR1" s="9" t="s">
        <v>3941</v>
      </c>
      <c r="BSS1" s="9" t="s">
        <v>3942</v>
      </c>
      <c r="BST1" s="9" t="s">
        <v>3943</v>
      </c>
      <c r="BSU1" s="9" t="s">
        <v>3944</v>
      </c>
      <c r="BSV1" s="9" t="s">
        <v>3945</v>
      </c>
      <c r="BSW1" s="9" t="s">
        <v>3946</v>
      </c>
      <c r="BSX1" s="9" t="s">
        <v>3947</v>
      </c>
      <c r="BSY1" s="9" t="s">
        <v>3948</v>
      </c>
      <c r="BSZ1" s="9" t="s">
        <v>3949</v>
      </c>
      <c r="BTA1" s="9" t="s">
        <v>3950</v>
      </c>
      <c r="BTB1" s="9" t="s">
        <v>3951</v>
      </c>
      <c r="BTC1" s="9" t="s">
        <v>3952</v>
      </c>
      <c r="BTD1" s="9" t="s">
        <v>3953</v>
      </c>
      <c r="BTE1" s="9" t="s">
        <v>3954</v>
      </c>
      <c r="BTF1" s="9" t="s">
        <v>3955</v>
      </c>
      <c r="BTG1" s="9" t="s">
        <v>3956</v>
      </c>
      <c r="BTH1" s="9" t="s">
        <v>3957</v>
      </c>
      <c r="BTI1" s="9" t="s">
        <v>3958</v>
      </c>
      <c r="BTJ1" s="9" t="s">
        <v>3959</v>
      </c>
      <c r="BTK1" s="9" t="s">
        <v>3960</v>
      </c>
      <c r="BTL1" s="9" t="s">
        <v>3961</v>
      </c>
      <c r="BTM1" s="9" t="s">
        <v>3962</v>
      </c>
      <c r="BTN1" s="9" t="s">
        <v>3963</v>
      </c>
      <c r="BTO1" s="9" t="s">
        <v>3964</v>
      </c>
      <c r="BTP1" s="9" t="s">
        <v>3965</v>
      </c>
      <c r="BTQ1" s="9" t="s">
        <v>3966</v>
      </c>
      <c r="BTR1" s="9" t="s">
        <v>3967</v>
      </c>
      <c r="BTS1" s="9" t="s">
        <v>3968</v>
      </c>
      <c r="BTT1" s="9" t="s">
        <v>3969</v>
      </c>
      <c r="BTU1" s="9" t="s">
        <v>3970</v>
      </c>
      <c r="BTV1" s="9" t="s">
        <v>3971</v>
      </c>
      <c r="BTW1" s="9" t="s">
        <v>3972</v>
      </c>
      <c r="BTX1" s="9" t="s">
        <v>3973</v>
      </c>
      <c r="BTY1" s="9" t="s">
        <v>3974</v>
      </c>
      <c r="BTZ1" s="9" t="s">
        <v>3975</v>
      </c>
      <c r="BUA1" s="9" t="s">
        <v>3976</v>
      </c>
      <c r="BUB1" s="9" t="s">
        <v>3977</v>
      </c>
      <c r="BUC1" s="9" t="s">
        <v>3978</v>
      </c>
      <c r="BUD1" s="9" t="s">
        <v>3979</v>
      </c>
      <c r="BUE1" s="9" t="s">
        <v>3980</v>
      </c>
      <c r="BUF1" s="9" t="s">
        <v>3981</v>
      </c>
      <c r="BUG1" s="9" t="s">
        <v>3982</v>
      </c>
      <c r="BUH1" s="9" t="s">
        <v>3983</v>
      </c>
      <c r="BUI1" s="9" t="s">
        <v>3984</v>
      </c>
      <c r="BUJ1" s="9" t="s">
        <v>3985</v>
      </c>
      <c r="BUK1" s="9" t="s">
        <v>3986</v>
      </c>
      <c r="BUL1" s="9" t="s">
        <v>3987</v>
      </c>
      <c r="BUM1" s="9" t="s">
        <v>3988</v>
      </c>
      <c r="BUN1" s="9" t="s">
        <v>3989</v>
      </c>
      <c r="BUO1" s="9" t="s">
        <v>3990</v>
      </c>
      <c r="BUP1" s="9" t="s">
        <v>3991</v>
      </c>
      <c r="BUQ1" s="9" t="s">
        <v>3992</v>
      </c>
      <c r="BUR1" s="9" t="s">
        <v>3993</v>
      </c>
      <c r="BUS1" s="9" t="s">
        <v>3994</v>
      </c>
      <c r="BUT1" s="9" t="s">
        <v>3995</v>
      </c>
      <c r="BUU1" s="9" t="s">
        <v>3996</v>
      </c>
      <c r="BUV1" s="9" t="s">
        <v>3997</v>
      </c>
      <c r="BUW1" s="9" t="s">
        <v>3998</v>
      </c>
      <c r="BUX1" s="9" t="s">
        <v>3999</v>
      </c>
      <c r="BUY1" s="9" t="s">
        <v>4000</v>
      </c>
      <c r="BUZ1" s="9" t="s">
        <v>4001</v>
      </c>
      <c r="BVA1" s="9" t="s">
        <v>4002</v>
      </c>
      <c r="BVB1" s="9" t="s">
        <v>4003</v>
      </c>
      <c r="BVC1" s="9" t="s">
        <v>4004</v>
      </c>
      <c r="BVD1" s="9" t="s">
        <v>4005</v>
      </c>
      <c r="BVE1" s="9" t="s">
        <v>4006</v>
      </c>
      <c r="BVF1" s="9" t="s">
        <v>4007</v>
      </c>
      <c r="BVG1" s="9" t="s">
        <v>4008</v>
      </c>
      <c r="BVH1" s="9" t="s">
        <v>4009</v>
      </c>
      <c r="BVI1" s="9" t="s">
        <v>4010</v>
      </c>
      <c r="BVJ1" s="9" t="s">
        <v>4011</v>
      </c>
      <c r="BVK1" s="9" t="s">
        <v>4012</v>
      </c>
      <c r="BVL1" s="9" t="s">
        <v>4013</v>
      </c>
      <c r="BVM1" s="9" t="s">
        <v>4014</v>
      </c>
      <c r="BVN1" s="9" t="s">
        <v>4015</v>
      </c>
      <c r="BVO1" s="9" t="s">
        <v>4016</v>
      </c>
      <c r="BVP1" s="9" t="s">
        <v>4017</v>
      </c>
      <c r="BVQ1" s="9" t="s">
        <v>4018</v>
      </c>
      <c r="BVR1" s="9" t="s">
        <v>4019</v>
      </c>
      <c r="BVS1" s="9" t="s">
        <v>4020</v>
      </c>
      <c r="BVT1" s="9" t="s">
        <v>4021</v>
      </c>
      <c r="BVU1" s="9" t="s">
        <v>4022</v>
      </c>
      <c r="BVV1" s="9" t="s">
        <v>4023</v>
      </c>
      <c r="BVW1" s="9" t="s">
        <v>4024</v>
      </c>
      <c r="BVX1" s="9" t="s">
        <v>4025</v>
      </c>
      <c r="BVY1" s="9" t="s">
        <v>4026</v>
      </c>
      <c r="BVZ1" s="9" t="s">
        <v>4027</v>
      </c>
      <c r="BWA1" s="9" t="s">
        <v>4028</v>
      </c>
      <c r="BWB1" s="9" t="s">
        <v>4029</v>
      </c>
      <c r="BWC1" s="9" t="s">
        <v>4030</v>
      </c>
      <c r="BWD1" s="9" t="s">
        <v>4031</v>
      </c>
      <c r="BWE1" s="9" t="s">
        <v>4032</v>
      </c>
      <c r="BWF1" s="9" t="s">
        <v>4033</v>
      </c>
      <c r="BWG1" s="9" t="s">
        <v>4034</v>
      </c>
      <c r="BWH1" s="9" t="s">
        <v>4035</v>
      </c>
      <c r="BWI1" s="9" t="s">
        <v>4036</v>
      </c>
      <c r="BWJ1" s="9" t="s">
        <v>4037</v>
      </c>
      <c r="BWK1" s="9" t="s">
        <v>4038</v>
      </c>
      <c r="BWL1" s="9" t="s">
        <v>4039</v>
      </c>
      <c r="BWM1" s="9" t="s">
        <v>4040</v>
      </c>
      <c r="BWN1" s="9" t="s">
        <v>4041</v>
      </c>
      <c r="BWO1" s="9" t="s">
        <v>4042</v>
      </c>
      <c r="BWP1" s="9" t="s">
        <v>4043</v>
      </c>
      <c r="BWQ1" s="9" t="s">
        <v>4044</v>
      </c>
      <c r="BWR1" s="9" t="s">
        <v>4045</v>
      </c>
      <c r="BWS1" s="9" t="s">
        <v>4046</v>
      </c>
      <c r="BWT1" s="9" t="s">
        <v>4047</v>
      </c>
      <c r="BWU1" s="9" t="s">
        <v>4048</v>
      </c>
      <c r="BWV1" s="9" t="s">
        <v>4049</v>
      </c>
      <c r="BWW1" s="9" t="s">
        <v>4050</v>
      </c>
      <c r="BWX1" s="9" t="s">
        <v>4051</v>
      </c>
      <c r="BWY1" s="9" t="s">
        <v>4052</v>
      </c>
      <c r="BWZ1" s="9" t="s">
        <v>4053</v>
      </c>
      <c r="BXA1" s="9" t="s">
        <v>4054</v>
      </c>
      <c r="BXB1" s="9" t="s">
        <v>4055</v>
      </c>
      <c r="BXC1" s="9" t="s">
        <v>4056</v>
      </c>
      <c r="BXD1" s="9" t="s">
        <v>4057</v>
      </c>
      <c r="BXE1" s="9" t="s">
        <v>4058</v>
      </c>
      <c r="BXF1" s="9" t="s">
        <v>4059</v>
      </c>
      <c r="BXG1" s="9" t="s">
        <v>4060</v>
      </c>
      <c r="BXH1" s="9" t="s">
        <v>4061</v>
      </c>
      <c r="BXI1" s="9" t="s">
        <v>4062</v>
      </c>
      <c r="BXJ1" s="9" t="s">
        <v>4063</v>
      </c>
      <c r="BXK1" s="9" t="s">
        <v>4064</v>
      </c>
      <c r="BXL1" s="9" t="s">
        <v>4065</v>
      </c>
      <c r="BXM1" s="9" t="s">
        <v>4066</v>
      </c>
      <c r="BXN1" s="9" t="s">
        <v>4067</v>
      </c>
      <c r="BXO1" s="9" t="s">
        <v>4068</v>
      </c>
      <c r="BXP1" s="9" t="s">
        <v>4069</v>
      </c>
      <c r="BXQ1" s="9" t="s">
        <v>4070</v>
      </c>
      <c r="BXR1" s="9" t="s">
        <v>4071</v>
      </c>
      <c r="BXS1" s="9" t="s">
        <v>4072</v>
      </c>
      <c r="BXT1" s="9" t="s">
        <v>4073</v>
      </c>
      <c r="BXU1" s="9" t="s">
        <v>4074</v>
      </c>
      <c r="BXV1" s="9" t="s">
        <v>4075</v>
      </c>
      <c r="BXW1" s="9" t="s">
        <v>4076</v>
      </c>
      <c r="BXX1" s="9" t="s">
        <v>4077</v>
      </c>
      <c r="BXY1" s="9" t="s">
        <v>4078</v>
      </c>
      <c r="BXZ1" s="9" t="s">
        <v>4079</v>
      </c>
      <c r="BYA1" s="9" t="s">
        <v>4080</v>
      </c>
      <c r="BYB1" s="9" t="s">
        <v>4081</v>
      </c>
      <c r="BYC1" s="9" t="s">
        <v>4082</v>
      </c>
      <c r="BYD1" s="9" t="s">
        <v>4083</v>
      </c>
      <c r="BYE1" s="9" t="s">
        <v>4084</v>
      </c>
      <c r="BYF1" s="9" t="s">
        <v>4085</v>
      </c>
      <c r="BYG1" s="9" t="s">
        <v>4086</v>
      </c>
      <c r="BYH1" s="9" t="s">
        <v>4087</v>
      </c>
      <c r="BYI1" s="9" t="s">
        <v>4088</v>
      </c>
      <c r="BYJ1" s="9" t="s">
        <v>4089</v>
      </c>
      <c r="BYK1" s="9" t="s">
        <v>4090</v>
      </c>
      <c r="BYL1" s="9" t="s">
        <v>4091</v>
      </c>
      <c r="BYM1" s="9" t="s">
        <v>4092</v>
      </c>
      <c r="BYN1" s="9" t="s">
        <v>4093</v>
      </c>
      <c r="BYO1" s="9" t="s">
        <v>4094</v>
      </c>
      <c r="BYP1" s="9" t="s">
        <v>4095</v>
      </c>
      <c r="BYQ1" s="9" t="s">
        <v>4096</v>
      </c>
      <c r="BYR1" s="9" t="s">
        <v>4097</v>
      </c>
      <c r="BYS1" s="9" t="s">
        <v>4098</v>
      </c>
      <c r="BYT1" s="9" t="s">
        <v>4099</v>
      </c>
      <c r="BYU1" s="9" t="s">
        <v>4100</v>
      </c>
      <c r="BYV1" s="9" t="s">
        <v>4101</v>
      </c>
      <c r="BYW1" s="9" t="s">
        <v>4102</v>
      </c>
      <c r="BYX1" s="9" t="s">
        <v>4103</v>
      </c>
      <c r="BYY1" s="9" t="s">
        <v>4104</v>
      </c>
      <c r="BYZ1" s="9" t="s">
        <v>4105</v>
      </c>
      <c r="BZA1" s="9" t="s">
        <v>4106</v>
      </c>
      <c r="BZB1" s="9" t="s">
        <v>4107</v>
      </c>
      <c r="BZC1" s="9" t="s">
        <v>4108</v>
      </c>
      <c r="BZD1" s="9" t="s">
        <v>4109</v>
      </c>
      <c r="BZE1" s="9" t="s">
        <v>4110</v>
      </c>
      <c r="BZF1" s="9" t="s">
        <v>4111</v>
      </c>
      <c r="BZG1" s="9" t="s">
        <v>4112</v>
      </c>
      <c r="BZH1" s="9" t="s">
        <v>4113</v>
      </c>
      <c r="BZI1" s="9" t="s">
        <v>4114</v>
      </c>
      <c r="BZJ1" s="9" t="s">
        <v>4115</v>
      </c>
      <c r="BZK1" s="9" t="s">
        <v>4116</v>
      </c>
      <c r="BZL1" s="9" t="s">
        <v>4117</v>
      </c>
      <c r="BZM1" s="9" t="s">
        <v>4118</v>
      </c>
      <c r="BZN1" s="9" t="s">
        <v>4119</v>
      </c>
      <c r="BZO1" s="9" t="s">
        <v>4120</v>
      </c>
      <c r="BZP1" s="9" t="s">
        <v>4121</v>
      </c>
      <c r="BZQ1" s="9" t="s">
        <v>4122</v>
      </c>
      <c r="BZR1" s="9" t="s">
        <v>4123</v>
      </c>
      <c r="BZS1" s="9" t="s">
        <v>4124</v>
      </c>
      <c r="BZT1" s="9" t="s">
        <v>4125</v>
      </c>
      <c r="BZU1" s="9" t="s">
        <v>4126</v>
      </c>
      <c r="BZV1" s="9" t="s">
        <v>4127</v>
      </c>
      <c r="BZW1" s="9" t="s">
        <v>4128</v>
      </c>
      <c r="BZX1" s="9" t="s">
        <v>4129</v>
      </c>
      <c r="BZY1" s="9" t="s">
        <v>4130</v>
      </c>
      <c r="BZZ1" s="9" t="s">
        <v>4131</v>
      </c>
      <c r="CAA1" s="9" t="s">
        <v>4132</v>
      </c>
      <c r="CAB1" s="9" t="s">
        <v>4133</v>
      </c>
      <c r="CAC1" s="9" t="s">
        <v>4134</v>
      </c>
      <c r="CAD1" s="9" t="s">
        <v>4135</v>
      </c>
      <c r="CAE1" s="9" t="s">
        <v>4136</v>
      </c>
      <c r="CAF1" s="9" t="s">
        <v>4137</v>
      </c>
      <c r="CAG1" s="9" t="s">
        <v>4138</v>
      </c>
      <c r="CAH1" s="9" t="s">
        <v>4139</v>
      </c>
      <c r="CAI1" s="9" t="s">
        <v>4140</v>
      </c>
      <c r="CAJ1" s="9" t="s">
        <v>4141</v>
      </c>
      <c r="CAK1" s="9" t="s">
        <v>4142</v>
      </c>
      <c r="CAL1" s="9" t="s">
        <v>4143</v>
      </c>
      <c r="CAM1" s="9" t="s">
        <v>4144</v>
      </c>
      <c r="CAN1" s="9" t="s">
        <v>4145</v>
      </c>
      <c r="CAO1" s="9" t="s">
        <v>4146</v>
      </c>
      <c r="CAP1" s="9" t="s">
        <v>4147</v>
      </c>
      <c r="CAQ1" s="9" t="s">
        <v>4148</v>
      </c>
      <c r="CAR1" s="9" t="s">
        <v>4149</v>
      </c>
      <c r="CAS1" s="9" t="s">
        <v>4150</v>
      </c>
      <c r="CAT1" s="9" t="s">
        <v>4151</v>
      </c>
      <c r="CAU1" s="9" t="s">
        <v>4152</v>
      </c>
      <c r="CAV1" s="9" t="s">
        <v>4153</v>
      </c>
      <c r="CAW1" s="9" t="s">
        <v>4154</v>
      </c>
      <c r="CAX1" s="9" t="s">
        <v>4155</v>
      </c>
      <c r="CAY1" s="9" t="s">
        <v>4156</v>
      </c>
      <c r="CAZ1" s="9" t="s">
        <v>4157</v>
      </c>
      <c r="CBA1" s="9" t="s">
        <v>4158</v>
      </c>
      <c r="CBB1" s="9" t="s">
        <v>4159</v>
      </c>
      <c r="CBC1" s="9" t="s">
        <v>4160</v>
      </c>
      <c r="CBD1" s="9" t="s">
        <v>4161</v>
      </c>
      <c r="CBE1" s="9" t="s">
        <v>4162</v>
      </c>
      <c r="CBF1" s="9" t="s">
        <v>4163</v>
      </c>
      <c r="CBG1" s="9" t="s">
        <v>4164</v>
      </c>
      <c r="CBH1" s="9" t="s">
        <v>4165</v>
      </c>
      <c r="CBI1" s="9" t="s">
        <v>4166</v>
      </c>
      <c r="CBJ1" s="9" t="s">
        <v>4167</v>
      </c>
      <c r="CBK1" s="9" t="s">
        <v>4168</v>
      </c>
      <c r="CBL1" s="9" t="s">
        <v>4169</v>
      </c>
      <c r="CBM1" s="9" t="s">
        <v>4170</v>
      </c>
      <c r="CBN1" s="9" t="s">
        <v>4171</v>
      </c>
      <c r="CBO1" s="9" t="s">
        <v>4172</v>
      </c>
      <c r="CBP1" s="9" t="s">
        <v>4173</v>
      </c>
      <c r="CBQ1" s="9" t="s">
        <v>4174</v>
      </c>
      <c r="CBR1" s="9" t="s">
        <v>4175</v>
      </c>
      <c r="CBS1" s="9" t="s">
        <v>4176</v>
      </c>
      <c r="CBT1" s="9" t="s">
        <v>4177</v>
      </c>
      <c r="CBU1" s="9" t="s">
        <v>4178</v>
      </c>
      <c r="CBV1" s="9" t="s">
        <v>4179</v>
      </c>
      <c r="CBW1" s="9" t="s">
        <v>4180</v>
      </c>
      <c r="CBX1" s="9" t="s">
        <v>4181</v>
      </c>
      <c r="CBY1" s="9" t="s">
        <v>4182</v>
      </c>
      <c r="CBZ1" s="9" t="s">
        <v>4183</v>
      </c>
      <c r="CCA1" s="9" t="s">
        <v>4184</v>
      </c>
      <c r="CCB1" s="9" t="s">
        <v>4185</v>
      </c>
      <c r="CCC1" s="9" t="s">
        <v>4186</v>
      </c>
      <c r="CCD1" s="9" t="s">
        <v>4187</v>
      </c>
      <c r="CCE1" s="9" t="s">
        <v>4188</v>
      </c>
      <c r="CCF1" s="9" t="s">
        <v>4189</v>
      </c>
      <c r="CCG1" s="9" t="s">
        <v>4190</v>
      </c>
      <c r="CCH1" s="9" t="s">
        <v>4191</v>
      </c>
      <c r="CCI1" s="9" t="s">
        <v>4192</v>
      </c>
      <c r="CCJ1" s="9" t="s">
        <v>4193</v>
      </c>
      <c r="CCK1" s="9" t="s">
        <v>4194</v>
      </c>
      <c r="CCL1" s="9" t="s">
        <v>4195</v>
      </c>
      <c r="CCM1" s="9" t="s">
        <v>4196</v>
      </c>
      <c r="CCN1" s="9" t="s">
        <v>4197</v>
      </c>
      <c r="CCO1" s="9" t="s">
        <v>4198</v>
      </c>
      <c r="CCP1" s="9" t="s">
        <v>4199</v>
      </c>
      <c r="CCQ1" s="9" t="s">
        <v>4200</v>
      </c>
      <c r="CCR1" s="9" t="s">
        <v>4201</v>
      </c>
      <c r="CCS1" s="9" t="s">
        <v>4202</v>
      </c>
      <c r="CCT1" s="9" t="s">
        <v>4203</v>
      </c>
      <c r="CCU1" s="9" t="s">
        <v>4204</v>
      </c>
      <c r="CCV1" s="9" t="s">
        <v>4205</v>
      </c>
      <c r="CCW1" s="9" t="s">
        <v>4206</v>
      </c>
      <c r="CCX1" s="9" t="s">
        <v>4207</v>
      </c>
      <c r="CCY1" s="9" t="s">
        <v>4208</v>
      </c>
      <c r="CCZ1" s="9" t="s">
        <v>4209</v>
      </c>
      <c r="CDA1" s="9" t="s">
        <v>4210</v>
      </c>
      <c r="CDB1" s="9" t="s">
        <v>4211</v>
      </c>
      <c r="CDC1" s="9" t="s">
        <v>4212</v>
      </c>
      <c r="CDD1" s="9" t="s">
        <v>4213</v>
      </c>
      <c r="CDE1" s="9" t="s">
        <v>4214</v>
      </c>
      <c r="CDF1" s="9" t="s">
        <v>4215</v>
      </c>
      <c r="CDG1" s="9" t="s">
        <v>4216</v>
      </c>
      <c r="CDH1" s="9" t="s">
        <v>4217</v>
      </c>
      <c r="CDI1" s="9" t="s">
        <v>4218</v>
      </c>
      <c r="CDJ1" s="9" t="s">
        <v>4219</v>
      </c>
      <c r="CDK1" s="9" t="s">
        <v>4220</v>
      </c>
      <c r="CDL1" s="9" t="s">
        <v>4221</v>
      </c>
      <c r="CDM1" s="9" t="s">
        <v>4222</v>
      </c>
      <c r="CDN1" s="9" t="s">
        <v>4223</v>
      </c>
      <c r="CDO1" s="9" t="s">
        <v>4224</v>
      </c>
      <c r="CDP1" s="9" t="s">
        <v>4225</v>
      </c>
      <c r="CDQ1" s="9" t="s">
        <v>4226</v>
      </c>
      <c r="CDR1" s="9" t="s">
        <v>4227</v>
      </c>
      <c r="CDS1" s="9" t="s">
        <v>4228</v>
      </c>
      <c r="CDT1" s="9" t="s">
        <v>4229</v>
      </c>
      <c r="CDU1" s="9" t="s">
        <v>4230</v>
      </c>
      <c r="CDV1" s="9" t="s">
        <v>4231</v>
      </c>
      <c r="CDW1" s="9" t="s">
        <v>4232</v>
      </c>
      <c r="CDX1" s="9" t="s">
        <v>4233</v>
      </c>
      <c r="CDY1" s="9" t="s">
        <v>4234</v>
      </c>
      <c r="CDZ1" s="9" t="s">
        <v>4235</v>
      </c>
      <c r="CEA1" s="9" t="s">
        <v>4236</v>
      </c>
      <c r="CEB1" s="9" t="s">
        <v>4237</v>
      </c>
      <c r="CEC1" s="9" t="s">
        <v>4238</v>
      </c>
      <c r="CED1" s="9" t="s">
        <v>4239</v>
      </c>
      <c r="CEE1" s="9" t="s">
        <v>4240</v>
      </c>
      <c r="CEF1" s="9" t="s">
        <v>4241</v>
      </c>
      <c r="CEG1" s="9" t="s">
        <v>4242</v>
      </c>
      <c r="CEH1" s="9" t="s">
        <v>4243</v>
      </c>
      <c r="CEI1" s="9" t="s">
        <v>4244</v>
      </c>
      <c r="CEJ1" s="9" t="s">
        <v>4245</v>
      </c>
      <c r="CEK1" s="9" t="s">
        <v>4246</v>
      </c>
      <c r="CEL1" s="9" t="s">
        <v>4247</v>
      </c>
      <c r="CEM1" s="9" t="s">
        <v>4248</v>
      </c>
      <c r="CEN1" s="9" t="s">
        <v>4249</v>
      </c>
      <c r="CEO1" s="9" t="s">
        <v>4250</v>
      </c>
      <c r="CEP1" s="9" t="s">
        <v>4251</v>
      </c>
      <c r="CEQ1" s="9" t="s">
        <v>4252</v>
      </c>
      <c r="CER1" s="9" t="s">
        <v>4253</v>
      </c>
      <c r="CES1" s="9" t="s">
        <v>4254</v>
      </c>
      <c r="CET1" s="9" t="s">
        <v>4255</v>
      </c>
      <c r="CEU1" s="9" t="s">
        <v>4256</v>
      </c>
      <c r="CEV1" s="9" t="s">
        <v>4257</v>
      </c>
      <c r="CEW1" s="9" t="s">
        <v>4258</v>
      </c>
      <c r="CEX1" s="9" t="s">
        <v>4259</v>
      </c>
      <c r="CEY1" s="9" t="s">
        <v>4260</v>
      </c>
      <c r="CEZ1" s="9" t="s">
        <v>4261</v>
      </c>
      <c r="CFA1" s="9" t="s">
        <v>4262</v>
      </c>
      <c r="CFB1" s="9" t="s">
        <v>4263</v>
      </c>
      <c r="CFC1" s="9" t="s">
        <v>4264</v>
      </c>
      <c r="CFD1" s="9" t="s">
        <v>4265</v>
      </c>
      <c r="CFE1" s="9" t="s">
        <v>4266</v>
      </c>
      <c r="CFF1" s="9" t="s">
        <v>4267</v>
      </c>
      <c r="CFG1" s="9" t="s">
        <v>4268</v>
      </c>
      <c r="CFH1" s="9" t="s">
        <v>4269</v>
      </c>
      <c r="CFI1" s="9" t="s">
        <v>4270</v>
      </c>
      <c r="CFJ1" s="9" t="s">
        <v>4271</v>
      </c>
      <c r="CFK1" s="9" t="s">
        <v>4272</v>
      </c>
      <c r="CFL1" s="9" t="s">
        <v>4273</v>
      </c>
      <c r="CFM1" s="9" t="s">
        <v>4274</v>
      </c>
      <c r="CFN1" s="9" t="s">
        <v>4275</v>
      </c>
      <c r="CFO1" s="9" t="s">
        <v>4276</v>
      </c>
      <c r="CFP1" s="9" t="s">
        <v>4277</v>
      </c>
      <c r="CFQ1" s="9" t="s">
        <v>4278</v>
      </c>
      <c r="CFR1" s="9" t="s">
        <v>4279</v>
      </c>
      <c r="CFS1" s="9" t="s">
        <v>4280</v>
      </c>
      <c r="CFT1" s="9" t="s">
        <v>4281</v>
      </c>
      <c r="CFU1" s="9" t="s">
        <v>4282</v>
      </c>
      <c r="CFV1" s="9" t="s">
        <v>4283</v>
      </c>
      <c r="CFW1" s="9" t="s">
        <v>4284</v>
      </c>
      <c r="CFX1" s="9" t="s">
        <v>4285</v>
      </c>
      <c r="CFY1" s="9" t="s">
        <v>4286</v>
      </c>
      <c r="CFZ1" s="9" t="s">
        <v>4287</v>
      </c>
      <c r="CGA1" s="9" t="s">
        <v>4288</v>
      </c>
      <c r="CGB1" s="9" t="s">
        <v>4289</v>
      </c>
      <c r="CGC1" s="9" t="s">
        <v>4290</v>
      </c>
      <c r="CGD1" s="9" t="s">
        <v>4291</v>
      </c>
      <c r="CGE1" s="9" t="s">
        <v>4292</v>
      </c>
      <c r="CGF1" s="9" t="s">
        <v>4293</v>
      </c>
      <c r="CGG1" s="9" t="s">
        <v>4294</v>
      </c>
      <c r="CGH1" s="9" t="s">
        <v>4295</v>
      </c>
      <c r="CGI1" s="9" t="s">
        <v>4296</v>
      </c>
      <c r="CGJ1" s="9" t="s">
        <v>4297</v>
      </c>
      <c r="CGK1" s="9" t="s">
        <v>4298</v>
      </c>
      <c r="CGL1" s="9" t="s">
        <v>4299</v>
      </c>
      <c r="CGM1" s="9" t="s">
        <v>4300</v>
      </c>
      <c r="CGN1" s="9" t="s">
        <v>4301</v>
      </c>
      <c r="CGO1" s="9" t="s">
        <v>4302</v>
      </c>
      <c r="CGP1" s="9" t="s">
        <v>4303</v>
      </c>
      <c r="CGQ1" s="9" t="s">
        <v>4304</v>
      </c>
      <c r="CGR1" s="9" t="s">
        <v>4305</v>
      </c>
      <c r="CGS1" s="9" t="s">
        <v>4306</v>
      </c>
      <c r="CGT1" s="9" t="s">
        <v>4307</v>
      </c>
      <c r="CGU1" s="9" t="s">
        <v>4308</v>
      </c>
      <c r="CGV1" s="9" t="s">
        <v>4309</v>
      </c>
      <c r="CGW1" s="9" t="s">
        <v>4310</v>
      </c>
      <c r="CGX1" s="9" t="s">
        <v>4311</v>
      </c>
      <c r="CGY1" s="9" t="s">
        <v>4312</v>
      </c>
      <c r="CGZ1" s="9" t="s">
        <v>4313</v>
      </c>
      <c r="CHA1" s="9" t="s">
        <v>4314</v>
      </c>
      <c r="CHB1" s="9" t="s">
        <v>4315</v>
      </c>
      <c r="CHC1" s="9" t="s">
        <v>4316</v>
      </c>
      <c r="CHD1" s="9" t="s">
        <v>4317</v>
      </c>
      <c r="CHE1" s="9" t="s">
        <v>4318</v>
      </c>
      <c r="CHF1" s="9" t="s">
        <v>4319</v>
      </c>
      <c r="CHG1" s="9" t="s">
        <v>4320</v>
      </c>
      <c r="CHH1" s="9" t="s">
        <v>4321</v>
      </c>
      <c r="CHI1" s="9" t="s">
        <v>4322</v>
      </c>
      <c r="CHJ1" s="9" t="s">
        <v>4323</v>
      </c>
      <c r="CHK1" s="9" t="s">
        <v>4324</v>
      </c>
      <c r="CHL1" s="9" t="s">
        <v>4325</v>
      </c>
      <c r="CHM1" s="9" t="s">
        <v>4326</v>
      </c>
      <c r="CHN1" s="9" t="s">
        <v>4327</v>
      </c>
      <c r="CHO1" s="9" t="s">
        <v>4328</v>
      </c>
      <c r="CHP1" s="9" t="s">
        <v>4329</v>
      </c>
      <c r="CHQ1" s="9" t="s">
        <v>4330</v>
      </c>
      <c r="CHR1" s="9" t="s">
        <v>4331</v>
      </c>
      <c r="CHS1" s="9" t="s">
        <v>4332</v>
      </c>
      <c r="CHT1" s="9" t="s">
        <v>4333</v>
      </c>
      <c r="CHU1" s="9" t="s">
        <v>4334</v>
      </c>
      <c r="CHV1" s="9" t="s">
        <v>4335</v>
      </c>
      <c r="CHW1" s="9" t="s">
        <v>4336</v>
      </c>
      <c r="CHX1" s="9" t="s">
        <v>4337</v>
      </c>
      <c r="CHY1" s="9" t="s">
        <v>4338</v>
      </c>
      <c r="CHZ1" s="9" t="s">
        <v>4339</v>
      </c>
      <c r="CIA1" s="9" t="s">
        <v>4340</v>
      </c>
      <c r="CIB1" s="9" t="s">
        <v>4341</v>
      </c>
      <c r="CIC1" s="9" t="s">
        <v>4342</v>
      </c>
      <c r="CID1" s="9" t="s">
        <v>4343</v>
      </c>
      <c r="CIE1" s="9" t="s">
        <v>4344</v>
      </c>
      <c r="CIF1" s="9" t="s">
        <v>4345</v>
      </c>
      <c r="CIG1" s="9" t="s">
        <v>4346</v>
      </c>
      <c r="CIH1" s="9" t="s">
        <v>4347</v>
      </c>
      <c r="CII1" s="9" t="s">
        <v>4348</v>
      </c>
      <c r="CIJ1" s="9" t="s">
        <v>4349</v>
      </c>
      <c r="CIK1" s="9" t="s">
        <v>4350</v>
      </c>
      <c r="CIL1" s="9" t="s">
        <v>4351</v>
      </c>
      <c r="CIM1" s="9" t="s">
        <v>4352</v>
      </c>
      <c r="CIN1" s="9" t="s">
        <v>4353</v>
      </c>
      <c r="CIO1" s="9" t="s">
        <v>4354</v>
      </c>
      <c r="CIP1" s="9" t="s">
        <v>4355</v>
      </c>
      <c r="CIQ1" s="9" t="s">
        <v>4356</v>
      </c>
      <c r="CIR1" s="9" t="s">
        <v>4357</v>
      </c>
      <c r="CIS1" s="9" t="s">
        <v>4358</v>
      </c>
      <c r="CIT1" s="9" t="s">
        <v>4359</v>
      </c>
      <c r="CIU1" s="9" t="s">
        <v>4360</v>
      </c>
      <c r="CIV1" s="9" t="s">
        <v>4361</v>
      </c>
      <c r="CIW1" s="9" t="s">
        <v>4362</v>
      </c>
      <c r="CIX1" s="9" t="s">
        <v>4363</v>
      </c>
      <c r="CIY1" s="9" t="s">
        <v>4364</v>
      </c>
      <c r="CIZ1" s="9" t="s">
        <v>4365</v>
      </c>
      <c r="CJA1" s="9" t="s">
        <v>4366</v>
      </c>
      <c r="CJB1" s="9" t="s">
        <v>4367</v>
      </c>
      <c r="CJC1" s="9" t="s">
        <v>4368</v>
      </c>
      <c r="CJD1" s="9" t="s">
        <v>4369</v>
      </c>
      <c r="CJE1" s="9" t="s">
        <v>4370</v>
      </c>
      <c r="CJF1" s="9" t="s">
        <v>4371</v>
      </c>
      <c r="CJG1" s="9" t="s">
        <v>4372</v>
      </c>
      <c r="CJH1" s="9" t="s">
        <v>4373</v>
      </c>
      <c r="CJI1" s="9" t="s">
        <v>4374</v>
      </c>
      <c r="CJJ1" s="9" t="s">
        <v>4375</v>
      </c>
      <c r="CJK1" s="9" t="s">
        <v>4376</v>
      </c>
      <c r="CJL1" s="9" t="s">
        <v>4377</v>
      </c>
      <c r="CJM1" s="9" t="s">
        <v>4378</v>
      </c>
      <c r="CJN1" s="9" t="s">
        <v>4379</v>
      </c>
      <c r="CJO1" s="9" t="s">
        <v>4380</v>
      </c>
      <c r="CJP1" s="9" t="s">
        <v>4381</v>
      </c>
      <c r="CJQ1" s="9" t="s">
        <v>4382</v>
      </c>
      <c r="CJR1" s="9" t="s">
        <v>4383</v>
      </c>
      <c r="CJS1" s="9" t="s">
        <v>4384</v>
      </c>
      <c r="CJT1" s="9" t="s">
        <v>4385</v>
      </c>
      <c r="CJU1" s="9" t="s">
        <v>4386</v>
      </c>
      <c r="CJV1" s="9" t="s">
        <v>4387</v>
      </c>
      <c r="CJW1" s="9" t="s">
        <v>4388</v>
      </c>
      <c r="CJX1" s="9" t="s">
        <v>4389</v>
      </c>
      <c r="CJY1" s="9" t="s">
        <v>4390</v>
      </c>
      <c r="CJZ1" s="9" t="s">
        <v>4391</v>
      </c>
      <c r="CKA1" s="9" t="s">
        <v>4392</v>
      </c>
      <c r="CKB1" s="9" t="s">
        <v>4393</v>
      </c>
      <c r="CKC1" s="9" t="s">
        <v>4394</v>
      </c>
      <c r="CKD1" s="9" t="s">
        <v>4395</v>
      </c>
      <c r="CKE1" s="9" t="s">
        <v>4396</v>
      </c>
      <c r="CKF1" s="9" t="s">
        <v>4397</v>
      </c>
      <c r="CKG1" s="9" t="s">
        <v>4398</v>
      </c>
      <c r="CKH1" s="9" t="s">
        <v>4399</v>
      </c>
      <c r="CKI1" s="9" t="s">
        <v>4400</v>
      </c>
      <c r="CKJ1" s="9" t="s">
        <v>4401</v>
      </c>
      <c r="CKK1" s="9" t="s">
        <v>4402</v>
      </c>
      <c r="CKL1" s="9" t="s">
        <v>4403</v>
      </c>
      <c r="CKM1" s="9" t="s">
        <v>4404</v>
      </c>
      <c r="CKN1" s="9" t="s">
        <v>4405</v>
      </c>
      <c r="CKO1" s="9" t="s">
        <v>4406</v>
      </c>
      <c r="CKP1" s="9" t="s">
        <v>4407</v>
      </c>
      <c r="CKQ1" s="9" t="s">
        <v>4408</v>
      </c>
      <c r="CKR1" s="9" t="s">
        <v>4409</v>
      </c>
      <c r="CKS1" s="9" t="s">
        <v>4410</v>
      </c>
      <c r="CKT1" s="9" t="s">
        <v>4411</v>
      </c>
      <c r="CKU1" s="9" t="s">
        <v>4412</v>
      </c>
      <c r="CKV1" s="9" t="s">
        <v>4413</v>
      </c>
      <c r="CKW1" s="9" t="s">
        <v>4414</v>
      </c>
      <c r="CKX1" s="9" t="s">
        <v>4415</v>
      </c>
      <c r="CKY1" s="9" t="s">
        <v>4416</v>
      </c>
      <c r="CKZ1" s="9" t="s">
        <v>4417</v>
      </c>
      <c r="CLA1" s="9" t="s">
        <v>4418</v>
      </c>
      <c r="CLB1" s="9" t="s">
        <v>4419</v>
      </c>
      <c r="CLC1" s="9" t="s">
        <v>4420</v>
      </c>
      <c r="CLD1" s="9" t="s">
        <v>4421</v>
      </c>
      <c r="CLE1" s="9" t="s">
        <v>4422</v>
      </c>
      <c r="CLF1" s="9" t="s">
        <v>4423</v>
      </c>
      <c r="CLG1" s="9" t="s">
        <v>4424</v>
      </c>
      <c r="CLH1" s="9" t="s">
        <v>4425</v>
      </c>
      <c r="CLI1" s="9" t="s">
        <v>4426</v>
      </c>
      <c r="CLJ1" s="9" t="s">
        <v>4427</v>
      </c>
      <c r="CLK1" s="9" t="s">
        <v>4428</v>
      </c>
      <c r="CLL1" s="9" t="s">
        <v>4429</v>
      </c>
      <c r="CLM1" s="9" t="s">
        <v>4430</v>
      </c>
      <c r="CLN1" s="9" t="s">
        <v>4431</v>
      </c>
      <c r="CLO1" s="9" t="s">
        <v>4432</v>
      </c>
      <c r="CLP1" s="9" t="s">
        <v>4433</v>
      </c>
      <c r="CLQ1" s="9" t="s">
        <v>4434</v>
      </c>
      <c r="CLR1" s="9" t="s">
        <v>4435</v>
      </c>
      <c r="CLS1" s="9" t="s">
        <v>4436</v>
      </c>
      <c r="CLT1" s="9" t="s">
        <v>4437</v>
      </c>
      <c r="CLU1" s="9" t="s">
        <v>4438</v>
      </c>
      <c r="CLV1" s="9" t="s">
        <v>4439</v>
      </c>
      <c r="CLW1" s="9" t="s">
        <v>4440</v>
      </c>
      <c r="CLX1" s="9" t="s">
        <v>4441</v>
      </c>
      <c r="CLY1" s="9" t="s">
        <v>4442</v>
      </c>
      <c r="CLZ1" s="9" t="s">
        <v>4443</v>
      </c>
      <c r="CMA1" s="9" t="s">
        <v>4444</v>
      </c>
      <c r="CMB1" s="9" t="s">
        <v>4445</v>
      </c>
      <c r="CMC1" s="9" t="s">
        <v>4446</v>
      </c>
      <c r="CMD1" s="9" t="s">
        <v>4447</v>
      </c>
      <c r="CME1" s="9" t="s">
        <v>4448</v>
      </c>
      <c r="CMF1" s="9" t="s">
        <v>4449</v>
      </c>
      <c r="CMG1" s="9" t="s">
        <v>4450</v>
      </c>
      <c r="CMH1" s="9" t="s">
        <v>4451</v>
      </c>
      <c r="CMI1" s="9" t="s">
        <v>4452</v>
      </c>
      <c r="CMJ1" s="9" t="s">
        <v>4453</v>
      </c>
      <c r="CMK1" s="9" t="s">
        <v>4454</v>
      </c>
      <c r="CML1" s="9" t="s">
        <v>4455</v>
      </c>
      <c r="CMM1" s="9" t="s">
        <v>4456</v>
      </c>
      <c r="CMN1" s="9" t="s">
        <v>4457</v>
      </c>
      <c r="CMO1" s="9" t="s">
        <v>4458</v>
      </c>
      <c r="CMP1" s="9" t="s">
        <v>4459</v>
      </c>
      <c r="CMQ1" s="9" t="s">
        <v>4460</v>
      </c>
      <c r="CMR1" s="9" t="s">
        <v>4461</v>
      </c>
      <c r="CMS1" s="9" t="s">
        <v>4462</v>
      </c>
      <c r="CMT1" s="9" t="s">
        <v>4463</v>
      </c>
      <c r="CMU1" s="9" t="s">
        <v>4464</v>
      </c>
      <c r="CMV1" s="9" t="s">
        <v>4465</v>
      </c>
      <c r="CMW1" s="9" t="s">
        <v>4466</v>
      </c>
      <c r="CMX1" s="9" t="s">
        <v>4467</v>
      </c>
      <c r="CMY1" s="9" t="s">
        <v>4468</v>
      </c>
      <c r="CMZ1" s="9" t="s">
        <v>4469</v>
      </c>
      <c r="CNA1" s="9" t="s">
        <v>4470</v>
      </c>
      <c r="CNB1" s="9" t="s">
        <v>4471</v>
      </c>
      <c r="CNC1" s="9" t="s">
        <v>4472</v>
      </c>
      <c r="CND1" s="9" t="s">
        <v>4473</v>
      </c>
      <c r="CNE1" s="9" t="s">
        <v>4474</v>
      </c>
      <c r="CNF1" s="9" t="s">
        <v>4475</v>
      </c>
      <c r="CNG1" s="9" t="s">
        <v>4476</v>
      </c>
      <c r="CNH1" s="9" t="s">
        <v>4477</v>
      </c>
      <c r="CNI1" s="9" t="s">
        <v>4478</v>
      </c>
      <c r="CNJ1" s="9" t="s">
        <v>4479</v>
      </c>
      <c r="CNK1" s="9" t="s">
        <v>4480</v>
      </c>
      <c r="CNL1" s="9" t="s">
        <v>4481</v>
      </c>
      <c r="CNM1" s="9" t="s">
        <v>4482</v>
      </c>
      <c r="CNN1" s="9" t="s">
        <v>4483</v>
      </c>
      <c r="CNO1" s="9" t="s">
        <v>4484</v>
      </c>
      <c r="CNP1" s="9" t="s">
        <v>4485</v>
      </c>
      <c r="CNQ1" s="9" t="s">
        <v>4486</v>
      </c>
      <c r="CNR1" s="9" t="s">
        <v>4487</v>
      </c>
      <c r="CNS1" s="9" t="s">
        <v>4488</v>
      </c>
      <c r="CNT1" s="9" t="s">
        <v>4489</v>
      </c>
      <c r="CNU1" s="9" t="s">
        <v>4490</v>
      </c>
      <c r="CNV1" s="9" t="s">
        <v>4491</v>
      </c>
      <c r="CNW1" s="9" t="s">
        <v>4492</v>
      </c>
      <c r="CNX1" s="9" t="s">
        <v>4493</v>
      </c>
      <c r="CNY1" s="9" t="s">
        <v>4494</v>
      </c>
      <c r="CNZ1" s="9" t="s">
        <v>4495</v>
      </c>
      <c r="COA1" s="9" t="s">
        <v>4496</v>
      </c>
      <c r="COB1" s="9" t="s">
        <v>4497</v>
      </c>
      <c r="COC1" s="9" t="s">
        <v>4498</v>
      </c>
      <c r="COD1" s="9" t="s">
        <v>4499</v>
      </c>
      <c r="COE1" s="9" t="s">
        <v>4500</v>
      </c>
      <c r="COF1" s="9" t="s">
        <v>4501</v>
      </c>
      <c r="COG1" s="9" t="s">
        <v>4502</v>
      </c>
      <c r="COH1" s="9" t="s">
        <v>4503</v>
      </c>
      <c r="COI1" s="9" t="s">
        <v>4504</v>
      </c>
      <c r="COJ1" s="9" t="s">
        <v>4505</v>
      </c>
      <c r="COK1" s="9" t="s">
        <v>4506</v>
      </c>
      <c r="COL1" s="9" t="s">
        <v>4507</v>
      </c>
      <c r="COM1" s="9" t="s">
        <v>4508</v>
      </c>
      <c r="CON1" s="9" t="s">
        <v>4509</v>
      </c>
      <c r="COO1" s="9" t="s">
        <v>4510</v>
      </c>
      <c r="COP1" s="9" t="s">
        <v>4511</v>
      </c>
      <c r="COQ1" s="9" t="s">
        <v>4512</v>
      </c>
      <c r="COR1" s="9" t="s">
        <v>4513</v>
      </c>
      <c r="COS1" s="9" t="s">
        <v>4514</v>
      </c>
      <c r="COT1" s="9" t="s">
        <v>4515</v>
      </c>
      <c r="COU1" s="9" t="s">
        <v>4516</v>
      </c>
      <c r="COV1" s="9" t="s">
        <v>4517</v>
      </c>
      <c r="COW1" s="9" t="s">
        <v>4518</v>
      </c>
      <c r="COX1" s="9" t="s">
        <v>4519</v>
      </c>
      <c r="COY1" s="9" t="s">
        <v>4520</v>
      </c>
      <c r="COZ1" s="9" t="s">
        <v>4521</v>
      </c>
      <c r="CPA1" s="9" t="s">
        <v>4522</v>
      </c>
      <c r="CPB1" s="9" t="s">
        <v>4523</v>
      </c>
      <c r="CPC1" s="9" t="s">
        <v>4524</v>
      </c>
      <c r="CPD1" s="9" t="s">
        <v>4525</v>
      </c>
      <c r="CPE1" s="9" t="s">
        <v>4526</v>
      </c>
      <c r="CPF1" s="9" t="s">
        <v>4527</v>
      </c>
      <c r="CPG1" s="9" t="s">
        <v>4528</v>
      </c>
      <c r="CPH1" s="9" t="s">
        <v>4529</v>
      </c>
      <c r="CPI1" s="9" t="s">
        <v>4530</v>
      </c>
      <c r="CPJ1" s="9" t="s">
        <v>4531</v>
      </c>
      <c r="CPK1" s="9" t="s">
        <v>4532</v>
      </c>
      <c r="CPL1" s="9" t="s">
        <v>4533</v>
      </c>
      <c r="CPM1" s="9" t="s">
        <v>4534</v>
      </c>
      <c r="CPN1" s="9" t="s">
        <v>4535</v>
      </c>
      <c r="CPO1" s="9" t="s">
        <v>4536</v>
      </c>
      <c r="CPP1" s="9" t="s">
        <v>4537</v>
      </c>
      <c r="CPQ1" s="9" t="s">
        <v>4538</v>
      </c>
      <c r="CPR1" s="9" t="s">
        <v>4539</v>
      </c>
      <c r="CPS1" s="9" t="s">
        <v>4540</v>
      </c>
      <c r="CPT1" s="9" t="s">
        <v>4541</v>
      </c>
      <c r="CPU1" s="9" t="s">
        <v>4542</v>
      </c>
      <c r="CPV1" s="9" t="s">
        <v>4543</v>
      </c>
      <c r="CPW1" s="9" t="s">
        <v>4544</v>
      </c>
      <c r="CPX1" s="9" t="s">
        <v>4545</v>
      </c>
      <c r="CPY1" s="9" t="s">
        <v>4546</v>
      </c>
      <c r="CPZ1" s="9" t="s">
        <v>4547</v>
      </c>
      <c r="CQA1" s="9" t="s">
        <v>4548</v>
      </c>
      <c r="CQB1" s="9" t="s">
        <v>4549</v>
      </c>
      <c r="CQC1" s="9" t="s">
        <v>4550</v>
      </c>
      <c r="CQD1" s="9" t="s">
        <v>4551</v>
      </c>
      <c r="CQE1" s="9" t="s">
        <v>4552</v>
      </c>
      <c r="CQF1" s="9" t="s">
        <v>4553</v>
      </c>
      <c r="CQG1" s="9" t="s">
        <v>4554</v>
      </c>
      <c r="CQH1" s="9" t="s">
        <v>4555</v>
      </c>
      <c r="CQI1" s="9" t="s">
        <v>4556</v>
      </c>
      <c r="CQJ1" s="9" t="s">
        <v>4557</v>
      </c>
      <c r="CQK1" s="9" t="s">
        <v>4558</v>
      </c>
      <c r="CQL1" s="9" t="s">
        <v>4559</v>
      </c>
      <c r="CQM1" s="9" t="s">
        <v>4560</v>
      </c>
      <c r="CQN1" s="9" t="s">
        <v>4561</v>
      </c>
      <c r="CQO1" s="9" t="s">
        <v>4562</v>
      </c>
      <c r="CQP1" s="9" t="s">
        <v>4563</v>
      </c>
      <c r="CQQ1" s="9" t="s">
        <v>4564</v>
      </c>
      <c r="CQR1" s="9" t="s">
        <v>4565</v>
      </c>
      <c r="CQS1" s="9" t="s">
        <v>4566</v>
      </c>
      <c r="CQT1" s="9" t="s">
        <v>4567</v>
      </c>
      <c r="CQU1" s="9" t="s">
        <v>4568</v>
      </c>
      <c r="CQV1" s="9" t="s">
        <v>4569</v>
      </c>
      <c r="CQW1" s="9" t="s">
        <v>4570</v>
      </c>
      <c r="CQX1" s="9" t="s">
        <v>4571</v>
      </c>
      <c r="CQY1" s="9" t="s">
        <v>4572</v>
      </c>
      <c r="CQZ1" s="9" t="s">
        <v>4573</v>
      </c>
      <c r="CRA1" s="9" t="s">
        <v>4574</v>
      </c>
      <c r="CRB1" s="9" t="s">
        <v>4575</v>
      </c>
      <c r="CRC1" s="9" t="s">
        <v>4576</v>
      </c>
      <c r="CRD1" s="9" t="s">
        <v>4577</v>
      </c>
      <c r="CRE1" s="9" t="s">
        <v>4578</v>
      </c>
      <c r="CRF1" s="9" t="s">
        <v>4579</v>
      </c>
      <c r="CRG1" s="9" t="s">
        <v>4580</v>
      </c>
      <c r="CRH1" s="9" t="s">
        <v>4581</v>
      </c>
      <c r="CRI1" s="9" t="s">
        <v>4582</v>
      </c>
      <c r="CRJ1" s="9" t="s">
        <v>4583</v>
      </c>
      <c r="CRK1" s="9" t="s">
        <v>4584</v>
      </c>
      <c r="CRL1" s="9" t="s">
        <v>4585</v>
      </c>
      <c r="CRM1" s="9" t="s">
        <v>4586</v>
      </c>
      <c r="CRN1" s="9" t="s">
        <v>4587</v>
      </c>
      <c r="CRO1" s="9" t="s">
        <v>4588</v>
      </c>
      <c r="CRP1" s="9" t="s">
        <v>4589</v>
      </c>
      <c r="CRQ1" s="9" t="s">
        <v>4590</v>
      </c>
      <c r="CRR1" s="9" t="s">
        <v>4591</v>
      </c>
      <c r="CRS1" s="9" t="s">
        <v>4592</v>
      </c>
      <c r="CRT1" s="9" t="s">
        <v>4593</v>
      </c>
      <c r="CRU1" s="9" t="s">
        <v>4594</v>
      </c>
      <c r="CRV1" s="9" t="s">
        <v>4595</v>
      </c>
      <c r="CRW1" s="9" t="s">
        <v>4596</v>
      </c>
      <c r="CRX1" s="9" t="s">
        <v>4597</v>
      </c>
      <c r="CRY1" s="9" t="s">
        <v>4598</v>
      </c>
      <c r="CRZ1" s="9" t="s">
        <v>4599</v>
      </c>
      <c r="CSA1" s="9" t="s">
        <v>4600</v>
      </c>
      <c r="CSB1" s="9" t="s">
        <v>4601</v>
      </c>
      <c r="CSC1" s="9" t="s">
        <v>4602</v>
      </c>
      <c r="CSD1" s="9" t="s">
        <v>4603</v>
      </c>
      <c r="CSE1" s="9" t="s">
        <v>4604</v>
      </c>
      <c r="CSF1" s="9" t="s">
        <v>4605</v>
      </c>
      <c r="CSG1" s="9" t="s">
        <v>4606</v>
      </c>
      <c r="CSH1" s="9" t="s">
        <v>4607</v>
      </c>
      <c r="CSI1" s="9" t="s">
        <v>4608</v>
      </c>
      <c r="CSJ1" s="9" t="s">
        <v>4609</v>
      </c>
      <c r="CSK1" s="9" t="s">
        <v>4610</v>
      </c>
      <c r="CSL1" s="9" t="s">
        <v>4611</v>
      </c>
      <c r="CSM1" s="9" t="s">
        <v>4612</v>
      </c>
      <c r="CSN1" s="9" t="s">
        <v>4613</v>
      </c>
      <c r="CSO1" s="9" t="s">
        <v>4614</v>
      </c>
      <c r="CSP1" s="9" t="s">
        <v>4615</v>
      </c>
      <c r="CSQ1" s="9" t="s">
        <v>4616</v>
      </c>
      <c r="CSR1" s="9" t="s">
        <v>4617</v>
      </c>
      <c r="CSS1" s="9" t="s">
        <v>4618</v>
      </c>
      <c r="CST1" s="9" t="s">
        <v>4619</v>
      </c>
      <c r="CSU1" s="9" t="s">
        <v>4620</v>
      </c>
      <c r="CSV1" s="9" t="s">
        <v>4621</v>
      </c>
      <c r="CSW1" s="9" t="s">
        <v>4622</v>
      </c>
      <c r="CSX1" s="9" t="s">
        <v>4623</v>
      </c>
      <c r="CSY1" s="9" t="s">
        <v>4624</v>
      </c>
      <c r="CSZ1" s="9" t="s">
        <v>4625</v>
      </c>
      <c r="CTA1" s="9" t="s">
        <v>4626</v>
      </c>
      <c r="CTB1" s="9" t="s">
        <v>4627</v>
      </c>
      <c r="CTC1" s="9" t="s">
        <v>4628</v>
      </c>
      <c r="CTD1" s="9" t="s">
        <v>4629</v>
      </c>
      <c r="CTE1" s="9" t="s">
        <v>4630</v>
      </c>
      <c r="CTF1" s="9" t="s">
        <v>4631</v>
      </c>
      <c r="CTG1" s="9" t="s">
        <v>4632</v>
      </c>
      <c r="CTH1" s="9" t="s">
        <v>4633</v>
      </c>
      <c r="CTI1" s="9" t="s">
        <v>4634</v>
      </c>
      <c r="CTJ1" s="9" t="s">
        <v>4635</v>
      </c>
      <c r="CTK1" s="9" t="s">
        <v>4636</v>
      </c>
      <c r="CTL1" s="9" t="s">
        <v>4637</v>
      </c>
      <c r="CTM1" s="9" t="s">
        <v>4638</v>
      </c>
      <c r="CTN1" s="9" t="s">
        <v>4639</v>
      </c>
      <c r="CTO1" s="9" t="s">
        <v>4640</v>
      </c>
      <c r="CTP1" s="9" t="s">
        <v>4641</v>
      </c>
      <c r="CTQ1" s="9" t="s">
        <v>4642</v>
      </c>
      <c r="CTR1" s="9" t="s">
        <v>4643</v>
      </c>
      <c r="CTS1" s="9" t="s">
        <v>4644</v>
      </c>
      <c r="CTT1" s="9" t="s">
        <v>4645</v>
      </c>
      <c r="CTU1" s="9" t="s">
        <v>4646</v>
      </c>
      <c r="CTV1" s="9" t="s">
        <v>4647</v>
      </c>
      <c r="CTW1" s="9" t="s">
        <v>4648</v>
      </c>
      <c r="CTX1" s="9" t="s">
        <v>4649</v>
      </c>
      <c r="CTY1" s="9" t="s">
        <v>4650</v>
      </c>
      <c r="CTZ1" s="9" t="s">
        <v>4651</v>
      </c>
      <c r="CUA1" s="9" t="s">
        <v>4652</v>
      </c>
      <c r="CUB1" s="9" t="s">
        <v>4653</v>
      </c>
      <c r="CUC1" s="9" t="s">
        <v>4654</v>
      </c>
      <c r="CUD1" s="9" t="s">
        <v>4655</v>
      </c>
      <c r="CUE1" s="9" t="s">
        <v>4656</v>
      </c>
      <c r="CUF1" s="9" t="s">
        <v>4657</v>
      </c>
      <c r="CUG1" s="9" t="s">
        <v>4658</v>
      </c>
      <c r="CUH1" s="9" t="s">
        <v>4659</v>
      </c>
      <c r="CUI1" s="9" t="s">
        <v>4660</v>
      </c>
      <c r="CUJ1" s="9" t="s">
        <v>4661</v>
      </c>
      <c r="CUK1" s="9" t="s">
        <v>4662</v>
      </c>
      <c r="CUL1" s="9" t="s">
        <v>4663</v>
      </c>
      <c r="CUM1" s="9" t="s">
        <v>4664</v>
      </c>
      <c r="CUN1" s="9" t="s">
        <v>4665</v>
      </c>
      <c r="CUO1" s="9" t="s">
        <v>4666</v>
      </c>
      <c r="CUP1" s="9" t="s">
        <v>4667</v>
      </c>
      <c r="CUQ1" s="9" t="s">
        <v>4668</v>
      </c>
      <c r="CUR1" s="9" t="s">
        <v>4669</v>
      </c>
      <c r="CUS1" s="9" t="s">
        <v>4670</v>
      </c>
      <c r="CUT1" s="9" t="s">
        <v>4671</v>
      </c>
      <c r="CUU1" s="9" t="s">
        <v>4672</v>
      </c>
      <c r="CUV1" s="9" t="s">
        <v>4673</v>
      </c>
      <c r="CUW1" s="9" t="s">
        <v>4674</v>
      </c>
      <c r="CUX1" s="9" t="s">
        <v>4675</v>
      </c>
      <c r="CUY1" s="9" t="s">
        <v>4676</v>
      </c>
      <c r="CUZ1" s="9" t="s">
        <v>4677</v>
      </c>
      <c r="CVA1" s="9" t="s">
        <v>4678</v>
      </c>
      <c r="CVB1" s="9" t="s">
        <v>4679</v>
      </c>
      <c r="CVC1" s="9" t="s">
        <v>4680</v>
      </c>
      <c r="CVD1" s="9" t="s">
        <v>4681</v>
      </c>
      <c r="CVE1" s="9" t="s">
        <v>4682</v>
      </c>
      <c r="CVF1" s="9" t="s">
        <v>4683</v>
      </c>
      <c r="CVG1" s="9" t="s">
        <v>4684</v>
      </c>
      <c r="CVH1" s="9" t="s">
        <v>4685</v>
      </c>
      <c r="CVI1" s="9" t="s">
        <v>4686</v>
      </c>
      <c r="CVJ1" s="9" t="s">
        <v>4687</v>
      </c>
      <c r="CVK1" s="9" t="s">
        <v>4688</v>
      </c>
      <c r="CVL1" s="9" t="s">
        <v>4689</v>
      </c>
      <c r="CVM1" s="9" t="s">
        <v>4690</v>
      </c>
      <c r="CVN1" s="9" t="s">
        <v>4691</v>
      </c>
      <c r="CVO1" s="9" t="s">
        <v>4692</v>
      </c>
      <c r="CVP1" s="9" t="s">
        <v>4693</v>
      </c>
      <c r="CVQ1" s="9" t="s">
        <v>4694</v>
      </c>
      <c r="CVR1" s="9" t="s">
        <v>4695</v>
      </c>
      <c r="CVS1" s="9" t="s">
        <v>4696</v>
      </c>
      <c r="CVT1" s="9" t="s">
        <v>4697</v>
      </c>
      <c r="CVU1" s="9" t="s">
        <v>4698</v>
      </c>
      <c r="CVV1" s="9" t="s">
        <v>4699</v>
      </c>
      <c r="CVW1" s="9" t="s">
        <v>4700</v>
      </c>
      <c r="CVX1" s="9" t="s">
        <v>4701</v>
      </c>
      <c r="CVY1" s="9" t="s">
        <v>4702</v>
      </c>
      <c r="CVZ1" s="9" t="s">
        <v>4703</v>
      </c>
      <c r="CWA1" s="9" t="s">
        <v>4704</v>
      </c>
      <c r="CWB1" s="9" t="s">
        <v>4705</v>
      </c>
      <c r="CWC1" s="9" t="s">
        <v>4706</v>
      </c>
      <c r="CWD1" s="9" t="s">
        <v>4707</v>
      </c>
      <c r="CWE1" s="9" t="s">
        <v>4708</v>
      </c>
      <c r="CWF1" s="9" t="s">
        <v>4709</v>
      </c>
      <c r="CWG1" s="9" t="s">
        <v>4710</v>
      </c>
      <c r="CWH1" s="9" t="s">
        <v>4711</v>
      </c>
      <c r="CWI1" s="9" t="s">
        <v>4712</v>
      </c>
      <c r="CWJ1" s="9" t="s">
        <v>4713</v>
      </c>
      <c r="CWK1" s="9" t="s">
        <v>4714</v>
      </c>
      <c r="CWL1" s="9" t="s">
        <v>4715</v>
      </c>
      <c r="CWM1" s="9" t="s">
        <v>4716</v>
      </c>
      <c r="CWN1" s="9" t="s">
        <v>4717</v>
      </c>
      <c r="CWO1" s="9" t="s">
        <v>4718</v>
      </c>
      <c r="CWP1" s="9" t="s">
        <v>4719</v>
      </c>
      <c r="CWQ1" s="9" t="s">
        <v>4720</v>
      </c>
      <c r="CWR1" s="9" t="s">
        <v>4721</v>
      </c>
      <c r="CWS1" s="9" t="s">
        <v>4722</v>
      </c>
      <c r="CWT1" s="9" t="s">
        <v>4723</v>
      </c>
      <c r="CWU1" s="9" t="s">
        <v>4724</v>
      </c>
      <c r="CWV1" s="9" t="s">
        <v>4725</v>
      </c>
      <c r="CWW1" s="9" t="s">
        <v>4726</v>
      </c>
      <c r="CWX1" s="9" t="s">
        <v>4727</v>
      </c>
      <c r="CWY1" s="9" t="s">
        <v>4728</v>
      </c>
      <c r="CWZ1" s="9" t="s">
        <v>4729</v>
      </c>
      <c r="CXA1" s="9" t="s">
        <v>4730</v>
      </c>
      <c r="CXB1" s="9" t="s">
        <v>4731</v>
      </c>
      <c r="CXC1" s="9" t="s">
        <v>4732</v>
      </c>
      <c r="CXD1" s="9" t="s">
        <v>4733</v>
      </c>
      <c r="CXE1" s="9" t="s">
        <v>4734</v>
      </c>
      <c r="CXF1" s="9" t="s">
        <v>4735</v>
      </c>
      <c r="CXG1" s="9" t="s">
        <v>4736</v>
      </c>
      <c r="CXH1" s="9" t="s">
        <v>4737</v>
      </c>
      <c r="CXI1" s="9" t="s">
        <v>4738</v>
      </c>
      <c r="CXJ1" s="9" t="s">
        <v>4739</v>
      </c>
      <c r="CXK1" s="9" t="s">
        <v>4740</v>
      </c>
      <c r="CXL1" s="9" t="s">
        <v>4741</v>
      </c>
      <c r="CXM1" s="9" t="s">
        <v>4742</v>
      </c>
      <c r="CXN1" s="9" t="s">
        <v>4743</v>
      </c>
      <c r="CXO1" s="9" t="s">
        <v>4744</v>
      </c>
      <c r="CXP1" s="9" t="s">
        <v>4745</v>
      </c>
      <c r="CXQ1" s="9" t="s">
        <v>4746</v>
      </c>
      <c r="CXR1" s="9" t="s">
        <v>4747</v>
      </c>
      <c r="CXS1" s="9" t="s">
        <v>4748</v>
      </c>
      <c r="CXT1" s="9" t="s">
        <v>4749</v>
      </c>
      <c r="CXU1" s="9" t="s">
        <v>4750</v>
      </c>
      <c r="CXV1" s="9" t="s">
        <v>4751</v>
      </c>
      <c r="CXW1" s="9" t="s">
        <v>4752</v>
      </c>
      <c r="CXX1" s="9" t="s">
        <v>4753</v>
      </c>
      <c r="CXY1" s="9" t="s">
        <v>4754</v>
      </c>
      <c r="CXZ1" s="9" t="s">
        <v>4755</v>
      </c>
      <c r="CYA1" s="9" t="s">
        <v>4756</v>
      </c>
      <c r="CYB1" s="9" t="s">
        <v>4757</v>
      </c>
      <c r="CYC1" s="9" t="s">
        <v>4758</v>
      </c>
      <c r="CYD1" s="9" t="s">
        <v>4759</v>
      </c>
      <c r="CYE1" s="9" t="s">
        <v>4760</v>
      </c>
      <c r="CYF1" s="9" t="s">
        <v>4761</v>
      </c>
      <c r="CYG1" s="9" t="s">
        <v>4762</v>
      </c>
      <c r="CYH1" s="9" t="s">
        <v>4763</v>
      </c>
      <c r="CYI1" s="9" t="s">
        <v>4764</v>
      </c>
      <c r="CYJ1" s="9" t="s">
        <v>4765</v>
      </c>
      <c r="CYK1" s="9" t="s">
        <v>4766</v>
      </c>
      <c r="CYL1" s="9" t="s">
        <v>4767</v>
      </c>
      <c r="CYM1" s="9" t="s">
        <v>4768</v>
      </c>
      <c r="CYN1" s="9" t="s">
        <v>4769</v>
      </c>
      <c r="CYO1" s="9" t="s">
        <v>4770</v>
      </c>
      <c r="CYP1" s="9" t="s">
        <v>4771</v>
      </c>
      <c r="CYQ1" s="9" t="s">
        <v>4772</v>
      </c>
      <c r="CYR1" s="9" t="s">
        <v>4773</v>
      </c>
      <c r="CYS1" s="9" t="s">
        <v>4774</v>
      </c>
      <c r="CYT1" s="9" t="s">
        <v>4775</v>
      </c>
      <c r="CYU1" s="9" t="s">
        <v>4776</v>
      </c>
      <c r="CYV1" s="9" t="s">
        <v>4777</v>
      </c>
      <c r="CYW1" s="9" t="s">
        <v>4778</v>
      </c>
      <c r="CYX1" s="9" t="s">
        <v>4779</v>
      </c>
      <c r="CYY1" s="9" t="s">
        <v>4780</v>
      </c>
      <c r="CYZ1" s="9" t="s">
        <v>4781</v>
      </c>
      <c r="CZA1" s="9" t="s">
        <v>4782</v>
      </c>
      <c r="CZB1" s="9" t="s">
        <v>4783</v>
      </c>
      <c r="CZC1" s="9" t="s">
        <v>4784</v>
      </c>
      <c r="CZD1" s="9" t="s">
        <v>4785</v>
      </c>
      <c r="CZE1" s="9" t="s">
        <v>4786</v>
      </c>
      <c r="CZF1" s="9" t="s">
        <v>4787</v>
      </c>
      <c r="CZG1" s="9" t="s">
        <v>4788</v>
      </c>
      <c r="CZH1" s="9" t="s">
        <v>4789</v>
      </c>
      <c r="CZI1" s="9" t="s">
        <v>4790</v>
      </c>
      <c r="CZJ1" s="9" t="s">
        <v>4791</v>
      </c>
      <c r="CZK1" s="9" t="s">
        <v>4792</v>
      </c>
      <c r="CZL1" s="9" t="s">
        <v>4793</v>
      </c>
      <c r="CZM1" s="9" t="s">
        <v>4794</v>
      </c>
      <c r="CZN1" s="9" t="s">
        <v>4795</v>
      </c>
      <c r="CZO1" s="9" t="s">
        <v>4796</v>
      </c>
      <c r="CZP1" s="9" t="s">
        <v>4797</v>
      </c>
      <c r="CZQ1" s="9" t="s">
        <v>4798</v>
      </c>
      <c r="CZR1" s="9" t="s">
        <v>4799</v>
      </c>
      <c r="CZS1" s="9" t="s">
        <v>4800</v>
      </c>
      <c r="CZT1" s="9" t="s">
        <v>4801</v>
      </c>
      <c r="CZU1" s="9" t="s">
        <v>4802</v>
      </c>
      <c r="CZV1" s="9" t="s">
        <v>4803</v>
      </c>
      <c r="CZW1" s="9" t="s">
        <v>4804</v>
      </c>
      <c r="CZX1" s="9" t="s">
        <v>4805</v>
      </c>
      <c r="CZY1" s="9" t="s">
        <v>4806</v>
      </c>
      <c r="CZZ1" s="9" t="s">
        <v>4807</v>
      </c>
      <c r="DAA1" s="9" t="s">
        <v>4808</v>
      </c>
      <c r="DAB1" s="9" t="s">
        <v>4809</v>
      </c>
      <c r="DAC1" s="9" t="s">
        <v>4810</v>
      </c>
      <c r="DAD1" s="9" t="s">
        <v>4811</v>
      </c>
      <c r="DAE1" s="9" t="s">
        <v>4812</v>
      </c>
      <c r="DAF1" s="9" t="s">
        <v>4813</v>
      </c>
      <c r="DAG1" s="9" t="s">
        <v>4814</v>
      </c>
      <c r="DAH1" s="9" t="s">
        <v>4815</v>
      </c>
      <c r="DAI1" s="9" t="s">
        <v>4816</v>
      </c>
      <c r="DAJ1" s="9" t="s">
        <v>4817</v>
      </c>
      <c r="DAK1" s="9" t="s">
        <v>4818</v>
      </c>
      <c r="DAL1" s="9" t="s">
        <v>4819</v>
      </c>
      <c r="DAM1" s="9" t="s">
        <v>4820</v>
      </c>
      <c r="DAN1" s="9" t="s">
        <v>4821</v>
      </c>
      <c r="DAO1" s="9" t="s">
        <v>4822</v>
      </c>
      <c r="DAP1" s="9" t="s">
        <v>4823</v>
      </c>
      <c r="DAQ1" s="9" t="s">
        <v>4824</v>
      </c>
      <c r="DAR1" s="9" t="s">
        <v>4825</v>
      </c>
      <c r="DAS1" s="9" t="s">
        <v>4826</v>
      </c>
      <c r="DAT1" s="9" t="s">
        <v>4827</v>
      </c>
      <c r="DAU1" s="9" t="s">
        <v>4828</v>
      </c>
      <c r="DAV1" s="9" t="s">
        <v>4829</v>
      </c>
      <c r="DAW1" s="9" t="s">
        <v>4830</v>
      </c>
      <c r="DAX1" s="9" t="s">
        <v>4831</v>
      </c>
      <c r="DAY1" s="9" t="s">
        <v>4832</v>
      </c>
      <c r="DAZ1" s="9" t="s">
        <v>4833</v>
      </c>
      <c r="DBA1" s="9" t="s">
        <v>4834</v>
      </c>
      <c r="DBB1" s="9" t="s">
        <v>4835</v>
      </c>
      <c r="DBC1" s="9" t="s">
        <v>4836</v>
      </c>
      <c r="DBD1" s="9" t="s">
        <v>4837</v>
      </c>
      <c r="DBE1" s="9" t="s">
        <v>4838</v>
      </c>
      <c r="DBF1" s="9" t="s">
        <v>4839</v>
      </c>
      <c r="DBG1" s="9" t="s">
        <v>4840</v>
      </c>
      <c r="DBH1" s="9" t="s">
        <v>4841</v>
      </c>
      <c r="DBI1" s="9" t="s">
        <v>4842</v>
      </c>
      <c r="DBJ1" s="9" t="s">
        <v>4843</v>
      </c>
      <c r="DBK1" s="9" t="s">
        <v>4844</v>
      </c>
      <c r="DBL1" s="9" t="s">
        <v>4845</v>
      </c>
      <c r="DBM1" s="9" t="s">
        <v>4846</v>
      </c>
      <c r="DBN1" s="9" t="s">
        <v>4847</v>
      </c>
      <c r="DBO1" s="9" t="s">
        <v>4848</v>
      </c>
      <c r="DBP1" s="9" t="s">
        <v>4849</v>
      </c>
      <c r="DBQ1" s="9" t="s">
        <v>4850</v>
      </c>
      <c r="DBR1" s="9" t="s">
        <v>4851</v>
      </c>
      <c r="DBS1" s="9" t="s">
        <v>4852</v>
      </c>
      <c r="DBT1" s="9" t="s">
        <v>4853</v>
      </c>
      <c r="DBU1" s="9" t="s">
        <v>4854</v>
      </c>
      <c r="DBV1" s="9" t="s">
        <v>4855</v>
      </c>
      <c r="DBW1" s="9" t="s">
        <v>4856</v>
      </c>
      <c r="DBX1" s="9" t="s">
        <v>4857</v>
      </c>
      <c r="DBY1" s="9" t="s">
        <v>4858</v>
      </c>
      <c r="DBZ1" s="9" t="s">
        <v>4859</v>
      </c>
      <c r="DCA1" s="9" t="s">
        <v>4860</v>
      </c>
      <c r="DCB1" s="9" t="s">
        <v>4861</v>
      </c>
      <c r="DCC1" s="9" t="s">
        <v>4862</v>
      </c>
      <c r="DCD1" s="9" t="s">
        <v>4863</v>
      </c>
      <c r="DCE1" s="9" t="s">
        <v>4864</v>
      </c>
      <c r="DCF1" s="9" t="s">
        <v>4865</v>
      </c>
      <c r="DCG1" s="9" t="s">
        <v>4866</v>
      </c>
      <c r="DCH1" s="9" t="s">
        <v>4867</v>
      </c>
      <c r="DCI1" s="9" t="s">
        <v>4868</v>
      </c>
      <c r="DCJ1" s="9" t="s">
        <v>4869</v>
      </c>
      <c r="DCK1" s="9" t="s">
        <v>4870</v>
      </c>
      <c r="DCL1" s="9" t="s">
        <v>4871</v>
      </c>
      <c r="DCM1" s="9" t="s">
        <v>4872</v>
      </c>
      <c r="DCN1" s="9" t="s">
        <v>4873</v>
      </c>
      <c r="DCO1" s="9" t="s">
        <v>4874</v>
      </c>
      <c r="DCP1" s="9" t="s">
        <v>4875</v>
      </c>
      <c r="DCQ1" s="9" t="s">
        <v>4876</v>
      </c>
      <c r="DCR1" s="9" t="s">
        <v>4877</v>
      </c>
      <c r="DCS1" s="9" t="s">
        <v>4878</v>
      </c>
      <c r="DCT1" s="9" t="s">
        <v>4879</v>
      </c>
      <c r="DCU1" s="9" t="s">
        <v>4880</v>
      </c>
      <c r="DCV1" s="9" t="s">
        <v>4881</v>
      </c>
      <c r="DCW1" s="9" t="s">
        <v>4882</v>
      </c>
      <c r="DCX1" s="9" t="s">
        <v>4883</v>
      </c>
      <c r="DCY1" s="9" t="s">
        <v>4884</v>
      </c>
      <c r="DCZ1" s="9" t="s">
        <v>4885</v>
      </c>
      <c r="DDA1" s="9" t="s">
        <v>4886</v>
      </c>
      <c r="DDB1" s="9" t="s">
        <v>4887</v>
      </c>
      <c r="DDC1" s="9" t="s">
        <v>4888</v>
      </c>
      <c r="DDD1" s="9" t="s">
        <v>4889</v>
      </c>
      <c r="DDE1" s="9" t="s">
        <v>4890</v>
      </c>
      <c r="DDF1" s="9" t="s">
        <v>4891</v>
      </c>
      <c r="DDG1" s="9" t="s">
        <v>4892</v>
      </c>
      <c r="DDH1" s="9" t="s">
        <v>4893</v>
      </c>
      <c r="DDI1" s="9" t="s">
        <v>4894</v>
      </c>
      <c r="DDJ1" s="9" t="s">
        <v>4895</v>
      </c>
      <c r="DDK1" s="9" t="s">
        <v>4896</v>
      </c>
      <c r="DDL1" s="9" t="s">
        <v>4897</v>
      </c>
      <c r="DDM1" s="9" t="s">
        <v>4898</v>
      </c>
      <c r="DDN1" s="9" t="s">
        <v>4899</v>
      </c>
      <c r="DDO1" s="9" t="s">
        <v>4900</v>
      </c>
      <c r="DDP1" s="9" t="s">
        <v>4901</v>
      </c>
      <c r="DDQ1" s="9" t="s">
        <v>4902</v>
      </c>
      <c r="DDR1" s="9" t="s">
        <v>4903</v>
      </c>
      <c r="DDS1" s="9" t="s">
        <v>4904</v>
      </c>
      <c r="DDT1" s="9" t="s">
        <v>4905</v>
      </c>
      <c r="DDU1" s="9" t="s">
        <v>4906</v>
      </c>
      <c r="DDV1" s="9" t="s">
        <v>4907</v>
      </c>
      <c r="DDW1" s="9" t="s">
        <v>4908</v>
      </c>
      <c r="DDX1" s="9" t="s">
        <v>4909</v>
      </c>
      <c r="DDY1" s="9" t="s">
        <v>4910</v>
      </c>
      <c r="DDZ1" s="9" t="s">
        <v>4911</v>
      </c>
      <c r="DEA1" s="9" t="s">
        <v>4912</v>
      </c>
      <c r="DEB1" s="9" t="s">
        <v>4913</v>
      </c>
      <c r="DEC1" s="9" t="s">
        <v>4914</v>
      </c>
      <c r="DED1" s="9" t="s">
        <v>4915</v>
      </c>
      <c r="DEE1" s="9" t="s">
        <v>4916</v>
      </c>
      <c r="DEF1" s="9" t="s">
        <v>4917</v>
      </c>
      <c r="DEG1" s="9" t="s">
        <v>4918</v>
      </c>
      <c r="DEH1" s="9" t="s">
        <v>4919</v>
      </c>
      <c r="DEI1" s="9" t="s">
        <v>4920</v>
      </c>
      <c r="DEJ1" s="9" t="s">
        <v>4921</v>
      </c>
      <c r="DEK1" s="9" t="s">
        <v>4922</v>
      </c>
      <c r="DEL1" s="9" t="s">
        <v>4923</v>
      </c>
      <c r="DEM1" s="9" t="s">
        <v>4924</v>
      </c>
      <c r="DEN1" s="9" t="s">
        <v>4925</v>
      </c>
      <c r="DEO1" s="9" t="s">
        <v>4926</v>
      </c>
      <c r="DEP1" s="9" t="s">
        <v>4927</v>
      </c>
      <c r="DEQ1" s="9" t="s">
        <v>4928</v>
      </c>
      <c r="DER1" s="9" t="s">
        <v>4929</v>
      </c>
      <c r="DES1" s="9" t="s">
        <v>4930</v>
      </c>
      <c r="DET1" s="9" t="s">
        <v>4931</v>
      </c>
      <c r="DEU1" s="9" t="s">
        <v>4932</v>
      </c>
      <c r="DEV1" s="9" t="s">
        <v>4933</v>
      </c>
      <c r="DEW1" s="9" t="s">
        <v>4934</v>
      </c>
      <c r="DEX1" s="9" t="s">
        <v>4935</v>
      </c>
      <c r="DEY1" s="9" t="s">
        <v>4936</v>
      </c>
      <c r="DEZ1" s="9" t="s">
        <v>4937</v>
      </c>
      <c r="DFA1" s="9" t="s">
        <v>4938</v>
      </c>
      <c r="DFB1" s="9" t="s">
        <v>4939</v>
      </c>
      <c r="DFC1" s="9" t="s">
        <v>4940</v>
      </c>
      <c r="DFD1" s="9" t="s">
        <v>4941</v>
      </c>
      <c r="DFE1" s="9" t="s">
        <v>4942</v>
      </c>
      <c r="DFF1" s="9" t="s">
        <v>4943</v>
      </c>
      <c r="DFG1" s="9" t="s">
        <v>4944</v>
      </c>
      <c r="DFH1" s="9" t="s">
        <v>4945</v>
      </c>
      <c r="DFI1" s="9" t="s">
        <v>4946</v>
      </c>
      <c r="DFJ1" s="9" t="s">
        <v>4947</v>
      </c>
      <c r="DFK1" s="9" t="s">
        <v>4948</v>
      </c>
      <c r="DFL1" s="9" t="s">
        <v>4949</v>
      </c>
      <c r="DFM1" s="9" t="s">
        <v>4950</v>
      </c>
      <c r="DFN1" s="9" t="s">
        <v>4951</v>
      </c>
      <c r="DFO1" s="9" t="s">
        <v>4952</v>
      </c>
      <c r="DFP1" s="9" t="s">
        <v>4953</v>
      </c>
      <c r="DFQ1" s="9" t="s">
        <v>4954</v>
      </c>
      <c r="DFR1" s="9" t="s">
        <v>4955</v>
      </c>
      <c r="DFS1" s="9" t="s">
        <v>4956</v>
      </c>
      <c r="DFT1" s="9" t="s">
        <v>4957</v>
      </c>
      <c r="DFU1" s="9" t="s">
        <v>4958</v>
      </c>
      <c r="DFV1" s="9" t="s">
        <v>4959</v>
      </c>
      <c r="DFW1" s="9" t="s">
        <v>4960</v>
      </c>
      <c r="DFX1" s="9" t="s">
        <v>4961</v>
      </c>
      <c r="DFY1" s="9" t="s">
        <v>4962</v>
      </c>
      <c r="DFZ1" s="9" t="s">
        <v>4963</v>
      </c>
      <c r="DGA1" s="9" t="s">
        <v>4964</v>
      </c>
      <c r="DGB1" s="9" t="s">
        <v>4965</v>
      </c>
      <c r="DGC1" s="9" t="s">
        <v>4966</v>
      </c>
      <c r="DGD1" s="9" t="s">
        <v>4967</v>
      </c>
      <c r="DGE1" s="9" t="s">
        <v>4968</v>
      </c>
      <c r="DGF1" s="9" t="s">
        <v>4969</v>
      </c>
      <c r="DGG1" s="9" t="s">
        <v>4970</v>
      </c>
      <c r="DGH1" s="9" t="s">
        <v>4971</v>
      </c>
      <c r="DGI1" s="9" t="s">
        <v>4972</v>
      </c>
      <c r="DGJ1" s="9" t="s">
        <v>4973</v>
      </c>
      <c r="DGK1" s="9" t="s">
        <v>4974</v>
      </c>
      <c r="DGL1" s="9" t="s">
        <v>4975</v>
      </c>
      <c r="DGM1" s="9" t="s">
        <v>4976</v>
      </c>
      <c r="DGN1" s="9" t="s">
        <v>4977</v>
      </c>
      <c r="DGO1" s="9" t="s">
        <v>4978</v>
      </c>
      <c r="DGP1" s="9" t="s">
        <v>4979</v>
      </c>
      <c r="DGQ1" s="9" t="s">
        <v>4980</v>
      </c>
      <c r="DGR1" s="9" t="s">
        <v>4981</v>
      </c>
      <c r="DGS1" s="9" t="s">
        <v>4982</v>
      </c>
      <c r="DGT1" s="9" t="s">
        <v>4983</v>
      </c>
      <c r="DGU1" s="9" t="s">
        <v>4984</v>
      </c>
      <c r="DGV1" s="9" t="s">
        <v>4985</v>
      </c>
      <c r="DGW1" s="9" t="s">
        <v>4986</v>
      </c>
      <c r="DGX1" s="9" t="s">
        <v>4987</v>
      </c>
      <c r="DGY1" s="9" t="s">
        <v>4988</v>
      </c>
      <c r="DGZ1" s="9" t="s">
        <v>4989</v>
      </c>
      <c r="DHA1" s="9" t="s">
        <v>4990</v>
      </c>
      <c r="DHB1" s="9" t="s">
        <v>4991</v>
      </c>
      <c r="DHC1" s="9" t="s">
        <v>4992</v>
      </c>
      <c r="DHD1" s="9" t="s">
        <v>4993</v>
      </c>
      <c r="DHE1" s="9" t="s">
        <v>4994</v>
      </c>
      <c r="DHF1" s="9" t="s">
        <v>4995</v>
      </c>
      <c r="DHG1" s="9" t="s">
        <v>4996</v>
      </c>
      <c r="DHH1" s="9" t="s">
        <v>4997</v>
      </c>
      <c r="DHI1" s="9" t="s">
        <v>4998</v>
      </c>
      <c r="DHJ1" s="9" t="s">
        <v>4999</v>
      </c>
      <c r="DHK1" s="9" t="s">
        <v>5000</v>
      </c>
      <c r="DHL1" s="9" t="s">
        <v>5001</v>
      </c>
      <c r="DHM1" s="9" t="s">
        <v>5002</v>
      </c>
      <c r="DHN1" s="9" t="s">
        <v>5003</v>
      </c>
      <c r="DHO1" s="9" t="s">
        <v>5004</v>
      </c>
      <c r="DHP1" s="9" t="s">
        <v>5005</v>
      </c>
      <c r="DHQ1" s="9" t="s">
        <v>5006</v>
      </c>
      <c r="DHR1" s="9" t="s">
        <v>5007</v>
      </c>
      <c r="DHS1" s="9" t="s">
        <v>5008</v>
      </c>
      <c r="DHT1" s="9" t="s">
        <v>5009</v>
      </c>
      <c r="DHU1" s="9" t="s">
        <v>5010</v>
      </c>
      <c r="DHV1" s="9" t="s">
        <v>5011</v>
      </c>
      <c r="DHW1" s="9" t="s">
        <v>5012</v>
      </c>
      <c r="DHX1" s="9" t="s">
        <v>5013</v>
      </c>
      <c r="DHY1" s="9" t="s">
        <v>5014</v>
      </c>
      <c r="DHZ1" s="9" t="s">
        <v>5015</v>
      </c>
      <c r="DIA1" s="9" t="s">
        <v>5016</v>
      </c>
      <c r="DIB1" s="9" t="s">
        <v>5017</v>
      </c>
      <c r="DIC1" s="9" t="s">
        <v>5018</v>
      </c>
      <c r="DID1" s="9" t="s">
        <v>5019</v>
      </c>
      <c r="DIE1" s="9" t="s">
        <v>5020</v>
      </c>
      <c r="DIF1" s="9" t="s">
        <v>5021</v>
      </c>
      <c r="DIG1" s="9" t="s">
        <v>5022</v>
      </c>
      <c r="DIH1" s="9" t="s">
        <v>5023</v>
      </c>
      <c r="DII1" s="9" t="s">
        <v>5024</v>
      </c>
      <c r="DIJ1" s="9" t="s">
        <v>5025</v>
      </c>
      <c r="DIK1" s="9" t="s">
        <v>5026</v>
      </c>
      <c r="DIL1" s="9" t="s">
        <v>5027</v>
      </c>
      <c r="DIM1" s="9" t="s">
        <v>5028</v>
      </c>
      <c r="DIN1" s="9" t="s">
        <v>5029</v>
      </c>
      <c r="DIO1" s="9" t="s">
        <v>5030</v>
      </c>
      <c r="DIP1" s="9" t="s">
        <v>5031</v>
      </c>
      <c r="DIQ1" s="9" t="s">
        <v>5032</v>
      </c>
      <c r="DIR1" s="9" t="s">
        <v>5033</v>
      </c>
      <c r="DIS1" s="9" t="s">
        <v>5034</v>
      </c>
      <c r="DIT1" s="9" t="s">
        <v>5035</v>
      </c>
      <c r="DIU1" s="9" t="s">
        <v>5036</v>
      </c>
      <c r="DIV1" s="9" t="s">
        <v>5037</v>
      </c>
      <c r="DIW1" s="9" t="s">
        <v>5038</v>
      </c>
      <c r="DIX1" s="9" t="s">
        <v>5039</v>
      </c>
      <c r="DIY1" s="9" t="s">
        <v>5040</v>
      </c>
      <c r="DIZ1" s="9" t="s">
        <v>5041</v>
      </c>
      <c r="DJA1" s="9" t="s">
        <v>5042</v>
      </c>
      <c r="DJB1" s="9" t="s">
        <v>5043</v>
      </c>
      <c r="DJC1" s="9" t="s">
        <v>5044</v>
      </c>
      <c r="DJD1" s="9" t="s">
        <v>5045</v>
      </c>
      <c r="DJE1" s="9" t="s">
        <v>5046</v>
      </c>
      <c r="DJF1" s="9" t="s">
        <v>5047</v>
      </c>
      <c r="DJG1" s="9" t="s">
        <v>5048</v>
      </c>
      <c r="DJH1" s="9" t="s">
        <v>5049</v>
      </c>
      <c r="DJI1" s="9" t="s">
        <v>5050</v>
      </c>
      <c r="DJJ1" s="9" t="s">
        <v>5051</v>
      </c>
      <c r="DJK1" s="9" t="s">
        <v>5052</v>
      </c>
      <c r="DJL1" s="9" t="s">
        <v>5053</v>
      </c>
      <c r="DJM1" s="9" t="s">
        <v>5054</v>
      </c>
      <c r="DJN1" s="9" t="s">
        <v>5055</v>
      </c>
      <c r="DJO1" s="9" t="s">
        <v>5056</v>
      </c>
      <c r="DJP1" s="9" t="s">
        <v>5057</v>
      </c>
      <c r="DJQ1" s="9" t="s">
        <v>5058</v>
      </c>
      <c r="DJR1" s="9" t="s">
        <v>5059</v>
      </c>
      <c r="DJS1" s="9" t="s">
        <v>5060</v>
      </c>
      <c r="DJT1" s="9" t="s">
        <v>5061</v>
      </c>
      <c r="DJU1" s="9" t="s">
        <v>5062</v>
      </c>
      <c r="DJV1" s="9" t="s">
        <v>5063</v>
      </c>
      <c r="DJW1" s="9" t="s">
        <v>5064</v>
      </c>
      <c r="DJX1" s="9" t="s">
        <v>5065</v>
      </c>
      <c r="DJY1" s="9" t="s">
        <v>5066</v>
      </c>
      <c r="DJZ1" s="9" t="s">
        <v>5067</v>
      </c>
      <c r="DKA1" s="9" t="s">
        <v>5068</v>
      </c>
      <c r="DKB1" s="9" t="s">
        <v>5069</v>
      </c>
      <c r="DKC1" s="9" t="s">
        <v>5070</v>
      </c>
      <c r="DKD1" s="9" t="s">
        <v>5071</v>
      </c>
      <c r="DKE1" s="9" t="s">
        <v>5072</v>
      </c>
      <c r="DKF1" s="9" t="s">
        <v>5073</v>
      </c>
      <c r="DKG1" s="9" t="s">
        <v>5074</v>
      </c>
      <c r="DKH1" s="9" t="s">
        <v>5075</v>
      </c>
      <c r="DKI1" s="9" t="s">
        <v>5076</v>
      </c>
      <c r="DKJ1" s="9" t="s">
        <v>5077</v>
      </c>
      <c r="DKK1" s="9" t="s">
        <v>5078</v>
      </c>
      <c r="DKL1" s="9" t="s">
        <v>5079</v>
      </c>
      <c r="DKM1" s="9" t="s">
        <v>5080</v>
      </c>
      <c r="DKN1" s="9" t="s">
        <v>5081</v>
      </c>
      <c r="DKO1" s="9" t="s">
        <v>5082</v>
      </c>
      <c r="DKP1" s="9" t="s">
        <v>5083</v>
      </c>
      <c r="DKQ1" s="9" t="s">
        <v>5084</v>
      </c>
      <c r="DKR1" s="9" t="s">
        <v>5085</v>
      </c>
      <c r="DKS1" s="9" t="s">
        <v>5086</v>
      </c>
      <c r="DKT1" s="9" t="s">
        <v>5087</v>
      </c>
      <c r="DKU1" s="9" t="s">
        <v>5088</v>
      </c>
      <c r="DKV1" s="9" t="s">
        <v>5089</v>
      </c>
      <c r="DKW1" s="9" t="s">
        <v>5090</v>
      </c>
      <c r="DKX1" s="9" t="s">
        <v>5091</v>
      </c>
      <c r="DKY1" s="9" t="s">
        <v>5092</v>
      </c>
      <c r="DKZ1" s="9" t="s">
        <v>5093</v>
      </c>
      <c r="DLA1" s="9" t="s">
        <v>5094</v>
      </c>
      <c r="DLB1" s="9" t="s">
        <v>5095</v>
      </c>
      <c r="DLC1" s="9" t="s">
        <v>5096</v>
      </c>
      <c r="DLD1" s="9" t="s">
        <v>5097</v>
      </c>
      <c r="DLE1" s="9" t="s">
        <v>5098</v>
      </c>
      <c r="DLF1" s="9" t="s">
        <v>5099</v>
      </c>
      <c r="DLG1" s="9" t="s">
        <v>5100</v>
      </c>
      <c r="DLH1" s="9" t="s">
        <v>5101</v>
      </c>
      <c r="DLI1" s="9" t="s">
        <v>5102</v>
      </c>
      <c r="DLJ1" s="9" t="s">
        <v>5103</v>
      </c>
      <c r="DLK1" s="9" t="s">
        <v>5104</v>
      </c>
      <c r="DLL1" s="9" t="s">
        <v>5105</v>
      </c>
      <c r="DLM1" s="9" t="s">
        <v>5106</v>
      </c>
      <c r="DLN1" s="9" t="s">
        <v>5107</v>
      </c>
      <c r="DLO1" s="9" t="s">
        <v>5108</v>
      </c>
      <c r="DLP1" s="9" t="s">
        <v>5109</v>
      </c>
      <c r="DLQ1" s="9" t="s">
        <v>5110</v>
      </c>
      <c r="DLR1" s="9" t="s">
        <v>5111</v>
      </c>
      <c r="DLS1" s="9" t="s">
        <v>5112</v>
      </c>
      <c r="DLT1" s="9" t="s">
        <v>5113</v>
      </c>
      <c r="DLU1" s="9" t="s">
        <v>5114</v>
      </c>
      <c r="DLV1" s="9" t="s">
        <v>5115</v>
      </c>
      <c r="DLW1" s="9" t="s">
        <v>5116</v>
      </c>
      <c r="DLX1" s="9" t="s">
        <v>5117</v>
      </c>
      <c r="DLY1" s="9" t="s">
        <v>5118</v>
      </c>
      <c r="DLZ1" s="9" t="s">
        <v>5119</v>
      </c>
      <c r="DMA1" s="9" t="s">
        <v>5120</v>
      </c>
      <c r="DMB1" s="9" t="s">
        <v>5121</v>
      </c>
      <c r="DMC1" s="9" t="s">
        <v>5122</v>
      </c>
      <c r="DMD1" s="9" t="s">
        <v>5123</v>
      </c>
      <c r="DME1" s="9" t="s">
        <v>5124</v>
      </c>
      <c r="DMF1" s="9" t="s">
        <v>5125</v>
      </c>
      <c r="DMG1" s="9" t="s">
        <v>5126</v>
      </c>
      <c r="DMH1" s="9" t="s">
        <v>5127</v>
      </c>
      <c r="DMI1" s="9" t="s">
        <v>5128</v>
      </c>
      <c r="DMJ1" s="9" t="s">
        <v>5129</v>
      </c>
      <c r="DMK1" s="9" t="s">
        <v>5130</v>
      </c>
      <c r="DML1" s="9" t="s">
        <v>5131</v>
      </c>
      <c r="DMM1" s="9" t="s">
        <v>5132</v>
      </c>
      <c r="DMN1" s="9" t="s">
        <v>5133</v>
      </c>
      <c r="DMO1" s="9" t="s">
        <v>5134</v>
      </c>
      <c r="DMP1" s="9" t="s">
        <v>5135</v>
      </c>
      <c r="DMQ1" s="9" t="s">
        <v>5136</v>
      </c>
      <c r="DMR1" s="9" t="s">
        <v>5137</v>
      </c>
      <c r="DMS1" s="9" t="s">
        <v>5138</v>
      </c>
      <c r="DMT1" s="9" t="s">
        <v>5139</v>
      </c>
      <c r="DMU1" s="9" t="s">
        <v>5140</v>
      </c>
      <c r="DMV1" s="9" t="s">
        <v>5141</v>
      </c>
      <c r="DMW1" s="9" t="s">
        <v>5142</v>
      </c>
      <c r="DMX1" s="9" t="s">
        <v>5143</v>
      </c>
      <c r="DMY1" s="9" t="s">
        <v>5144</v>
      </c>
      <c r="DMZ1" s="9" t="s">
        <v>5145</v>
      </c>
      <c r="DNA1" s="9" t="s">
        <v>5146</v>
      </c>
      <c r="DNB1" s="9" t="s">
        <v>5147</v>
      </c>
      <c r="DNC1" s="9" t="s">
        <v>5148</v>
      </c>
      <c r="DND1" s="9" t="s">
        <v>5149</v>
      </c>
      <c r="DNE1" s="9" t="s">
        <v>5150</v>
      </c>
      <c r="DNF1" s="9" t="s">
        <v>5151</v>
      </c>
      <c r="DNG1" s="9" t="s">
        <v>5152</v>
      </c>
      <c r="DNH1" s="9" t="s">
        <v>5153</v>
      </c>
      <c r="DNI1" s="9" t="s">
        <v>5154</v>
      </c>
      <c r="DNJ1" s="9" t="s">
        <v>5155</v>
      </c>
      <c r="DNK1" s="9" t="s">
        <v>5156</v>
      </c>
      <c r="DNL1" s="9" t="s">
        <v>5157</v>
      </c>
      <c r="DNM1" s="9" t="s">
        <v>5158</v>
      </c>
      <c r="DNN1" s="9" t="s">
        <v>5159</v>
      </c>
      <c r="DNO1" s="9" t="s">
        <v>5160</v>
      </c>
      <c r="DNP1" s="9" t="s">
        <v>5161</v>
      </c>
      <c r="DNQ1" s="9" t="s">
        <v>5162</v>
      </c>
      <c r="DNR1" s="9" t="s">
        <v>5163</v>
      </c>
      <c r="DNS1" s="9" t="s">
        <v>5164</v>
      </c>
      <c r="DNT1" s="9" t="s">
        <v>5165</v>
      </c>
      <c r="DNU1" s="9" t="s">
        <v>5166</v>
      </c>
      <c r="DNV1" s="9" t="s">
        <v>5167</v>
      </c>
      <c r="DNW1" s="9" t="s">
        <v>5168</v>
      </c>
      <c r="DNX1" s="9" t="s">
        <v>5169</v>
      </c>
      <c r="DNY1" s="9" t="s">
        <v>5170</v>
      </c>
      <c r="DNZ1" s="9" t="s">
        <v>5171</v>
      </c>
      <c r="DOA1" s="9" t="s">
        <v>5172</v>
      </c>
      <c r="DOB1" s="9" t="s">
        <v>5173</v>
      </c>
      <c r="DOC1" s="9" t="s">
        <v>5174</v>
      </c>
      <c r="DOD1" s="9" t="s">
        <v>5175</v>
      </c>
      <c r="DOE1" s="9" t="s">
        <v>5176</v>
      </c>
      <c r="DOF1" s="9" t="s">
        <v>5177</v>
      </c>
      <c r="DOG1" s="9" t="s">
        <v>5178</v>
      </c>
      <c r="DOH1" s="9" t="s">
        <v>5179</v>
      </c>
      <c r="DOI1" s="9" t="s">
        <v>5180</v>
      </c>
      <c r="DOJ1" s="9" t="s">
        <v>5181</v>
      </c>
      <c r="DOK1" s="9" t="s">
        <v>5182</v>
      </c>
      <c r="DOL1" s="9" t="s">
        <v>5183</v>
      </c>
      <c r="DOM1" s="9" t="s">
        <v>5184</v>
      </c>
      <c r="DON1" s="9" t="s">
        <v>5185</v>
      </c>
      <c r="DOO1" s="9" t="s">
        <v>5186</v>
      </c>
      <c r="DOP1" s="9" t="s">
        <v>5187</v>
      </c>
      <c r="DOQ1" s="9" t="s">
        <v>5188</v>
      </c>
      <c r="DOR1" s="9" t="s">
        <v>5189</v>
      </c>
      <c r="DOS1" s="9" t="s">
        <v>5190</v>
      </c>
      <c r="DOT1" s="9" t="s">
        <v>5191</v>
      </c>
      <c r="DOU1" s="9" t="s">
        <v>5192</v>
      </c>
      <c r="DOV1" s="9" t="s">
        <v>5193</v>
      </c>
      <c r="DOW1" s="9" t="s">
        <v>5194</v>
      </c>
      <c r="DOX1" s="9" t="s">
        <v>5195</v>
      </c>
      <c r="DOY1" s="9" t="s">
        <v>5196</v>
      </c>
      <c r="DOZ1" s="9" t="s">
        <v>5197</v>
      </c>
      <c r="DPA1" s="9" t="s">
        <v>5198</v>
      </c>
      <c r="DPB1" s="9" t="s">
        <v>5199</v>
      </c>
      <c r="DPC1" s="9" t="s">
        <v>5200</v>
      </c>
      <c r="DPD1" s="9" t="s">
        <v>5201</v>
      </c>
      <c r="DPE1" s="9" t="s">
        <v>5202</v>
      </c>
      <c r="DPF1" s="9" t="s">
        <v>5203</v>
      </c>
      <c r="DPG1" s="9" t="s">
        <v>5204</v>
      </c>
      <c r="DPH1" s="9" t="s">
        <v>5205</v>
      </c>
      <c r="DPI1" s="9" t="s">
        <v>5206</v>
      </c>
      <c r="DPJ1" s="9" t="s">
        <v>5207</v>
      </c>
      <c r="DPK1" s="9" t="s">
        <v>5208</v>
      </c>
      <c r="DPL1" s="9" t="s">
        <v>5209</v>
      </c>
      <c r="DPM1" s="9" t="s">
        <v>5210</v>
      </c>
      <c r="DPN1" s="9" t="s">
        <v>5211</v>
      </c>
      <c r="DPO1" s="9" t="s">
        <v>5212</v>
      </c>
      <c r="DPP1" s="9" t="s">
        <v>5213</v>
      </c>
      <c r="DPQ1" s="9" t="s">
        <v>5214</v>
      </c>
      <c r="DPR1" s="9" t="s">
        <v>5215</v>
      </c>
      <c r="DPS1" s="9" t="s">
        <v>5216</v>
      </c>
      <c r="DPT1" s="9" t="s">
        <v>5217</v>
      </c>
      <c r="DPU1" s="9" t="s">
        <v>5218</v>
      </c>
      <c r="DPV1" s="9" t="s">
        <v>5219</v>
      </c>
      <c r="DPW1" s="9" t="s">
        <v>5220</v>
      </c>
      <c r="DPX1" s="9" t="s">
        <v>5221</v>
      </c>
      <c r="DPY1" s="9" t="s">
        <v>5222</v>
      </c>
      <c r="DPZ1" s="9" t="s">
        <v>5223</v>
      </c>
      <c r="DQA1" s="9" t="s">
        <v>5224</v>
      </c>
      <c r="DQB1" s="9" t="s">
        <v>5225</v>
      </c>
      <c r="DQC1" s="9" t="s">
        <v>5226</v>
      </c>
      <c r="DQD1" s="9" t="s">
        <v>5227</v>
      </c>
      <c r="DQE1" s="9" t="s">
        <v>5228</v>
      </c>
      <c r="DQF1" s="9" t="s">
        <v>5229</v>
      </c>
      <c r="DQG1" s="9" t="s">
        <v>5230</v>
      </c>
      <c r="DQH1" s="9" t="s">
        <v>5231</v>
      </c>
      <c r="DQI1" s="9" t="s">
        <v>5232</v>
      </c>
      <c r="DQJ1" s="9" t="s">
        <v>5233</v>
      </c>
      <c r="DQK1" s="9" t="s">
        <v>5234</v>
      </c>
      <c r="DQL1" s="9" t="s">
        <v>5235</v>
      </c>
      <c r="DQM1" s="9" t="s">
        <v>5236</v>
      </c>
      <c r="DQN1" s="9" t="s">
        <v>5237</v>
      </c>
      <c r="DQO1" s="9" t="s">
        <v>5238</v>
      </c>
      <c r="DQP1" s="9" t="s">
        <v>5239</v>
      </c>
      <c r="DQQ1" s="9" t="s">
        <v>5240</v>
      </c>
      <c r="DQR1" s="9" t="s">
        <v>5241</v>
      </c>
      <c r="DQS1" s="9" t="s">
        <v>5242</v>
      </c>
      <c r="DQT1" s="9" t="s">
        <v>5243</v>
      </c>
      <c r="DQU1" s="9" t="s">
        <v>5244</v>
      </c>
      <c r="DQV1" s="9" t="s">
        <v>5245</v>
      </c>
      <c r="DQW1" s="9" t="s">
        <v>5246</v>
      </c>
      <c r="DQX1" s="9" t="s">
        <v>5247</v>
      </c>
      <c r="DQY1" s="9" t="s">
        <v>5248</v>
      </c>
      <c r="DQZ1" s="9" t="s">
        <v>5249</v>
      </c>
      <c r="DRA1" s="9" t="s">
        <v>5250</v>
      </c>
      <c r="DRB1" s="9" t="s">
        <v>5251</v>
      </c>
      <c r="DRC1" s="9" t="s">
        <v>5252</v>
      </c>
      <c r="DRD1" s="9" t="s">
        <v>5253</v>
      </c>
      <c r="DRE1" s="9" t="s">
        <v>5254</v>
      </c>
      <c r="DRF1" s="9" t="s">
        <v>5255</v>
      </c>
      <c r="DRG1" s="9" t="s">
        <v>5256</v>
      </c>
      <c r="DRH1" s="9" t="s">
        <v>5257</v>
      </c>
      <c r="DRI1" s="9" t="s">
        <v>5258</v>
      </c>
      <c r="DRJ1" s="9" t="s">
        <v>5259</v>
      </c>
      <c r="DRK1" s="9" t="s">
        <v>5260</v>
      </c>
      <c r="DRL1" s="9" t="s">
        <v>5261</v>
      </c>
      <c r="DRM1" s="9" t="s">
        <v>5262</v>
      </c>
      <c r="DRN1" s="9" t="s">
        <v>5263</v>
      </c>
      <c r="DRO1" s="9" t="s">
        <v>5264</v>
      </c>
      <c r="DRP1" s="9" t="s">
        <v>5265</v>
      </c>
      <c r="DRQ1" s="9" t="s">
        <v>5266</v>
      </c>
      <c r="DRR1" s="9" t="s">
        <v>5267</v>
      </c>
      <c r="DRS1" s="9" t="s">
        <v>5268</v>
      </c>
      <c r="DRT1" s="9" t="s">
        <v>5269</v>
      </c>
      <c r="DRU1" s="9" t="s">
        <v>5270</v>
      </c>
      <c r="DRV1" s="9" t="s">
        <v>5271</v>
      </c>
      <c r="DRW1" s="9" t="s">
        <v>5272</v>
      </c>
      <c r="DRX1" s="9" t="s">
        <v>5273</v>
      </c>
      <c r="DRY1" s="9" t="s">
        <v>5274</v>
      </c>
      <c r="DRZ1" s="9" t="s">
        <v>5275</v>
      </c>
      <c r="DSA1" s="9" t="s">
        <v>5276</v>
      </c>
      <c r="DSB1" s="9" t="s">
        <v>5277</v>
      </c>
      <c r="DSC1" s="9" t="s">
        <v>5278</v>
      </c>
      <c r="DSD1" s="9" t="s">
        <v>5279</v>
      </c>
      <c r="DSE1" s="9" t="s">
        <v>5280</v>
      </c>
      <c r="DSF1" s="9" t="s">
        <v>5281</v>
      </c>
      <c r="DSG1" s="9" t="s">
        <v>5282</v>
      </c>
      <c r="DSH1" s="9" t="s">
        <v>5283</v>
      </c>
      <c r="DSI1" s="9" t="s">
        <v>5284</v>
      </c>
      <c r="DSJ1" s="9" t="s">
        <v>5285</v>
      </c>
      <c r="DSK1" s="9" t="s">
        <v>5286</v>
      </c>
      <c r="DSL1" s="9" t="s">
        <v>5287</v>
      </c>
      <c r="DSM1" s="9" t="s">
        <v>5288</v>
      </c>
      <c r="DSN1" s="9" t="s">
        <v>5289</v>
      </c>
      <c r="DSO1" s="9" t="s">
        <v>5290</v>
      </c>
      <c r="DSP1" s="9" t="s">
        <v>5291</v>
      </c>
      <c r="DSQ1" s="9" t="s">
        <v>5292</v>
      </c>
      <c r="DSR1" s="9" t="s">
        <v>5293</v>
      </c>
      <c r="DSS1" s="9" t="s">
        <v>5294</v>
      </c>
      <c r="DST1" s="9" t="s">
        <v>5295</v>
      </c>
      <c r="DSU1" s="9" t="s">
        <v>5296</v>
      </c>
      <c r="DSV1" s="9" t="s">
        <v>5297</v>
      </c>
      <c r="DSW1" s="9" t="s">
        <v>5298</v>
      </c>
      <c r="DSX1" s="9" t="s">
        <v>5299</v>
      </c>
      <c r="DSY1" s="9" t="s">
        <v>5300</v>
      </c>
      <c r="DSZ1" s="9" t="s">
        <v>5301</v>
      </c>
      <c r="DTA1" s="9" t="s">
        <v>5302</v>
      </c>
      <c r="DTB1" s="9" t="s">
        <v>5303</v>
      </c>
      <c r="DTC1" s="9" t="s">
        <v>5304</v>
      </c>
      <c r="DTD1" s="9" t="s">
        <v>5305</v>
      </c>
      <c r="DTE1" s="9" t="s">
        <v>5306</v>
      </c>
      <c r="DTF1" s="9" t="s">
        <v>5307</v>
      </c>
      <c r="DTG1" s="9" t="s">
        <v>5308</v>
      </c>
      <c r="DTH1" s="9" t="s">
        <v>5309</v>
      </c>
      <c r="DTI1" s="9" t="s">
        <v>5310</v>
      </c>
      <c r="DTJ1" s="9" t="s">
        <v>5311</v>
      </c>
      <c r="DTK1" s="9" t="s">
        <v>5312</v>
      </c>
      <c r="DTL1" s="9" t="s">
        <v>5313</v>
      </c>
      <c r="DTM1" s="9" t="s">
        <v>5314</v>
      </c>
      <c r="DTN1" s="9" t="s">
        <v>5315</v>
      </c>
      <c r="DTO1" s="9" t="s">
        <v>5316</v>
      </c>
      <c r="DTP1" s="9" t="s">
        <v>5317</v>
      </c>
      <c r="DTQ1" s="9" t="s">
        <v>5318</v>
      </c>
      <c r="DTR1" s="9" t="s">
        <v>5319</v>
      </c>
      <c r="DTS1" s="9" t="s">
        <v>5320</v>
      </c>
      <c r="DTT1" s="9" t="s">
        <v>5321</v>
      </c>
      <c r="DTU1" s="9" t="s">
        <v>5322</v>
      </c>
      <c r="DTV1" s="9" t="s">
        <v>5323</v>
      </c>
      <c r="DTW1" s="9" t="s">
        <v>5324</v>
      </c>
      <c r="DTX1" s="9" t="s">
        <v>5325</v>
      </c>
      <c r="DTY1" s="9" t="s">
        <v>5326</v>
      </c>
      <c r="DTZ1" s="9" t="s">
        <v>5327</v>
      </c>
      <c r="DUA1" s="9" t="s">
        <v>5328</v>
      </c>
      <c r="DUB1" s="9" t="s">
        <v>5329</v>
      </c>
      <c r="DUC1" s="9" t="s">
        <v>5330</v>
      </c>
      <c r="DUD1" s="9" t="s">
        <v>5331</v>
      </c>
      <c r="DUE1" s="9" t="s">
        <v>5332</v>
      </c>
      <c r="DUF1" s="9" t="s">
        <v>5333</v>
      </c>
      <c r="DUG1" s="9" t="s">
        <v>5334</v>
      </c>
      <c r="DUH1" s="9" t="s">
        <v>5335</v>
      </c>
      <c r="DUI1" s="9" t="s">
        <v>5336</v>
      </c>
      <c r="DUJ1" s="9" t="s">
        <v>5337</v>
      </c>
      <c r="DUK1" s="9" t="s">
        <v>5338</v>
      </c>
      <c r="DUL1" s="9" t="s">
        <v>5339</v>
      </c>
      <c r="DUM1" s="9" t="s">
        <v>5340</v>
      </c>
      <c r="DUN1" s="9" t="s">
        <v>5341</v>
      </c>
      <c r="DUO1" s="9" t="s">
        <v>5342</v>
      </c>
      <c r="DUP1" s="9" t="s">
        <v>5343</v>
      </c>
      <c r="DUQ1" s="9" t="s">
        <v>5344</v>
      </c>
      <c r="DUR1" s="9" t="s">
        <v>5345</v>
      </c>
      <c r="DUS1" s="9" t="s">
        <v>5346</v>
      </c>
      <c r="DUT1" s="9" t="s">
        <v>5347</v>
      </c>
      <c r="DUU1" s="9" t="s">
        <v>5348</v>
      </c>
      <c r="DUV1" s="9" t="s">
        <v>5349</v>
      </c>
      <c r="DUW1" s="9" t="s">
        <v>5350</v>
      </c>
      <c r="DUX1" s="9" t="s">
        <v>5351</v>
      </c>
      <c r="DUY1" s="9" t="s">
        <v>5352</v>
      </c>
      <c r="DUZ1" s="9" t="s">
        <v>5353</v>
      </c>
      <c r="DVA1" s="9" t="s">
        <v>5354</v>
      </c>
      <c r="DVB1" s="9" t="s">
        <v>5355</v>
      </c>
      <c r="DVC1" s="9" t="s">
        <v>5356</v>
      </c>
      <c r="DVD1" s="9" t="s">
        <v>5357</v>
      </c>
      <c r="DVE1" s="9" t="s">
        <v>5358</v>
      </c>
      <c r="DVF1" s="9" t="s">
        <v>5359</v>
      </c>
      <c r="DVG1" s="9" t="s">
        <v>5360</v>
      </c>
      <c r="DVH1" s="9" t="s">
        <v>5361</v>
      </c>
      <c r="DVI1" s="9" t="s">
        <v>5362</v>
      </c>
      <c r="DVJ1" s="9" t="s">
        <v>5363</v>
      </c>
      <c r="DVK1" s="9" t="s">
        <v>5364</v>
      </c>
      <c r="DVL1" s="9" t="s">
        <v>5365</v>
      </c>
      <c r="DVM1" s="9" t="s">
        <v>5366</v>
      </c>
      <c r="DVN1" s="9" t="s">
        <v>5367</v>
      </c>
      <c r="DVO1" s="9" t="s">
        <v>5368</v>
      </c>
      <c r="DVP1" s="9" t="s">
        <v>5369</v>
      </c>
      <c r="DVQ1" s="9" t="s">
        <v>5370</v>
      </c>
      <c r="DVR1" s="9" t="s">
        <v>5371</v>
      </c>
      <c r="DVS1" s="9" t="s">
        <v>5372</v>
      </c>
      <c r="DVT1" s="9" t="s">
        <v>5373</v>
      </c>
      <c r="DVU1" s="9" t="s">
        <v>5374</v>
      </c>
      <c r="DVV1" s="9" t="s">
        <v>5375</v>
      </c>
      <c r="DVW1" s="9" t="s">
        <v>5376</v>
      </c>
      <c r="DVX1" s="9" t="s">
        <v>5377</v>
      </c>
      <c r="DVY1" s="9" t="s">
        <v>5378</v>
      </c>
      <c r="DVZ1" s="9" t="s">
        <v>5379</v>
      </c>
      <c r="DWA1" s="9" t="s">
        <v>5380</v>
      </c>
      <c r="DWB1" s="9" t="s">
        <v>5381</v>
      </c>
      <c r="DWC1" s="9" t="s">
        <v>5382</v>
      </c>
      <c r="DWD1" s="9" t="s">
        <v>5383</v>
      </c>
      <c r="DWE1" s="9" t="s">
        <v>5384</v>
      </c>
      <c r="DWF1" s="9" t="s">
        <v>5385</v>
      </c>
      <c r="DWG1" s="9" t="s">
        <v>5386</v>
      </c>
      <c r="DWH1" s="9" t="s">
        <v>5387</v>
      </c>
      <c r="DWI1" s="9" t="s">
        <v>5388</v>
      </c>
      <c r="DWJ1" s="9" t="s">
        <v>5389</v>
      </c>
      <c r="DWK1" s="9" t="s">
        <v>5390</v>
      </c>
      <c r="DWL1" s="9" t="s">
        <v>5391</v>
      </c>
      <c r="DWM1" s="9" t="s">
        <v>5392</v>
      </c>
      <c r="DWN1" s="9" t="s">
        <v>5393</v>
      </c>
      <c r="DWO1" s="9" t="s">
        <v>5394</v>
      </c>
      <c r="DWP1" s="9" t="s">
        <v>5395</v>
      </c>
      <c r="DWQ1" s="9" t="s">
        <v>5396</v>
      </c>
      <c r="DWR1" s="9" t="s">
        <v>5397</v>
      </c>
      <c r="DWS1" s="9" t="s">
        <v>5398</v>
      </c>
      <c r="DWT1" s="9" t="s">
        <v>5399</v>
      </c>
      <c r="DWU1" s="9" t="s">
        <v>5400</v>
      </c>
      <c r="DWV1" s="9" t="s">
        <v>5401</v>
      </c>
      <c r="DWW1" s="9" t="s">
        <v>5402</v>
      </c>
      <c r="DWX1" s="9" t="s">
        <v>5403</v>
      </c>
      <c r="DWY1" s="9" t="s">
        <v>5404</v>
      </c>
      <c r="DWZ1" s="9" t="s">
        <v>5405</v>
      </c>
      <c r="DXA1" s="9" t="s">
        <v>5406</v>
      </c>
      <c r="DXB1" s="9" t="s">
        <v>5407</v>
      </c>
      <c r="DXC1" s="9" t="s">
        <v>5408</v>
      </c>
      <c r="DXD1" s="9" t="s">
        <v>5409</v>
      </c>
      <c r="DXE1" s="9" t="s">
        <v>5410</v>
      </c>
      <c r="DXF1" s="9" t="s">
        <v>5411</v>
      </c>
      <c r="DXG1" s="9" t="s">
        <v>5412</v>
      </c>
      <c r="DXH1" s="9" t="s">
        <v>5413</v>
      </c>
      <c r="DXI1" s="9" t="s">
        <v>5414</v>
      </c>
      <c r="DXJ1" s="9" t="s">
        <v>5415</v>
      </c>
      <c r="DXK1" s="9" t="s">
        <v>5416</v>
      </c>
      <c r="DXL1" s="9" t="s">
        <v>5417</v>
      </c>
      <c r="DXM1" s="9" t="s">
        <v>5418</v>
      </c>
      <c r="DXN1" s="9" t="s">
        <v>5419</v>
      </c>
      <c r="DXO1" s="9" t="s">
        <v>5420</v>
      </c>
      <c r="DXP1" s="9" t="s">
        <v>5421</v>
      </c>
      <c r="DXQ1" s="9" t="s">
        <v>5422</v>
      </c>
      <c r="DXR1" s="9" t="s">
        <v>5423</v>
      </c>
      <c r="DXS1" s="9" t="s">
        <v>5424</v>
      </c>
      <c r="DXT1" s="9" t="s">
        <v>5425</v>
      </c>
      <c r="DXU1" s="9" t="s">
        <v>5426</v>
      </c>
      <c r="DXV1" s="9" t="s">
        <v>5427</v>
      </c>
      <c r="DXW1" s="9" t="s">
        <v>5428</v>
      </c>
      <c r="DXX1" s="9" t="s">
        <v>5429</v>
      </c>
      <c r="DXY1" s="9" t="s">
        <v>5430</v>
      </c>
      <c r="DXZ1" s="9" t="s">
        <v>5431</v>
      </c>
      <c r="DYA1" s="9" t="s">
        <v>5432</v>
      </c>
      <c r="DYB1" s="9" t="s">
        <v>5433</v>
      </c>
      <c r="DYC1" s="9" t="s">
        <v>5434</v>
      </c>
      <c r="DYD1" s="9" t="s">
        <v>5435</v>
      </c>
      <c r="DYE1" s="9" t="s">
        <v>5436</v>
      </c>
      <c r="DYF1" s="9" t="s">
        <v>5437</v>
      </c>
      <c r="DYG1" s="9" t="s">
        <v>5438</v>
      </c>
      <c r="DYH1" s="9" t="s">
        <v>5439</v>
      </c>
      <c r="DYI1" s="9" t="s">
        <v>5440</v>
      </c>
      <c r="DYJ1" s="9" t="s">
        <v>5441</v>
      </c>
      <c r="DYK1" s="9" t="s">
        <v>5442</v>
      </c>
      <c r="DYL1" s="9" t="s">
        <v>5443</v>
      </c>
      <c r="DYM1" s="9" t="s">
        <v>5444</v>
      </c>
      <c r="DYN1" s="9" t="s">
        <v>5445</v>
      </c>
      <c r="DYO1" s="9" t="s">
        <v>5446</v>
      </c>
      <c r="DYP1" s="9" t="s">
        <v>5447</v>
      </c>
      <c r="DYQ1" s="9" t="s">
        <v>5448</v>
      </c>
      <c r="DYR1" s="9" t="s">
        <v>5449</v>
      </c>
      <c r="DYS1" s="9" t="s">
        <v>5450</v>
      </c>
      <c r="DYT1" s="9" t="s">
        <v>5451</v>
      </c>
      <c r="DYU1" s="9" t="s">
        <v>5452</v>
      </c>
      <c r="DYV1" s="9" t="s">
        <v>5453</v>
      </c>
      <c r="DYW1" s="9" t="s">
        <v>5454</v>
      </c>
      <c r="DYX1" s="9" t="s">
        <v>5455</v>
      </c>
      <c r="DYY1" s="9" t="s">
        <v>5456</v>
      </c>
      <c r="DYZ1" s="9" t="s">
        <v>5457</v>
      </c>
      <c r="DZA1" s="9" t="s">
        <v>5458</v>
      </c>
      <c r="DZB1" s="9" t="s">
        <v>5459</v>
      </c>
      <c r="DZC1" s="9" t="s">
        <v>5460</v>
      </c>
      <c r="DZD1" s="9" t="s">
        <v>5461</v>
      </c>
      <c r="DZE1" s="9" t="s">
        <v>5462</v>
      </c>
      <c r="DZF1" s="9" t="s">
        <v>5463</v>
      </c>
      <c r="DZG1" s="9" t="s">
        <v>5464</v>
      </c>
      <c r="DZH1" s="9" t="s">
        <v>5465</v>
      </c>
      <c r="DZI1" s="9" t="s">
        <v>5466</v>
      </c>
      <c r="DZJ1" s="9" t="s">
        <v>5467</v>
      </c>
      <c r="DZK1" s="9" t="s">
        <v>5468</v>
      </c>
      <c r="DZL1" s="9" t="s">
        <v>5469</v>
      </c>
      <c r="DZM1" s="9" t="s">
        <v>5470</v>
      </c>
      <c r="DZN1" s="9" t="s">
        <v>5471</v>
      </c>
      <c r="DZO1" s="9" t="s">
        <v>5472</v>
      </c>
      <c r="DZP1" s="9" t="s">
        <v>5473</v>
      </c>
      <c r="DZQ1" s="9" t="s">
        <v>5474</v>
      </c>
      <c r="DZR1" s="9" t="s">
        <v>5475</v>
      </c>
      <c r="DZS1" s="9" t="s">
        <v>5476</v>
      </c>
      <c r="DZT1" s="9" t="s">
        <v>5477</v>
      </c>
      <c r="DZU1" s="9" t="s">
        <v>5478</v>
      </c>
      <c r="DZV1" s="9" t="s">
        <v>5479</v>
      </c>
      <c r="DZW1" s="9" t="s">
        <v>5480</v>
      </c>
      <c r="DZX1" s="9" t="s">
        <v>5481</v>
      </c>
      <c r="DZY1" s="9" t="s">
        <v>5482</v>
      </c>
      <c r="DZZ1" s="9" t="s">
        <v>5483</v>
      </c>
      <c r="EAA1" s="9" t="s">
        <v>5484</v>
      </c>
      <c r="EAB1" s="9" t="s">
        <v>5485</v>
      </c>
      <c r="EAC1" s="9" t="s">
        <v>5486</v>
      </c>
      <c r="EAD1" s="9" t="s">
        <v>5487</v>
      </c>
      <c r="EAE1" s="9" t="s">
        <v>5488</v>
      </c>
      <c r="EAF1" s="9" t="s">
        <v>5489</v>
      </c>
      <c r="EAG1" s="9" t="s">
        <v>5490</v>
      </c>
      <c r="EAH1" s="9" t="s">
        <v>5491</v>
      </c>
      <c r="EAI1" s="9" t="s">
        <v>5492</v>
      </c>
      <c r="EAJ1" s="9" t="s">
        <v>5493</v>
      </c>
      <c r="EAK1" s="9" t="s">
        <v>5494</v>
      </c>
      <c r="EAL1" s="9" t="s">
        <v>5495</v>
      </c>
      <c r="EAM1" s="9" t="s">
        <v>5496</v>
      </c>
      <c r="EAN1" s="9" t="s">
        <v>5497</v>
      </c>
      <c r="EAO1" s="9" t="s">
        <v>5498</v>
      </c>
      <c r="EAP1" s="9" t="s">
        <v>5499</v>
      </c>
      <c r="EAQ1" s="9" t="s">
        <v>5500</v>
      </c>
      <c r="EAR1" s="9" t="s">
        <v>5501</v>
      </c>
      <c r="EAS1" s="9" t="s">
        <v>5502</v>
      </c>
      <c r="EAT1" s="9" t="s">
        <v>5503</v>
      </c>
      <c r="EAU1" s="9" t="s">
        <v>5504</v>
      </c>
      <c r="EAV1" s="9" t="s">
        <v>5505</v>
      </c>
      <c r="EAW1" s="9" t="s">
        <v>5506</v>
      </c>
      <c r="EAX1" s="9" t="s">
        <v>5507</v>
      </c>
      <c r="EAY1" s="9" t="s">
        <v>5508</v>
      </c>
      <c r="EAZ1" s="9" t="s">
        <v>5509</v>
      </c>
      <c r="EBA1" s="9" t="s">
        <v>5510</v>
      </c>
      <c r="EBB1" s="9" t="s">
        <v>5511</v>
      </c>
      <c r="EBC1" s="9" t="s">
        <v>5512</v>
      </c>
      <c r="EBD1" s="9" t="s">
        <v>5513</v>
      </c>
      <c r="EBE1" s="9" t="s">
        <v>5514</v>
      </c>
      <c r="EBF1" s="9" t="s">
        <v>5515</v>
      </c>
      <c r="EBG1" s="9" t="s">
        <v>5516</v>
      </c>
      <c r="EBH1" s="9" t="s">
        <v>5517</v>
      </c>
      <c r="EBI1" s="9" t="s">
        <v>5518</v>
      </c>
      <c r="EBJ1" s="9" t="s">
        <v>5519</v>
      </c>
      <c r="EBK1" s="9" t="s">
        <v>5520</v>
      </c>
      <c r="EBL1" s="9" t="s">
        <v>5521</v>
      </c>
      <c r="EBM1" s="9" t="s">
        <v>5522</v>
      </c>
      <c r="EBN1" s="9" t="s">
        <v>5523</v>
      </c>
      <c r="EBO1" s="9" t="s">
        <v>5524</v>
      </c>
      <c r="EBP1" s="9" t="s">
        <v>5525</v>
      </c>
      <c r="EBQ1" s="9" t="s">
        <v>5526</v>
      </c>
      <c r="EBR1" s="9" t="s">
        <v>5527</v>
      </c>
      <c r="EBS1" s="9" t="s">
        <v>5528</v>
      </c>
      <c r="EBT1" s="9" t="s">
        <v>5529</v>
      </c>
      <c r="EBU1" s="9" t="s">
        <v>5530</v>
      </c>
      <c r="EBV1" s="9" t="s">
        <v>5531</v>
      </c>
      <c r="EBW1" s="9" t="s">
        <v>5532</v>
      </c>
      <c r="EBX1" s="9" t="s">
        <v>5533</v>
      </c>
      <c r="EBY1" s="9" t="s">
        <v>5534</v>
      </c>
      <c r="EBZ1" s="9" t="s">
        <v>5535</v>
      </c>
      <c r="ECA1" s="9" t="s">
        <v>5536</v>
      </c>
      <c r="ECB1" s="9" t="s">
        <v>5537</v>
      </c>
      <c r="ECC1" s="9" t="s">
        <v>5538</v>
      </c>
      <c r="ECD1" s="9" t="s">
        <v>5539</v>
      </c>
      <c r="ECE1" s="9" t="s">
        <v>5540</v>
      </c>
      <c r="ECF1" s="9" t="s">
        <v>5541</v>
      </c>
      <c r="ECG1" s="9" t="s">
        <v>5542</v>
      </c>
      <c r="ECH1" s="9" t="s">
        <v>5543</v>
      </c>
      <c r="ECI1" s="9" t="s">
        <v>5544</v>
      </c>
      <c r="ECJ1" s="9" t="s">
        <v>5545</v>
      </c>
      <c r="ECK1" s="9" t="s">
        <v>5546</v>
      </c>
      <c r="ECL1" s="9" t="s">
        <v>5547</v>
      </c>
      <c r="ECM1" s="9" t="s">
        <v>5548</v>
      </c>
      <c r="ECN1" s="9" t="s">
        <v>5549</v>
      </c>
      <c r="ECO1" s="9" t="s">
        <v>5550</v>
      </c>
      <c r="ECP1" s="9" t="s">
        <v>5551</v>
      </c>
      <c r="ECQ1" s="9" t="s">
        <v>5552</v>
      </c>
      <c r="ECR1" s="9" t="s">
        <v>5553</v>
      </c>
      <c r="ECS1" s="9" t="s">
        <v>5554</v>
      </c>
      <c r="ECT1" s="9" t="s">
        <v>5555</v>
      </c>
      <c r="ECU1" s="9" t="s">
        <v>5556</v>
      </c>
      <c r="ECV1" s="9" t="s">
        <v>5557</v>
      </c>
      <c r="ECW1" s="9" t="s">
        <v>5558</v>
      </c>
      <c r="ECX1" s="9" t="s">
        <v>5559</v>
      </c>
      <c r="ECY1" s="9" t="s">
        <v>5560</v>
      </c>
      <c r="ECZ1" s="9" t="s">
        <v>5561</v>
      </c>
      <c r="EDA1" s="9" t="s">
        <v>5562</v>
      </c>
      <c r="EDB1" s="9" t="s">
        <v>5563</v>
      </c>
      <c r="EDC1" s="9" t="s">
        <v>5564</v>
      </c>
      <c r="EDD1" s="9" t="s">
        <v>5565</v>
      </c>
      <c r="EDE1" s="9" t="s">
        <v>5566</v>
      </c>
      <c r="EDF1" s="9" t="s">
        <v>5567</v>
      </c>
      <c r="EDG1" s="9" t="s">
        <v>5568</v>
      </c>
      <c r="EDH1" s="9" t="s">
        <v>5569</v>
      </c>
      <c r="EDI1" s="9" t="s">
        <v>5570</v>
      </c>
      <c r="EDJ1" s="9" t="s">
        <v>5571</v>
      </c>
      <c r="EDK1" s="9" t="s">
        <v>5572</v>
      </c>
      <c r="EDL1" s="9" t="s">
        <v>5573</v>
      </c>
      <c r="EDM1" s="9" t="s">
        <v>5574</v>
      </c>
      <c r="EDN1" s="9" t="s">
        <v>5575</v>
      </c>
      <c r="EDO1" s="9" t="s">
        <v>5576</v>
      </c>
      <c r="EDP1" s="9" t="s">
        <v>5577</v>
      </c>
      <c r="EDQ1" s="9" t="s">
        <v>5578</v>
      </c>
      <c r="EDR1" s="9" t="s">
        <v>5579</v>
      </c>
      <c r="EDS1" s="9" t="s">
        <v>5580</v>
      </c>
      <c r="EDT1" s="9" t="s">
        <v>5581</v>
      </c>
      <c r="EDU1" s="9" t="s">
        <v>5582</v>
      </c>
      <c r="EDV1" s="9" t="s">
        <v>5583</v>
      </c>
      <c r="EDW1" s="9" t="s">
        <v>5584</v>
      </c>
      <c r="EDX1" s="9" t="s">
        <v>5585</v>
      </c>
      <c r="EDY1" s="9" t="s">
        <v>5586</v>
      </c>
      <c r="EDZ1" s="9" t="s">
        <v>5587</v>
      </c>
      <c r="EEA1" s="9" t="s">
        <v>5588</v>
      </c>
      <c r="EEB1" s="9" t="s">
        <v>5589</v>
      </c>
      <c r="EEC1" s="9" t="s">
        <v>5590</v>
      </c>
      <c r="EED1" s="9" t="s">
        <v>5591</v>
      </c>
      <c r="EEE1" s="9" t="s">
        <v>5592</v>
      </c>
      <c r="EEF1" s="9" t="s">
        <v>5593</v>
      </c>
      <c r="EEG1" s="9" t="s">
        <v>5594</v>
      </c>
      <c r="EEH1" s="9" t="s">
        <v>5595</v>
      </c>
      <c r="EEI1" s="9" t="s">
        <v>5596</v>
      </c>
      <c r="EEJ1" s="9" t="s">
        <v>5597</v>
      </c>
      <c r="EEK1" s="9" t="s">
        <v>5598</v>
      </c>
      <c r="EEL1" s="9" t="s">
        <v>5599</v>
      </c>
      <c r="EEM1" s="9" t="s">
        <v>5600</v>
      </c>
      <c r="EEN1" s="9" t="s">
        <v>5601</v>
      </c>
      <c r="EEO1" s="9" t="s">
        <v>5602</v>
      </c>
      <c r="EEP1" s="9" t="s">
        <v>5603</v>
      </c>
      <c r="EEQ1" s="9" t="s">
        <v>5604</v>
      </c>
      <c r="EER1" s="9" t="s">
        <v>5605</v>
      </c>
      <c r="EES1" s="9" t="s">
        <v>5606</v>
      </c>
      <c r="EET1" s="9" t="s">
        <v>5607</v>
      </c>
      <c r="EEU1" s="9" t="s">
        <v>5608</v>
      </c>
      <c r="EEV1" s="9" t="s">
        <v>5609</v>
      </c>
      <c r="EEW1" s="9" t="s">
        <v>5610</v>
      </c>
      <c r="EEX1" s="9" t="s">
        <v>5611</v>
      </c>
      <c r="EEY1" s="9" t="s">
        <v>5612</v>
      </c>
      <c r="EEZ1" s="9" t="s">
        <v>5613</v>
      </c>
      <c r="EFA1" s="9" t="s">
        <v>5614</v>
      </c>
      <c r="EFB1" s="9" t="s">
        <v>5615</v>
      </c>
      <c r="EFC1" s="9" t="s">
        <v>5616</v>
      </c>
      <c r="EFD1" s="9" t="s">
        <v>5617</v>
      </c>
      <c r="EFE1" s="9" t="s">
        <v>5618</v>
      </c>
      <c r="EFF1" s="9" t="s">
        <v>5619</v>
      </c>
      <c r="EFG1" s="9" t="s">
        <v>5620</v>
      </c>
      <c r="EFH1" s="9" t="s">
        <v>5621</v>
      </c>
      <c r="EFI1" s="9" t="s">
        <v>5622</v>
      </c>
      <c r="EFJ1" s="9" t="s">
        <v>5623</v>
      </c>
      <c r="EFK1" s="9" t="s">
        <v>5624</v>
      </c>
      <c r="EFL1" s="9" t="s">
        <v>5625</v>
      </c>
      <c r="EFM1" s="9" t="s">
        <v>5626</v>
      </c>
      <c r="EFN1" s="9" t="s">
        <v>5627</v>
      </c>
      <c r="EFO1" s="9" t="s">
        <v>5628</v>
      </c>
      <c r="EFP1" s="9" t="s">
        <v>5629</v>
      </c>
      <c r="EFQ1" s="9" t="s">
        <v>5630</v>
      </c>
      <c r="EFR1" s="9" t="s">
        <v>5631</v>
      </c>
      <c r="EFS1" s="9" t="s">
        <v>5632</v>
      </c>
      <c r="EFT1" s="9" t="s">
        <v>5633</v>
      </c>
      <c r="EFU1" s="9" t="s">
        <v>5634</v>
      </c>
      <c r="EFV1" s="9" t="s">
        <v>5635</v>
      </c>
      <c r="EFW1" s="9" t="s">
        <v>5636</v>
      </c>
      <c r="EFX1" s="9" t="s">
        <v>5637</v>
      </c>
      <c r="EFY1" s="9" t="s">
        <v>5638</v>
      </c>
      <c r="EFZ1" s="9" t="s">
        <v>5639</v>
      </c>
      <c r="EGA1" s="9" t="s">
        <v>5640</v>
      </c>
      <c r="EGB1" s="9" t="s">
        <v>5641</v>
      </c>
      <c r="EGC1" s="9" t="s">
        <v>5642</v>
      </c>
      <c r="EGD1" s="9" t="s">
        <v>5643</v>
      </c>
      <c r="EGE1" s="9" t="s">
        <v>5644</v>
      </c>
      <c r="EGF1" s="9" t="s">
        <v>5645</v>
      </c>
      <c r="EGG1" s="9" t="s">
        <v>5646</v>
      </c>
      <c r="EGH1" s="9" t="s">
        <v>5647</v>
      </c>
      <c r="EGI1" s="9" t="s">
        <v>5648</v>
      </c>
      <c r="EGJ1" s="9" t="s">
        <v>5649</v>
      </c>
      <c r="EGK1" s="9" t="s">
        <v>5650</v>
      </c>
      <c r="EGL1" s="9" t="s">
        <v>5651</v>
      </c>
      <c r="EGM1" s="9" t="s">
        <v>5652</v>
      </c>
      <c r="EGN1" s="9" t="s">
        <v>5653</v>
      </c>
      <c r="EGO1" s="9" t="s">
        <v>5654</v>
      </c>
      <c r="EGP1" s="9" t="s">
        <v>5655</v>
      </c>
      <c r="EGQ1" s="9" t="s">
        <v>5656</v>
      </c>
      <c r="EGR1" s="9" t="s">
        <v>5657</v>
      </c>
      <c r="EGS1" s="9" t="s">
        <v>5658</v>
      </c>
      <c r="EGT1" s="9" t="s">
        <v>5659</v>
      </c>
      <c r="EGU1" s="9" t="s">
        <v>5660</v>
      </c>
      <c r="EGV1" s="9" t="s">
        <v>5661</v>
      </c>
      <c r="EGW1" s="9" t="s">
        <v>5662</v>
      </c>
      <c r="EGX1" s="9" t="s">
        <v>5663</v>
      </c>
      <c r="EGY1" s="9" t="s">
        <v>5664</v>
      </c>
      <c r="EGZ1" s="9" t="s">
        <v>5665</v>
      </c>
      <c r="EHA1" s="9" t="s">
        <v>5666</v>
      </c>
      <c r="EHB1" s="9" t="s">
        <v>5667</v>
      </c>
      <c r="EHC1" s="9" t="s">
        <v>5668</v>
      </c>
      <c r="EHD1" s="9" t="s">
        <v>5669</v>
      </c>
      <c r="EHE1" s="9" t="s">
        <v>5670</v>
      </c>
      <c r="EHF1" s="9" t="s">
        <v>5671</v>
      </c>
      <c r="EHG1" s="9" t="s">
        <v>5672</v>
      </c>
      <c r="EHH1" s="9" t="s">
        <v>5673</v>
      </c>
      <c r="EHI1" s="9" t="s">
        <v>5674</v>
      </c>
      <c r="EHJ1" s="9" t="s">
        <v>5675</v>
      </c>
      <c r="EHK1" s="9" t="s">
        <v>5676</v>
      </c>
      <c r="EHL1" s="9" t="s">
        <v>5677</v>
      </c>
      <c r="EHM1" s="9" t="s">
        <v>5678</v>
      </c>
      <c r="EHN1" s="9" t="s">
        <v>5679</v>
      </c>
      <c r="EHO1" s="9" t="s">
        <v>5680</v>
      </c>
      <c r="EHP1" s="9" t="s">
        <v>5681</v>
      </c>
      <c r="EHQ1" s="9" t="s">
        <v>5682</v>
      </c>
      <c r="EHR1" s="9" t="s">
        <v>5683</v>
      </c>
      <c r="EHS1" s="9" t="s">
        <v>5684</v>
      </c>
      <c r="EHT1" s="9" t="s">
        <v>5685</v>
      </c>
      <c r="EHU1" s="9" t="s">
        <v>5686</v>
      </c>
      <c r="EHV1" s="9" t="s">
        <v>5687</v>
      </c>
      <c r="EHW1" s="9" t="s">
        <v>5688</v>
      </c>
      <c r="EHX1" s="9" t="s">
        <v>5689</v>
      </c>
      <c r="EHY1" s="9" t="s">
        <v>5690</v>
      </c>
      <c r="EHZ1" s="9" t="s">
        <v>5691</v>
      </c>
      <c r="EIA1" s="9" t="s">
        <v>5692</v>
      </c>
      <c r="EIB1" s="9" t="s">
        <v>5693</v>
      </c>
      <c r="EIC1" s="9" t="s">
        <v>5694</v>
      </c>
      <c r="EID1" s="9" t="s">
        <v>5695</v>
      </c>
      <c r="EIE1" s="9" t="s">
        <v>5696</v>
      </c>
      <c r="EIF1" s="9" t="s">
        <v>5697</v>
      </c>
      <c r="EIG1" s="9" t="s">
        <v>5698</v>
      </c>
      <c r="EIH1" s="9" t="s">
        <v>5699</v>
      </c>
      <c r="EII1" s="9" t="s">
        <v>5700</v>
      </c>
      <c r="EIJ1" s="9" t="s">
        <v>5701</v>
      </c>
      <c r="EIK1" s="9" t="s">
        <v>5702</v>
      </c>
      <c r="EIL1" s="9" t="s">
        <v>5703</v>
      </c>
      <c r="EIM1" s="9" t="s">
        <v>5704</v>
      </c>
      <c r="EIN1" s="9" t="s">
        <v>5705</v>
      </c>
      <c r="EIO1" s="9" t="s">
        <v>5706</v>
      </c>
      <c r="EIP1" s="9" t="s">
        <v>5707</v>
      </c>
      <c r="EIQ1" s="9" t="s">
        <v>5708</v>
      </c>
      <c r="EIR1" s="9" t="s">
        <v>5709</v>
      </c>
      <c r="EIS1" s="9" t="s">
        <v>5710</v>
      </c>
      <c r="EIT1" s="9" t="s">
        <v>5711</v>
      </c>
      <c r="EIU1" s="9" t="s">
        <v>5712</v>
      </c>
      <c r="EIV1" s="9" t="s">
        <v>5713</v>
      </c>
      <c r="EIW1" s="9" t="s">
        <v>5714</v>
      </c>
      <c r="EIX1" s="9" t="s">
        <v>5715</v>
      </c>
      <c r="EIY1" s="9" t="s">
        <v>5716</v>
      </c>
      <c r="EIZ1" s="9" t="s">
        <v>5717</v>
      </c>
      <c r="EJA1" s="9" t="s">
        <v>5718</v>
      </c>
      <c r="EJB1" s="9" t="s">
        <v>5719</v>
      </c>
      <c r="EJC1" s="9" t="s">
        <v>5720</v>
      </c>
      <c r="EJD1" s="9" t="s">
        <v>5721</v>
      </c>
      <c r="EJE1" s="9" t="s">
        <v>5722</v>
      </c>
      <c r="EJF1" s="9" t="s">
        <v>5723</v>
      </c>
      <c r="EJG1" s="9" t="s">
        <v>5724</v>
      </c>
      <c r="EJH1" s="9" t="s">
        <v>5725</v>
      </c>
      <c r="EJI1" s="9" t="s">
        <v>5726</v>
      </c>
      <c r="EJJ1" s="9" t="s">
        <v>5727</v>
      </c>
      <c r="EJK1" s="9" t="s">
        <v>5728</v>
      </c>
      <c r="EJL1" s="9" t="s">
        <v>5729</v>
      </c>
      <c r="EJM1" s="9" t="s">
        <v>5730</v>
      </c>
      <c r="EJN1" s="9" t="s">
        <v>5731</v>
      </c>
      <c r="EJO1" s="9" t="s">
        <v>5732</v>
      </c>
      <c r="EJP1" s="9" t="s">
        <v>5733</v>
      </c>
      <c r="EJQ1" s="9" t="s">
        <v>5734</v>
      </c>
      <c r="EJR1" s="9" t="s">
        <v>5735</v>
      </c>
      <c r="EJS1" s="9" t="s">
        <v>5736</v>
      </c>
      <c r="EJT1" s="9" t="s">
        <v>5737</v>
      </c>
      <c r="EJU1" s="9" t="s">
        <v>5738</v>
      </c>
      <c r="EJV1" s="9" t="s">
        <v>5739</v>
      </c>
      <c r="EJW1" s="9" t="s">
        <v>5740</v>
      </c>
      <c r="EJX1" s="9" t="s">
        <v>5741</v>
      </c>
      <c r="EJY1" s="9" t="s">
        <v>5742</v>
      </c>
      <c r="EJZ1" s="9" t="s">
        <v>5743</v>
      </c>
      <c r="EKA1" s="9" t="s">
        <v>5744</v>
      </c>
      <c r="EKB1" s="9" t="s">
        <v>5745</v>
      </c>
      <c r="EKC1" s="9" t="s">
        <v>5746</v>
      </c>
      <c r="EKD1" s="9" t="s">
        <v>5747</v>
      </c>
      <c r="EKE1" s="9" t="s">
        <v>5748</v>
      </c>
      <c r="EKF1" s="9" t="s">
        <v>5749</v>
      </c>
      <c r="EKG1" s="9" t="s">
        <v>5750</v>
      </c>
      <c r="EKH1" s="9" t="s">
        <v>5751</v>
      </c>
      <c r="EKI1" s="9" t="s">
        <v>5752</v>
      </c>
      <c r="EKJ1" s="9" t="s">
        <v>5753</v>
      </c>
      <c r="EKK1" s="9" t="s">
        <v>5754</v>
      </c>
      <c r="EKL1" s="9" t="s">
        <v>5755</v>
      </c>
      <c r="EKM1" s="9" t="s">
        <v>5756</v>
      </c>
      <c r="EKN1" s="9" t="s">
        <v>5757</v>
      </c>
      <c r="EKO1" s="9" t="s">
        <v>5758</v>
      </c>
      <c r="EKP1" s="9" t="s">
        <v>5759</v>
      </c>
      <c r="EKQ1" s="9" t="s">
        <v>5760</v>
      </c>
      <c r="EKR1" s="9" t="s">
        <v>5761</v>
      </c>
      <c r="EKS1" s="9" t="s">
        <v>5762</v>
      </c>
      <c r="EKT1" s="9" t="s">
        <v>5763</v>
      </c>
      <c r="EKU1" s="9" t="s">
        <v>5764</v>
      </c>
      <c r="EKV1" s="9" t="s">
        <v>5765</v>
      </c>
      <c r="EKW1" s="9" t="s">
        <v>5766</v>
      </c>
      <c r="EKX1" s="9" t="s">
        <v>5767</v>
      </c>
      <c r="EKY1" s="9" t="s">
        <v>5768</v>
      </c>
      <c r="EKZ1" s="9" t="s">
        <v>5769</v>
      </c>
      <c r="ELA1" s="9" t="s">
        <v>5770</v>
      </c>
      <c r="ELB1" s="9" t="s">
        <v>5771</v>
      </c>
      <c r="ELC1" s="9" t="s">
        <v>5772</v>
      </c>
      <c r="ELD1" s="9" t="s">
        <v>5773</v>
      </c>
      <c r="ELE1" s="9" t="s">
        <v>5774</v>
      </c>
      <c r="ELF1" s="9" t="s">
        <v>5775</v>
      </c>
      <c r="ELG1" s="9" t="s">
        <v>5776</v>
      </c>
      <c r="ELH1" s="9" t="s">
        <v>5777</v>
      </c>
      <c r="ELI1" s="9" t="s">
        <v>5778</v>
      </c>
      <c r="ELJ1" s="9" t="s">
        <v>5779</v>
      </c>
      <c r="ELK1" s="9" t="s">
        <v>5780</v>
      </c>
      <c r="ELL1" s="9" t="s">
        <v>5781</v>
      </c>
      <c r="ELM1" s="9" t="s">
        <v>5782</v>
      </c>
      <c r="ELN1" s="9" t="s">
        <v>5783</v>
      </c>
      <c r="ELO1" s="9" t="s">
        <v>5784</v>
      </c>
      <c r="ELP1" s="9" t="s">
        <v>5785</v>
      </c>
      <c r="ELQ1" s="9" t="s">
        <v>5786</v>
      </c>
      <c r="ELR1" s="9" t="s">
        <v>5787</v>
      </c>
      <c r="ELS1" s="9" t="s">
        <v>5788</v>
      </c>
      <c r="ELT1" s="9" t="s">
        <v>5789</v>
      </c>
      <c r="ELU1" s="9" t="s">
        <v>5790</v>
      </c>
      <c r="ELV1" s="9" t="s">
        <v>5791</v>
      </c>
      <c r="ELW1" s="9" t="s">
        <v>5792</v>
      </c>
      <c r="ELX1" s="9" t="s">
        <v>5793</v>
      </c>
      <c r="ELY1" s="9" t="s">
        <v>5794</v>
      </c>
      <c r="ELZ1" s="9" t="s">
        <v>5795</v>
      </c>
      <c r="EMA1" s="9" t="s">
        <v>5796</v>
      </c>
      <c r="EMB1" s="9" t="s">
        <v>5797</v>
      </c>
      <c r="EMC1" s="9" t="s">
        <v>5798</v>
      </c>
      <c r="EMD1" s="9" t="s">
        <v>5799</v>
      </c>
      <c r="EME1" s="9" t="s">
        <v>5800</v>
      </c>
      <c r="EMF1" s="9" t="s">
        <v>5801</v>
      </c>
      <c r="EMG1" s="9" t="s">
        <v>5802</v>
      </c>
      <c r="EMH1" s="9" t="s">
        <v>5803</v>
      </c>
      <c r="EMI1" s="9" t="s">
        <v>5804</v>
      </c>
      <c r="EMJ1" s="9" t="s">
        <v>5805</v>
      </c>
      <c r="EMK1" s="9" t="s">
        <v>5806</v>
      </c>
      <c r="EML1" s="9" t="s">
        <v>5807</v>
      </c>
      <c r="EMM1" s="9" t="s">
        <v>5808</v>
      </c>
      <c r="EMN1" s="9" t="s">
        <v>5809</v>
      </c>
      <c r="EMO1" s="9" t="s">
        <v>5810</v>
      </c>
      <c r="EMP1" s="9" t="s">
        <v>5811</v>
      </c>
      <c r="EMQ1" s="9" t="s">
        <v>5812</v>
      </c>
      <c r="EMR1" s="9" t="s">
        <v>5813</v>
      </c>
      <c r="EMS1" s="9" t="s">
        <v>5814</v>
      </c>
      <c r="EMT1" s="9" t="s">
        <v>5815</v>
      </c>
      <c r="EMU1" s="9" t="s">
        <v>5816</v>
      </c>
      <c r="EMV1" s="9" t="s">
        <v>5817</v>
      </c>
      <c r="EMW1" s="9" t="s">
        <v>5818</v>
      </c>
      <c r="EMX1" s="9" t="s">
        <v>5819</v>
      </c>
      <c r="EMY1" s="9" t="s">
        <v>5820</v>
      </c>
      <c r="EMZ1" s="9" t="s">
        <v>5821</v>
      </c>
      <c r="ENA1" s="9" t="s">
        <v>5822</v>
      </c>
      <c r="ENB1" s="9" t="s">
        <v>5823</v>
      </c>
      <c r="ENC1" s="9" t="s">
        <v>5824</v>
      </c>
      <c r="END1" s="9" t="s">
        <v>5825</v>
      </c>
      <c r="ENE1" s="9" t="s">
        <v>5826</v>
      </c>
      <c r="ENF1" s="9" t="s">
        <v>5827</v>
      </c>
      <c r="ENG1" s="9" t="s">
        <v>5828</v>
      </c>
      <c r="ENH1" s="9" t="s">
        <v>5829</v>
      </c>
      <c r="ENI1" s="9" t="s">
        <v>5830</v>
      </c>
      <c r="ENJ1" s="9" t="s">
        <v>5831</v>
      </c>
      <c r="ENK1" s="9" t="s">
        <v>5832</v>
      </c>
      <c r="ENL1" s="9" t="s">
        <v>5833</v>
      </c>
      <c r="ENM1" s="9" t="s">
        <v>5834</v>
      </c>
      <c r="ENN1" s="9" t="s">
        <v>5835</v>
      </c>
      <c r="ENO1" s="9" t="s">
        <v>5836</v>
      </c>
      <c r="ENP1" s="9" t="s">
        <v>5837</v>
      </c>
      <c r="ENQ1" s="9" t="s">
        <v>5838</v>
      </c>
      <c r="ENR1" s="9" t="s">
        <v>5839</v>
      </c>
      <c r="ENS1" s="9" t="s">
        <v>5840</v>
      </c>
      <c r="ENT1" s="9" t="s">
        <v>5841</v>
      </c>
      <c r="ENU1" s="9" t="s">
        <v>5842</v>
      </c>
      <c r="ENV1" s="9" t="s">
        <v>5843</v>
      </c>
      <c r="ENW1" s="9" t="s">
        <v>5844</v>
      </c>
      <c r="ENX1" s="9" t="s">
        <v>5845</v>
      </c>
      <c r="ENY1" s="9" t="s">
        <v>5846</v>
      </c>
      <c r="ENZ1" s="9" t="s">
        <v>5847</v>
      </c>
      <c r="EOA1" s="9" t="s">
        <v>5848</v>
      </c>
      <c r="EOB1" s="9" t="s">
        <v>5849</v>
      </c>
      <c r="EOC1" s="9" t="s">
        <v>5850</v>
      </c>
      <c r="EOD1" s="9" t="s">
        <v>5851</v>
      </c>
      <c r="EOE1" s="9" t="s">
        <v>5852</v>
      </c>
      <c r="EOF1" s="9" t="s">
        <v>5853</v>
      </c>
      <c r="EOG1" s="9" t="s">
        <v>5854</v>
      </c>
      <c r="EOH1" s="9" t="s">
        <v>5855</v>
      </c>
      <c r="EOI1" s="9" t="s">
        <v>5856</v>
      </c>
      <c r="EOJ1" s="9" t="s">
        <v>5857</v>
      </c>
      <c r="EOK1" s="9" t="s">
        <v>5858</v>
      </c>
      <c r="EOL1" s="9" t="s">
        <v>5859</v>
      </c>
      <c r="EOM1" s="9" t="s">
        <v>5860</v>
      </c>
      <c r="EON1" s="9" t="s">
        <v>5861</v>
      </c>
      <c r="EOO1" s="9" t="s">
        <v>5862</v>
      </c>
      <c r="EOP1" s="9" t="s">
        <v>5863</v>
      </c>
      <c r="EOQ1" s="9" t="s">
        <v>5864</v>
      </c>
      <c r="EOR1" s="9" t="s">
        <v>5865</v>
      </c>
      <c r="EOS1" s="9" t="s">
        <v>5866</v>
      </c>
      <c r="EOT1" s="9" t="s">
        <v>5867</v>
      </c>
      <c r="EOU1" s="9" t="s">
        <v>5868</v>
      </c>
      <c r="EOV1" s="9" t="s">
        <v>5869</v>
      </c>
      <c r="EOW1" s="9" t="s">
        <v>5870</v>
      </c>
      <c r="EOX1" s="9" t="s">
        <v>5871</v>
      </c>
      <c r="EOY1" s="9" t="s">
        <v>5872</v>
      </c>
      <c r="EOZ1" s="9" t="s">
        <v>5873</v>
      </c>
      <c r="EPA1" s="9" t="s">
        <v>5874</v>
      </c>
      <c r="EPB1" s="9" t="s">
        <v>5875</v>
      </c>
      <c r="EPC1" s="9" t="s">
        <v>5876</v>
      </c>
      <c r="EPD1" s="9" t="s">
        <v>5877</v>
      </c>
      <c r="EPE1" s="9" t="s">
        <v>5878</v>
      </c>
      <c r="EPF1" s="9" t="s">
        <v>5879</v>
      </c>
      <c r="EPG1" s="9" t="s">
        <v>5880</v>
      </c>
      <c r="EPH1" s="9" t="s">
        <v>5881</v>
      </c>
      <c r="EPI1" s="9" t="s">
        <v>5882</v>
      </c>
      <c r="EPJ1" s="9" t="s">
        <v>5883</v>
      </c>
      <c r="EPK1" s="9" t="s">
        <v>5884</v>
      </c>
      <c r="EPL1" s="9" t="s">
        <v>5885</v>
      </c>
      <c r="EPM1" s="9" t="s">
        <v>5886</v>
      </c>
      <c r="EPN1" s="9" t="s">
        <v>5887</v>
      </c>
      <c r="EPO1" s="9" t="s">
        <v>5888</v>
      </c>
      <c r="EPP1" s="9" t="s">
        <v>5889</v>
      </c>
      <c r="EPQ1" s="9" t="s">
        <v>5890</v>
      </c>
      <c r="EPR1" s="9" t="s">
        <v>5891</v>
      </c>
      <c r="EPS1" s="9" t="s">
        <v>5892</v>
      </c>
      <c r="EPT1" s="9" t="s">
        <v>5893</v>
      </c>
      <c r="EPU1" s="9" t="s">
        <v>5894</v>
      </c>
      <c r="EPV1" s="9" t="s">
        <v>5895</v>
      </c>
      <c r="EPW1" s="9" t="s">
        <v>5896</v>
      </c>
      <c r="EPX1" s="9" t="s">
        <v>5897</v>
      </c>
      <c r="EPY1" s="9" t="s">
        <v>5898</v>
      </c>
      <c r="EPZ1" s="9" t="s">
        <v>5899</v>
      </c>
      <c r="EQA1" s="9" t="s">
        <v>5900</v>
      </c>
      <c r="EQB1" s="9" t="s">
        <v>5901</v>
      </c>
      <c r="EQC1" s="9" t="s">
        <v>5902</v>
      </c>
      <c r="EQD1" s="9" t="s">
        <v>5903</v>
      </c>
      <c r="EQE1" s="9" t="s">
        <v>5904</v>
      </c>
      <c r="EQF1" s="9" t="s">
        <v>5905</v>
      </c>
      <c r="EQG1" s="9" t="s">
        <v>5906</v>
      </c>
      <c r="EQH1" s="9" t="s">
        <v>5907</v>
      </c>
      <c r="EQI1" s="9" t="s">
        <v>5908</v>
      </c>
      <c r="EQJ1" s="9" t="s">
        <v>5909</v>
      </c>
      <c r="EQK1" s="9" t="s">
        <v>5910</v>
      </c>
      <c r="EQL1" s="9" t="s">
        <v>5911</v>
      </c>
      <c r="EQM1" s="9" t="s">
        <v>5912</v>
      </c>
      <c r="EQN1" s="9" t="s">
        <v>5913</v>
      </c>
      <c r="EQO1" s="9" t="s">
        <v>5914</v>
      </c>
      <c r="EQP1" s="9" t="s">
        <v>5915</v>
      </c>
      <c r="EQQ1" s="9" t="s">
        <v>5916</v>
      </c>
      <c r="EQR1" s="9" t="s">
        <v>5917</v>
      </c>
      <c r="EQS1" s="9" t="s">
        <v>5918</v>
      </c>
      <c r="EQT1" s="9" t="s">
        <v>5919</v>
      </c>
      <c r="EQU1" s="9" t="s">
        <v>5920</v>
      </c>
      <c r="EQV1" s="9" t="s">
        <v>5921</v>
      </c>
      <c r="EQW1" s="9" t="s">
        <v>5922</v>
      </c>
      <c r="EQX1" s="9" t="s">
        <v>5923</v>
      </c>
      <c r="EQY1" s="9" t="s">
        <v>5924</v>
      </c>
      <c r="EQZ1" s="9" t="s">
        <v>5925</v>
      </c>
      <c r="ERA1" s="9" t="s">
        <v>5926</v>
      </c>
      <c r="ERB1" s="9" t="s">
        <v>5927</v>
      </c>
      <c r="ERC1" s="9" t="s">
        <v>5928</v>
      </c>
      <c r="ERD1" s="9" t="s">
        <v>5929</v>
      </c>
      <c r="ERE1" s="9" t="s">
        <v>5930</v>
      </c>
      <c r="ERF1" s="9" t="s">
        <v>5931</v>
      </c>
      <c r="ERG1" s="9" t="s">
        <v>5932</v>
      </c>
      <c r="ERH1" s="9" t="s">
        <v>5933</v>
      </c>
      <c r="ERI1" s="9" t="s">
        <v>5934</v>
      </c>
      <c r="ERJ1" s="9" t="s">
        <v>5935</v>
      </c>
      <c r="ERK1" s="9" t="s">
        <v>5936</v>
      </c>
      <c r="ERL1" s="9" t="s">
        <v>5937</v>
      </c>
      <c r="ERM1" s="9" t="s">
        <v>5938</v>
      </c>
      <c r="ERN1" s="9" t="s">
        <v>5939</v>
      </c>
      <c r="ERO1" s="9" t="s">
        <v>5940</v>
      </c>
      <c r="ERP1" s="9" t="s">
        <v>5941</v>
      </c>
      <c r="ERQ1" s="9" t="s">
        <v>5942</v>
      </c>
      <c r="ERR1" s="9" t="s">
        <v>5943</v>
      </c>
      <c r="ERS1" s="9" t="s">
        <v>5944</v>
      </c>
      <c r="ERT1" s="9" t="s">
        <v>5945</v>
      </c>
      <c r="ERU1" s="9" t="s">
        <v>5946</v>
      </c>
      <c r="ERV1" s="9" t="s">
        <v>5947</v>
      </c>
      <c r="ERW1" s="9" t="s">
        <v>5948</v>
      </c>
      <c r="ERX1" s="9" t="s">
        <v>5949</v>
      </c>
      <c r="ERY1" s="9" t="s">
        <v>5950</v>
      </c>
      <c r="ERZ1" s="9" t="s">
        <v>5951</v>
      </c>
      <c r="ESA1" s="9" t="s">
        <v>5952</v>
      </c>
      <c r="ESB1" s="9" t="s">
        <v>5953</v>
      </c>
      <c r="ESC1" s="9" t="s">
        <v>5954</v>
      </c>
      <c r="ESD1" s="9" t="s">
        <v>5955</v>
      </c>
      <c r="ESE1" s="9" t="s">
        <v>5956</v>
      </c>
      <c r="ESF1" s="9" t="s">
        <v>5957</v>
      </c>
      <c r="ESG1" s="9" t="s">
        <v>5958</v>
      </c>
      <c r="ESH1" s="9" t="s">
        <v>5959</v>
      </c>
      <c r="ESI1" s="9" t="s">
        <v>5960</v>
      </c>
      <c r="ESJ1" s="9" t="s">
        <v>5961</v>
      </c>
      <c r="ESK1" s="9" t="s">
        <v>5962</v>
      </c>
      <c r="ESL1" s="9" t="s">
        <v>5963</v>
      </c>
      <c r="ESM1" s="9" t="s">
        <v>5964</v>
      </c>
      <c r="ESN1" s="9" t="s">
        <v>5965</v>
      </c>
      <c r="ESO1" s="9" t="s">
        <v>5966</v>
      </c>
      <c r="ESP1" s="9" t="s">
        <v>5967</v>
      </c>
      <c r="ESQ1" s="9" t="s">
        <v>5968</v>
      </c>
      <c r="ESR1" s="9" t="s">
        <v>5969</v>
      </c>
      <c r="ESS1" s="9" t="s">
        <v>5970</v>
      </c>
      <c r="EST1" s="9" t="s">
        <v>5971</v>
      </c>
      <c r="ESU1" s="9" t="s">
        <v>5972</v>
      </c>
      <c r="ESV1" s="9" t="s">
        <v>5973</v>
      </c>
      <c r="ESW1" s="9" t="s">
        <v>5974</v>
      </c>
      <c r="ESX1" s="9" t="s">
        <v>5975</v>
      </c>
      <c r="ESY1" s="9" t="s">
        <v>5976</v>
      </c>
      <c r="ESZ1" s="9" t="s">
        <v>5977</v>
      </c>
      <c r="ETA1" s="9" t="s">
        <v>5978</v>
      </c>
      <c r="ETB1" s="9" t="s">
        <v>5979</v>
      </c>
      <c r="ETC1" s="9" t="s">
        <v>5980</v>
      </c>
      <c r="ETD1" s="9" t="s">
        <v>5981</v>
      </c>
      <c r="ETE1" s="9" t="s">
        <v>5982</v>
      </c>
      <c r="ETF1" s="9" t="s">
        <v>5983</v>
      </c>
      <c r="ETG1" s="9" t="s">
        <v>5984</v>
      </c>
      <c r="ETH1" s="9" t="s">
        <v>5985</v>
      </c>
      <c r="ETI1" s="9" t="s">
        <v>5986</v>
      </c>
      <c r="ETJ1" s="9" t="s">
        <v>5987</v>
      </c>
      <c r="ETK1" s="9" t="s">
        <v>5988</v>
      </c>
      <c r="ETL1" s="9" t="s">
        <v>5989</v>
      </c>
      <c r="ETM1" s="9" t="s">
        <v>5990</v>
      </c>
      <c r="ETN1" s="9" t="s">
        <v>5991</v>
      </c>
      <c r="ETO1" s="9" t="s">
        <v>5992</v>
      </c>
      <c r="ETP1" s="9" t="s">
        <v>5993</v>
      </c>
      <c r="ETQ1" s="9" t="s">
        <v>5994</v>
      </c>
      <c r="ETR1" s="9" t="s">
        <v>5995</v>
      </c>
      <c r="ETS1" s="9" t="s">
        <v>5996</v>
      </c>
      <c r="ETT1" s="9" t="s">
        <v>5997</v>
      </c>
      <c r="ETU1" s="9" t="s">
        <v>5998</v>
      </c>
      <c r="ETV1" s="9" t="s">
        <v>5999</v>
      </c>
      <c r="ETW1" s="9" t="s">
        <v>6000</v>
      </c>
      <c r="ETX1" s="9" t="s">
        <v>6001</v>
      </c>
      <c r="ETY1" s="9" t="s">
        <v>6002</v>
      </c>
      <c r="ETZ1" s="9" t="s">
        <v>6003</v>
      </c>
      <c r="EUA1" s="9" t="s">
        <v>6004</v>
      </c>
      <c r="EUB1" s="9" t="s">
        <v>6005</v>
      </c>
      <c r="EUC1" s="9" t="s">
        <v>6006</v>
      </c>
      <c r="EUD1" s="9" t="s">
        <v>6007</v>
      </c>
      <c r="EUE1" s="9" t="s">
        <v>6008</v>
      </c>
      <c r="EUF1" s="9" t="s">
        <v>6009</v>
      </c>
      <c r="EUG1" s="9" t="s">
        <v>6010</v>
      </c>
      <c r="EUH1" s="9" t="s">
        <v>6011</v>
      </c>
      <c r="EUI1" s="9" t="s">
        <v>6012</v>
      </c>
      <c r="EUJ1" s="9" t="s">
        <v>6013</v>
      </c>
      <c r="EUK1" s="9" t="s">
        <v>6014</v>
      </c>
      <c r="EUL1" s="9" t="s">
        <v>6015</v>
      </c>
      <c r="EUM1" s="9" t="s">
        <v>6016</v>
      </c>
      <c r="EUN1" s="9" t="s">
        <v>6017</v>
      </c>
      <c r="EUO1" s="9" t="s">
        <v>6018</v>
      </c>
      <c r="EUP1" s="9" t="s">
        <v>6019</v>
      </c>
      <c r="EUQ1" s="9" t="s">
        <v>6020</v>
      </c>
      <c r="EUR1" s="9" t="s">
        <v>6021</v>
      </c>
      <c r="EUS1" s="9" t="s">
        <v>6022</v>
      </c>
      <c r="EUT1" s="9" t="s">
        <v>6023</v>
      </c>
      <c r="EUU1" s="9" t="s">
        <v>6024</v>
      </c>
      <c r="EUV1" s="9" t="s">
        <v>6025</v>
      </c>
      <c r="EUW1" s="9" t="s">
        <v>6026</v>
      </c>
      <c r="EUX1" s="9" t="s">
        <v>6027</v>
      </c>
      <c r="EUY1" s="9" t="s">
        <v>6028</v>
      </c>
      <c r="EUZ1" s="9" t="s">
        <v>6029</v>
      </c>
      <c r="EVA1" s="9" t="s">
        <v>6030</v>
      </c>
      <c r="EVB1" s="9" t="s">
        <v>6031</v>
      </c>
      <c r="EVC1" s="9" t="s">
        <v>6032</v>
      </c>
      <c r="EVD1" s="9" t="s">
        <v>6033</v>
      </c>
      <c r="EVE1" s="9" t="s">
        <v>6034</v>
      </c>
      <c r="EVF1" s="9" t="s">
        <v>6035</v>
      </c>
      <c r="EVG1" s="9" t="s">
        <v>6036</v>
      </c>
      <c r="EVH1" s="9" t="s">
        <v>6037</v>
      </c>
      <c r="EVI1" s="9" t="s">
        <v>6038</v>
      </c>
      <c r="EVJ1" s="9" t="s">
        <v>6039</v>
      </c>
      <c r="EVK1" s="9" t="s">
        <v>6040</v>
      </c>
      <c r="EVL1" s="9" t="s">
        <v>6041</v>
      </c>
      <c r="EVM1" s="9" t="s">
        <v>6042</v>
      </c>
      <c r="EVN1" s="9" t="s">
        <v>6043</v>
      </c>
      <c r="EVO1" s="9" t="s">
        <v>6044</v>
      </c>
      <c r="EVP1" s="9" t="s">
        <v>6045</v>
      </c>
      <c r="EVQ1" s="9" t="s">
        <v>6046</v>
      </c>
      <c r="EVR1" s="9" t="s">
        <v>6047</v>
      </c>
      <c r="EVS1" s="9" t="s">
        <v>6048</v>
      </c>
      <c r="EVT1" s="9" t="s">
        <v>6049</v>
      </c>
      <c r="EVU1" s="9" t="s">
        <v>6050</v>
      </c>
      <c r="EVV1" s="9" t="s">
        <v>6051</v>
      </c>
      <c r="EVW1" s="9" t="s">
        <v>6052</v>
      </c>
      <c r="EVX1" s="9" t="s">
        <v>6053</v>
      </c>
      <c r="EVY1" s="9" t="s">
        <v>6054</v>
      </c>
      <c r="EVZ1" s="9" t="s">
        <v>6055</v>
      </c>
      <c r="EWA1" s="9" t="s">
        <v>6056</v>
      </c>
      <c r="EWB1" s="9" t="s">
        <v>6057</v>
      </c>
      <c r="EWC1" s="9" t="s">
        <v>6058</v>
      </c>
      <c r="EWD1" s="9" t="s">
        <v>6059</v>
      </c>
      <c r="EWE1" s="9" t="s">
        <v>6060</v>
      </c>
      <c r="EWF1" s="9" t="s">
        <v>6061</v>
      </c>
      <c r="EWG1" s="9" t="s">
        <v>6062</v>
      </c>
      <c r="EWH1" s="9" t="s">
        <v>6063</v>
      </c>
      <c r="EWI1" s="9" t="s">
        <v>6064</v>
      </c>
      <c r="EWJ1" s="9" t="s">
        <v>6065</v>
      </c>
      <c r="EWK1" s="9" t="s">
        <v>6066</v>
      </c>
      <c r="EWL1" s="9" t="s">
        <v>6067</v>
      </c>
      <c r="EWM1" s="9" t="s">
        <v>6068</v>
      </c>
      <c r="EWN1" s="9" t="s">
        <v>6069</v>
      </c>
      <c r="EWO1" s="9" t="s">
        <v>6070</v>
      </c>
      <c r="EWP1" s="9" t="s">
        <v>6071</v>
      </c>
      <c r="EWQ1" s="9" t="s">
        <v>6072</v>
      </c>
      <c r="EWR1" s="9" t="s">
        <v>6073</v>
      </c>
      <c r="EWS1" s="9" t="s">
        <v>6074</v>
      </c>
      <c r="EWT1" s="9" t="s">
        <v>6075</v>
      </c>
      <c r="EWU1" s="9" t="s">
        <v>6076</v>
      </c>
      <c r="EWV1" s="9" t="s">
        <v>6077</v>
      </c>
      <c r="EWW1" s="9" t="s">
        <v>6078</v>
      </c>
      <c r="EWX1" s="9" t="s">
        <v>6079</v>
      </c>
      <c r="EWY1" s="9" t="s">
        <v>6080</v>
      </c>
      <c r="EWZ1" s="9" t="s">
        <v>6081</v>
      </c>
      <c r="EXA1" s="9" t="s">
        <v>6082</v>
      </c>
      <c r="EXB1" s="9" t="s">
        <v>6083</v>
      </c>
      <c r="EXC1" s="9" t="s">
        <v>6084</v>
      </c>
      <c r="EXD1" s="9" t="s">
        <v>6085</v>
      </c>
      <c r="EXE1" s="9" t="s">
        <v>6086</v>
      </c>
      <c r="EXF1" s="9" t="s">
        <v>6087</v>
      </c>
      <c r="EXG1" s="9" t="s">
        <v>6088</v>
      </c>
      <c r="EXH1" s="9" t="s">
        <v>6089</v>
      </c>
      <c r="EXI1" s="9" t="s">
        <v>6090</v>
      </c>
      <c r="EXJ1" s="9" t="s">
        <v>6091</v>
      </c>
      <c r="EXK1" s="9" t="s">
        <v>6092</v>
      </c>
      <c r="EXL1" s="9" t="s">
        <v>6093</v>
      </c>
      <c r="EXM1" s="9" t="s">
        <v>6094</v>
      </c>
      <c r="EXN1" s="9" t="s">
        <v>6095</v>
      </c>
      <c r="EXO1" s="9" t="s">
        <v>6096</v>
      </c>
      <c r="EXP1" s="9" t="s">
        <v>6097</v>
      </c>
      <c r="EXQ1" s="9" t="s">
        <v>6098</v>
      </c>
      <c r="EXR1" s="9" t="s">
        <v>6099</v>
      </c>
      <c r="EXS1" s="9" t="s">
        <v>6100</v>
      </c>
      <c r="EXT1" s="9" t="s">
        <v>6101</v>
      </c>
      <c r="EXU1" s="9" t="s">
        <v>6102</v>
      </c>
      <c r="EXV1" s="9" t="s">
        <v>6103</v>
      </c>
      <c r="EXW1" s="9" t="s">
        <v>6104</v>
      </c>
      <c r="EXX1" s="9" t="s">
        <v>6105</v>
      </c>
      <c r="EXY1" s="9" t="s">
        <v>6106</v>
      </c>
      <c r="EXZ1" s="9" t="s">
        <v>6107</v>
      </c>
      <c r="EYA1" s="9" t="s">
        <v>6108</v>
      </c>
      <c r="EYB1" s="9" t="s">
        <v>6109</v>
      </c>
      <c r="EYC1" s="9" t="s">
        <v>6110</v>
      </c>
      <c r="EYD1" s="9" t="s">
        <v>6111</v>
      </c>
      <c r="EYE1" s="9" t="s">
        <v>6112</v>
      </c>
      <c r="EYF1" s="9" t="s">
        <v>6113</v>
      </c>
      <c r="EYG1" s="9" t="s">
        <v>6114</v>
      </c>
      <c r="EYH1" s="9" t="s">
        <v>6115</v>
      </c>
      <c r="EYI1" s="9" t="s">
        <v>6116</v>
      </c>
      <c r="EYJ1" s="9" t="s">
        <v>6117</v>
      </c>
      <c r="EYK1" s="9" t="s">
        <v>6118</v>
      </c>
      <c r="EYL1" s="9" t="s">
        <v>6119</v>
      </c>
      <c r="EYM1" s="9" t="s">
        <v>6120</v>
      </c>
      <c r="EYN1" s="9" t="s">
        <v>6121</v>
      </c>
      <c r="EYO1" s="9" t="s">
        <v>6122</v>
      </c>
      <c r="EYP1" s="9" t="s">
        <v>6123</v>
      </c>
      <c r="EYQ1" s="9" t="s">
        <v>6124</v>
      </c>
      <c r="EYR1" s="9" t="s">
        <v>6125</v>
      </c>
      <c r="EYS1" s="9" t="s">
        <v>6126</v>
      </c>
      <c r="EYT1" s="9" t="s">
        <v>6127</v>
      </c>
      <c r="EYU1" s="9" t="s">
        <v>6128</v>
      </c>
      <c r="EYV1" s="9" t="s">
        <v>6129</v>
      </c>
      <c r="EYW1" s="9" t="s">
        <v>6130</v>
      </c>
      <c r="EYX1" s="9" t="s">
        <v>6131</v>
      </c>
      <c r="EYY1" s="9" t="s">
        <v>6132</v>
      </c>
      <c r="EYZ1" s="9" t="s">
        <v>6133</v>
      </c>
      <c r="EZA1" s="9" t="s">
        <v>6134</v>
      </c>
      <c r="EZB1" s="9" t="s">
        <v>6135</v>
      </c>
      <c r="EZC1" s="9" t="s">
        <v>6136</v>
      </c>
      <c r="EZD1" s="9" t="s">
        <v>6137</v>
      </c>
      <c r="EZE1" s="9" t="s">
        <v>6138</v>
      </c>
      <c r="EZF1" s="9" t="s">
        <v>6139</v>
      </c>
      <c r="EZG1" s="9" t="s">
        <v>6140</v>
      </c>
      <c r="EZH1" s="9" t="s">
        <v>6141</v>
      </c>
      <c r="EZI1" s="9" t="s">
        <v>6142</v>
      </c>
      <c r="EZJ1" s="9" t="s">
        <v>6143</v>
      </c>
      <c r="EZK1" s="9" t="s">
        <v>6144</v>
      </c>
      <c r="EZL1" s="9" t="s">
        <v>6145</v>
      </c>
      <c r="EZM1" s="9" t="s">
        <v>6146</v>
      </c>
      <c r="EZN1" s="9" t="s">
        <v>6147</v>
      </c>
      <c r="EZO1" s="9" t="s">
        <v>6148</v>
      </c>
      <c r="EZP1" s="9" t="s">
        <v>6149</v>
      </c>
      <c r="EZQ1" s="9" t="s">
        <v>6150</v>
      </c>
      <c r="EZR1" s="9" t="s">
        <v>6151</v>
      </c>
      <c r="EZS1" s="9" t="s">
        <v>6152</v>
      </c>
      <c r="EZT1" s="9" t="s">
        <v>6153</v>
      </c>
      <c r="EZU1" s="9" t="s">
        <v>6154</v>
      </c>
      <c r="EZV1" s="9" t="s">
        <v>6155</v>
      </c>
      <c r="EZW1" s="9" t="s">
        <v>6156</v>
      </c>
      <c r="EZX1" s="9" t="s">
        <v>6157</v>
      </c>
      <c r="EZY1" s="9" t="s">
        <v>6158</v>
      </c>
      <c r="EZZ1" s="9" t="s">
        <v>6159</v>
      </c>
      <c r="FAA1" s="9" t="s">
        <v>6160</v>
      </c>
      <c r="FAB1" s="9" t="s">
        <v>6161</v>
      </c>
      <c r="FAC1" s="9" t="s">
        <v>6162</v>
      </c>
      <c r="FAD1" s="9" t="s">
        <v>6163</v>
      </c>
      <c r="FAE1" s="9" t="s">
        <v>6164</v>
      </c>
      <c r="FAF1" s="9" t="s">
        <v>6165</v>
      </c>
      <c r="FAG1" s="9" t="s">
        <v>6166</v>
      </c>
      <c r="FAH1" s="9" t="s">
        <v>6167</v>
      </c>
      <c r="FAI1" s="9" t="s">
        <v>6168</v>
      </c>
      <c r="FAJ1" s="9" t="s">
        <v>6169</v>
      </c>
      <c r="FAK1" s="9" t="s">
        <v>6170</v>
      </c>
      <c r="FAL1" s="9" t="s">
        <v>6171</v>
      </c>
      <c r="FAM1" s="9" t="s">
        <v>6172</v>
      </c>
      <c r="FAN1" s="9" t="s">
        <v>6173</v>
      </c>
      <c r="FAO1" s="9" t="s">
        <v>6174</v>
      </c>
      <c r="FAP1" s="9" t="s">
        <v>6175</v>
      </c>
      <c r="FAQ1" s="9" t="s">
        <v>6176</v>
      </c>
      <c r="FAR1" s="9" t="s">
        <v>6177</v>
      </c>
      <c r="FAS1" s="9" t="s">
        <v>6178</v>
      </c>
      <c r="FAT1" s="9" t="s">
        <v>6179</v>
      </c>
      <c r="FAU1" s="9" t="s">
        <v>6180</v>
      </c>
      <c r="FAV1" s="9" t="s">
        <v>6181</v>
      </c>
      <c r="FAW1" s="9" t="s">
        <v>6182</v>
      </c>
      <c r="FAX1" s="9" t="s">
        <v>6183</v>
      </c>
      <c r="FAY1" s="9" t="s">
        <v>6184</v>
      </c>
      <c r="FAZ1" s="9" t="s">
        <v>6185</v>
      </c>
      <c r="FBA1" s="9" t="s">
        <v>6186</v>
      </c>
      <c r="FBB1" s="9" t="s">
        <v>6187</v>
      </c>
      <c r="FBC1" s="9" t="s">
        <v>6188</v>
      </c>
      <c r="FBD1" s="9" t="s">
        <v>6189</v>
      </c>
      <c r="FBE1" s="9" t="s">
        <v>6190</v>
      </c>
      <c r="FBF1" s="9" t="s">
        <v>6191</v>
      </c>
      <c r="FBG1" s="9" t="s">
        <v>6192</v>
      </c>
      <c r="FBH1" s="9" t="s">
        <v>6193</v>
      </c>
      <c r="FBI1" s="9" t="s">
        <v>6194</v>
      </c>
      <c r="FBJ1" s="9" t="s">
        <v>6195</v>
      </c>
      <c r="FBK1" s="9" t="s">
        <v>6196</v>
      </c>
      <c r="FBL1" s="9" t="s">
        <v>6197</v>
      </c>
      <c r="FBM1" s="9" t="s">
        <v>6198</v>
      </c>
      <c r="FBN1" s="9" t="s">
        <v>6199</v>
      </c>
      <c r="FBO1" s="9" t="s">
        <v>6200</v>
      </c>
      <c r="FBP1" s="9" t="s">
        <v>6201</v>
      </c>
      <c r="FBQ1" s="9" t="s">
        <v>6202</v>
      </c>
      <c r="FBR1" s="9" t="s">
        <v>6203</v>
      </c>
      <c r="FBS1" s="9" t="s">
        <v>6204</v>
      </c>
      <c r="FBT1" s="9" t="s">
        <v>6205</v>
      </c>
      <c r="FBU1" s="9" t="s">
        <v>6206</v>
      </c>
      <c r="FBV1" s="9" t="s">
        <v>6207</v>
      </c>
      <c r="FBW1" s="9" t="s">
        <v>6208</v>
      </c>
      <c r="FBX1" s="9" t="s">
        <v>6209</v>
      </c>
      <c r="FBY1" s="9" t="s">
        <v>6210</v>
      </c>
      <c r="FBZ1" s="9" t="s">
        <v>6211</v>
      </c>
      <c r="FCA1" s="9" t="s">
        <v>6212</v>
      </c>
      <c r="FCB1" s="9" t="s">
        <v>6213</v>
      </c>
      <c r="FCC1" s="9" t="s">
        <v>6214</v>
      </c>
      <c r="FCD1" s="9" t="s">
        <v>6215</v>
      </c>
      <c r="FCE1" s="9" t="s">
        <v>6216</v>
      </c>
      <c r="FCF1" s="9" t="s">
        <v>6217</v>
      </c>
      <c r="FCG1" s="9" t="s">
        <v>6218</v>
      </c>
      <c r="FCH1" s="9" t="s">
        <v>6219</v>
      </c>
      <c r="FCI1" s="9" t="s">
        <v>6220</v>
      </c>
      <c r="FCJ1" s="9" t="s">
        <v>6221</v>
      </c>
      <c r="FCK1" s="9" t="s">
        <v>6222</v>
      </c>
      <c r="FCL1" s="9" t="s">
        <v>6223</v>
      </c>
      <c r="FCM1" s="9" t="s">
        <v>6224</v>
      </c>
      <c r="FCN1" s="9" t="s">
        <v>6225</v>
      </c>
      <c r="FCO1" s="9" t="s">
        <v>6226</v>
      </c>
      <c r="FCP1" s="9" t="s">
        <v>6227</v>
      </c>
      <c r="FCQ1" s="9" t="s">
        <v>6228</v>
      </c>
      <c r="FCR1" s="9" t="s">
        <v>6229</v>
      </c>
      <c r="FCS1" s="9" t="s">
        <v>6230</v>
      </c>
      <c r="FCT1" s="9" t="s">
        <v>6231</v>
      </c>
      <c r="FCU1" s="9" t="s">
        <v>6232</v>
      </c>
      <c r="FCV1" s="9" t="s">
        <v>6233</v>
      </c>
      <c r="FCW1" s="9" t="s">
        <v>6234</v>
      </c>
      <c r="FCX1" s="9" t="s">
        <v>6235</v>
      </c>
      <c r="FCY1" s="9" t="s">
        <v>6236</v>
      </c>
      <c r="FCZ1" s="9" t="s">
        <v>6237</v>
      </c>
      <c r="FDA1" s="9" t="s">
        <v>6238</v>
      </c>
      <c r="FDB1" s="9" t="s">
        <v>6239</v>
      </c>
      <c r="FDC1" s="9" t="s">
        <v>6240</v>
      </c>
      <c r="FDD1" s="9" t="s">
        <v>6241</v>
      </c>
      <c r="FDE1" s="9" t="s">
        <v>6242</v>
      </c>
      <c r="FDF1" s="9" t="s">
        <v>6243</v>
      </c>
      <c r="FDG1" s="9" t="s">
        <v>6244</v>
      </c>
      <c r="FDH1" s="9" t="s">
        <v>6245</v>
      </c>
      <c r="FDI1" s="9" t="s">
        <v>6246</v>
      </c>
      <c r="FDJ1" s="9" t="s">
        <v>6247</v>
      </c>
      <c r="FDK1" s="9" t="s">
        <v>6248</v>
      </c>
      <c r="FDL1" s="9" t="s">
        <v>6249</v>
      </c>
      <c r="FDM1" s="9" t="s">
        <v>6250</v>
      </c>
      <c r="FDN1" s="9" t="s">
        <v>6251</v>
      </c>
      <c r="FDO1" s="9" t="s">
        <v>6252</v>
      </c>
      <c r="FDP1" s="9" t="s">
        <v>6253</v>
      </c>
      <c r="FDQ1" s="9" t="s">
        <v>6254</v>
      </c>
      <c r="FDR1" s="9" t="s">
        <v>6255</v>
      </c>
      <c r="FDS1" s="9" t="s">
        <v>6256</v>
      </c>
      <c r="FDT1" s="9" t="s">
        <v>6257</v>
      </c>
      <c r="FDU1" s="9" t="s">
        <v>6258</v>
      </c>
      <c r="FDV1" s="9" t="s">
        <v>6259</v>
      </c>
      <c r="FDW1" s="9" t="s">
        <v>6260</v>
      </c>
      <c r="FDX1" s="9" t="s">
        <v>6261</v>
      </c>
      <c r="FDY1" s="9" t="s">
        <v>6262</v>
      </c>
      <c r="FDZ1" s="9" t="s">
        <v>6263</v>
      </c>
      <c r="FEA1" s="9" t="s">
        <v>6264</v>
      </c>
      <c r="FEB1" s="9" t="s">
        <v>6265</v>
      </c>
      <c r="FEC1" s="9" t="s">
        <v>6266</v>
      </c>
      <c r="FED1" s="9" t="s">
        <v>6267</v>
      </c>
      <c r="FEE1" s="9" t="s">
        <v>6268</v>
      </c>
      <c r="FEF1" s="9" t="s">
        <v>6269</v>
      </c>
      <c r="FEG1" s="9" t="s">
        <v>6270</v>
      </c>
      <c r="FEH1" s="9" t="s">
        <v>6271</v>
      </c>
      <c r="FEI1" s="9" t="s">
        <v>6272</v>
      </c>
      <c r="FEJ1" s="9" t="s">
        <v>6273</v>
      </c>
      <c r="FEK1" s="9" t="s">
        <v>6274</v>
      </c>
      <c r="FEL1" s="9" t="s">
        <v>6275</v>
      </c>
      <c r="FEM1" s="9" t="s">
        <v>6276</v>
      </c>
      <c r="FEN1" s="9" t="s">
        <v>6277</v>
      </c>
      <c r="FEO1" s="9" t="s">
        <v>6278</v>
      </c>
      <c r="FEP1" s="9" t="s">
        <v>6279</v>
      </c>
      <c r="FEQ1" s="9" t="s">
        <v>6280</v>
      </c>
      <c r="FER1" s="9" t="s">
        <v>6281</v>
      </c>
      <c r="FES1" s="9" t="s">
        <v>6282</v>
      </c>
      <c r="FET1" s="9" t="s">
        <v>6283</v>
      </c>
      <c r="FEU1" s="9" t="s">
        <v>6284</v>
      </c>
      <c r="FEV1" s="9" t="s">
        <v>6285</v>
      </c>
      <c r="FEW1" s="9" t="s">
        <v>6286</v>
      </c>
      <c r="FEX1" s="9" t="s">
        <v>6287</v>
      </c>
      <c r="FEY1" s="9" t="s">
        <v>6288</v>
      </c>
      <c r="FEZ1" s="9" t="s">
        <v>6289</v>
      </c>
      <c r="FFA1" s="9" t="s">
        <v>6290</v>
      </c>
      <c r="FFB1" s="9" t="s">
        <v>6291</v>
      </c>
      <c r="FFC1" s="9" t="s">
        <v>6292</v>
      </c>
      <c r="FFD1" s="9" t="s">
        <v>6293</v>
      </c>
      <c r="FFE1" s="9" t="s">
        <v>6294</v>
      </c>
      <c r="FFF1" s="9" t="s">
        <v>6295</v>
      </c>
      <c r="FFG1" s="9" t="s">
        <v>6296</v>
      </c>
      <c r="FFH1" s="9" t="s">
        <v>6297</v>
      </c>
      <c r="FFI1" s="9" t="s">
        <v>6298</v>
      </c>
      <c r="FFJ1" s="9" t="s">
        <v>6299</v>
      </c>
      <c r="FFK1" s="9" t="s">
        <v>6300</v>
      </c>
      <c r="FFL1" s="9" t="s">
        <v>6301</v>
      </c>
      <c r="FFM1" s="9" t="s">
        <v>6302</v>
      </c>
      <c r="FFN1" s="9" t="s">
        <v>6303</v>
      </c>
      <c r="FFO1" s="9" t="s">
        <v>6304</v>
      </c>
      <c r="FFP1" s="9" t="s">
        <v>6305</v>
      </c>
      <c r="FFQ1" s="9" t="s">
        <v>6306</v>
      </c>
      <c r="FFR1" s="9" t="s">
        <v>6307</v>
      </c>
      <c r="FFS1" s="9" t="s">
        <v>6308</v>
      </c>
      <c r="FFT1" s="9" t="s">
        <v>6309</v>
      </c>
      <c r="FFU1" s="9" t="s">
        <v>6310</v>
      </c>
      <c r="FFV1" s="9" t="s">
        <v>6311</v>
      </c>
      <c r="FFW1" s="9" t="s">
        <v>6312</v>
      </c>
      <c r="FFX1" s="9" t="s">
        <v>6313</v>
      </c>
      <c r="FFY1" s="9" t="s">
        <v>6314</v>
      </c>
      <c r="FFZ1" s="9" t="s">
        <v>6315</v>
      </c>
      <c r="FGA1" s="9" t="s">
        <v>6316</v>
      </c>
      <c r="FGB1" s="9" t="s">
        <v>6317</v>
      </c>
      <c r="FGC1" s="9" t="s">
        <v>6318</v>
      </c>
      <c r="FGD1" s="9" t="s">
        <v>6319</v>
      </c>
      <c r="FGE1" s="9" t="s">
        <v>6320</v>
      </c>
      <c r="FGF1" s="9" t="s">
        <v>6321</v>
      </c>
      <c r="FGG1" s="9" t="s">
        <v>6322</v>
      </c>
      <c r="FGH1" s="9" t="s">
        <v>6323</v>
      </c>
      <c r="FGI1" s="9" t="s">
        <v>6324</v>
      </c>
      <c r="FGJ1" s="9" t="s">
        <v>6325</v>
      </c>
      <c r="FGK1" s="9" t="s">
        <v>6326</v>
      </c>
      <c r="FGL1" s="9" t="s">
        <v>6327</v>
      </c>
      <c r="FGM1" s="9" t="s">
        <v>6328</v>
      </c>
      <c r="FGN1" s="9" t="s">
        <v>6329</v>
      </c>
      <c r="FGO1" s="9" t="s">
        <v>6330</v>
      </c>
      <c r="FGP1" s="9" t="s">
        <v>6331</v>
      </c>
      <c r="FGQ1" s="9" t="s">
        <v>6332</v>
      </c>
      <c r="FGR1" s="9" t="s">
        <v>6333</v>
      </c>
      <c r="FGS1" s="9" t="s">
        <v>6334</v>
      </c>
      <c r="FGT1" s="9" t="s">
        <v>6335</v>
      </c>
      <c r="FGU1" s="9" t="s">
        <v>6336</v>
      </c>
      <c r="FGV1" s="9" t="s">
        <v>6337</v>
      </c>
      <c r="FGW1" s="9" t="s">
        <v>6338</v>
      </c>
      <c r="FGX1" s="9" t="s">
        <v>6339</v>
      </c>
      <c r="FGY1" s="9" t="s">
        <v>6340</v>
      </c>
      <c r="FGZ1" s="9" t="s">
        <v>6341</v>
      </c>
      <c r="FHA1" s="9" t="s">
        <v>6342</v>
      </c>
      <c r="FHB1" s="9" t="s">
        <v>6343</v>
      </c>
      <c r="FHC1" s="9" t="s">
        <v>6344</v>
      </c>
      <c r="FHD1" s="9" t="s">
        <v>6345</v>
      </c>
      <c r="FHE1" s="9" t="s">
        <v>6346</v>
      </c>
      <c r="FHF1" s="9" t="s">
        <v>6347</v>
      </c>
      <c r="FHG1" s="9" t="s">
        <v>6348</v>
      </c>
      <c r="FHH1" s="9" t="s">
        <v>6349</v>
      </c>
      <c r="FHI1" s="9" t="s">
        <v>6350</v>
      </c>
      <c r="FHJ1" s="9" t="s">
        <v>6351</v>
      </c>
      <c r="FHK1" s="9" t="s">
        <v>6352</v>
      </c>
      <c r="FHL1" s="9" t="s">
        <v>6353</v>
      </c>
      <c r="FHM1" s="9" t="s">
        <v>6354</v>
      </c>
      <c r="FHN1" s="9" t="s">
        <v>6355</v>
      </c>
      <c r="FHO1" s="9" t="s">
        <v>6356</v>
      </c>
      <c r="FHP1" s="9" t="s">
        <v>6357</v>
      </c>
      <c r="FHQ1" s="9" t="s">
        <v>6358</v>
      </c>
      <c r="FHR1" s="9" t="s">
        <v>6359</v>
      </c>
      <c r="FHS1" s="9" t="s">
        <v>6360</v>
      </c>
      <c r="FHT1" s="9" t="s">
        <v>6361</v>
      </c>
      <c r="FHU1" s="9" t="s">
        <v>6362</v>
      </c>
      <c r="FHV1" s="9" t="s">
        <v>6363</v>
      </c>
      <c r="FHW1" s="9" t="s">
        <v>6364</v>
      </c>
      <c r="FHX1" s="9" t="s">
        <v>6365</v>
      </c>
      <c r="FHY1" s="9" t="s">
        <v>6366</v>
      </c>
      <c r="FHZ1" s="9" t="s">
        <v>6367</v>
      </c>
      <c r="FIA1" s="9" t="s">
        <v>6368</v>
      </c>
      <c r="FIB1" s="9" t="s">
        <v>6369</v>
      </c>
      <c r="FIC1" s="9" t="s">
        <v>6370</v>
      </c>
      <c r="FID1" s="9" t="s">
        <v>6371</v>
      </c>
      <c r="FIE1" s="9" t="s">
        <v>6372</v>
      </c>
      <c r="FIF1" s="9" t="s">
        <v>6373</v>
      </c>
      <c r="FIG1" s="9" t="s">
        <v>6374</v>
      </c>
      <c r="FIH1" s="9" t="s">
        <v>6375</v>
      </c>
      <c r="FII1" s="9" t="s">
        <v>6376</v>
      </c>
      <c r="FIJ1" s="9" t="s">
        <v>6377</v>
      </c>
      <c r="FIK1" s="9" t="s">
        <v>6378</v>
      </c>
      <c r="FIL1" s="9" t="s">
        <v>6379</v>
      </c>
      <c r="FIM1" s="9" t="s">
        <v>6380</v>
      </c>
      <c r="FIN1" s="9" t="s">
        <v>6381</v>
      </c>
      <c r="FIO1" s="9" t="s">
        <v>6382</v>
      </c>
      <c r="FIP1" s="9" t="s">
        <v>6383</v>
      </c>
      <c r="FIQ1" s="9" t="s">
        <v>6384</v>
      </c>
      <c r="FIR1" s="9" t="s">
        <v>6385</v>
      </c>
      <c r="FIS1" s="9" t="s">
        <v>6386</v>
      </c>
      <c r="FIT1" s="9" t="s">
        <v>6387</v>
      </c>
      <c r="FIU1" s="9" t="s">
        <v>6388</v>
      </c>
      <c r="FIV1" s="9" t="s">
        <v>6389</v>
      </c>
      <c r="FIW1" s="9" t="s">
        <v>6390</v>
      </c>
      <c r="FIX1" s="9" t="s">
        <v>6391</v>
      </c>
      <c r="FIY1" s="9" t="s">
        <v>6392</v>
      </c>
      <c r="FIZ1" s="9" t="s">
        <v>6393</v>
      </c>
      <c r="FJA1" s="9" t="s">
        <v>6394</v>
      </c>
      <c r="FJB1" s="9" t="s">
        <v>6395</v>
      </c>
      <c r="FJC1" s="9" t="s">
        <v>6396</v>
      </c>
      <c r="FJD1" s="9" t="s">
        <v>6397</v>
      </c>
      <c r="FJE1" s="9" t="s">
        <v>6398</v>
      </c>
      <c r="FJF1" s="9" t="s">
        <v>6399</v>
      </c>
      <c r="FJG1" s="9" t="s">
        <v>6400</v>
      </c>
      <c r="FJH1" s="9" t="s">
        <v>6401</v>
      </c>
      <c r="FJI1" s="9" t="s">
        <v>6402</v>
      </c>
      <c r="FJJ1" s="9" t="s">
        <v>6403</v>
      </c>
      <c r="FJK1" s="9" t="s">
        <v>6404</v>
      </c>
      <c r="FJL1" s="9" t="s">
        <v>6405</v>
      </c>
      <c r="FJM1" s="9" t="s">
        <v>6406</v>
      </c>
      <c r="FJN1" s="9" t="s">
        <v>6407</v>
      </c>
      <c r="FJO1" s="9" t="s">
        <v>6408</v>
      </c>
      <c r="FJP1" s="9" t="s">
        <v>6409</v>
      </c>
      <c r="FJQ1" s="9" t="s">
        <v>6410</v>
      </c>
      <c r="FJR1" s="9" t="s">
        <v>6411</v>
      </c>
      <c r="FJS1" s="9" t="s">
        <v>6412</v>
      </c>
      <c r="FJT1" s="9" t="s">
        <v>6413</v>
      </c>
      <c r="FJU1" s="9" t="s">
        <v>6414</v>
      </c>
      <c r="FJV1" s="9" t="s">
        <v>6415</v>
      </c>
      <c r="FJW1" s="9" t="s">
        <v>6416</v>
      </c>
      <c r="FJX1" s="9" t="s">
        <v>6417</v>
      </c>
      <c r="FJY1" s="9" t="s">
        <v>6418</v>
      </c>
      <c r="FJZ1" s="9" t="s">
        <v>6419</v>
      </c>
      <c r="FKA1" s="9" t="s">
        <v>6420</v>
      </c>
      <c r="FKB1" s="9" t="s">
        <v>6421</v>
      </c>
      <c r="FKC1" s="9" t="s">
        <v>6422</v>
      </c>
      <c r="FKD1" s="9" t="s">
        <v>6423</v>
      </c>
      <c r="FKE1" s="9" t="s">
        <v>6424</v>
      </c>
      <c r="FKF1" s="9" t="s">
        <v>6425</v>
      </c>
      <c r="FKG1" s="9" t="s">
        <v>6426</v>
      </c>
      <c r="FKH1" s="9" t="s">
        <v>6427</v>
      </c>
      <c r="FKI1" s="9" t="s">
        <v>6428</v>
      </c>
      <c r="FKJ1" s="9" t="s">
        <v>6429</v>
      </c>
      <c r="FKK1" s="9" t="s">
        <v>6430</v>
      </c>
      <c r="FKL1" s="9" t="s">
        <v>6431</v>
      </c>
      <c r="FKM1" s="9" t="s">
        <v>6432</v>
      </c>
      <c r="FKN1" s="9" t="s">
        <v>6433</v>
      </c>
      <c r="FKO1" s="9" t="s">
        <v>6434</v>
      </c>
      <c r="FKP1" s="9" t="s">
        <v>6435</v>
      </c>
      <c r="FKQ1" s="9" t="s">
        <v>6436</v>
      </c>
      <c r="FKR1" s="9" t="s">
        <v>6437</v>
      </c>
      <c r="FKS1" s="9" t="s">
        <v>6438</v>
      </c>
      <c r="FKT1" s="9" t="s">
        <v>6439</v>
      </c>
      <c r="FKU1" s="9" t="s">
        <v>6440</v>
      </c>
      <c r="FKV1" s="9" t="s">
        <v>6441</v>
      </c>
      <c r="FKW1" s="9" t="s">
        <v>6442</v>
      </c>
      <c r="FKX1" s="9" t="s">
        <v>6443</v>
      </c>
      <c r="FKY1" s="9" t="s">
        <v>6444</v>
      </c>
      <c r="FKZ1" s="9" t="s">
        <v>6445</v>
      </c>
      <c r="FLA1" s="9" t="s">
        <v>6446</v>
      </c>
      <c r="FLB1" s="9" t="s">
        <v>6447</v>
      </c>
      <c r="FLC1" s="9" t="s">
        <v>6448</v>
      </c>
      <c r="FLD1" s="9" t="s">
        <v>6449</v>
      </c>
      <c r="FLE1" s="9" t="s">
        <v>6450</v>
      </c>
      <c r="FLF1" s="9" t="s">
        <v>6451</v>
      </c>
      <c r="FLG1" s="9" t="s">
        <v>6452</v>
      </c>
      <c r="FLH1" s="9" t="s">
        <v>6453</v>
      </c>
      <c r="FLI1" s="9" t="s">
        <v>6454</v>
      </c>
      <c r="FLJ1" s="9" t="s">
        <v>6455</v>
      </c>
      <c r="FLK1" s="9" t="s">
        <v>6456</v>
      </c>
      <c r="FLL1" s="9" t="s">
        <v>6457</v>
      </c>
      <c r="FLM1" s="9" t="s">
        <v>6458</v>
      </c>
      <c r="FLN1" s="9" t="s">
        <v>6459</v>
      </c>
      <c r="FLO1" s="9" t="s">
        <v>6460</v>
      </c>
      <c r="FLP1" s="9" t="s">
        <v>6461</v>
      </c>
      <c r="FLQ1" s="9" t="s">
        <v>6462</v>
      </c>
      <c r="FLR1" s="9" t="s">
        <v>6463</v>
      </c>
      <c r="FLS1" s="9" t="s">
        <v>6464</v>
      </c>
      <c r="FLT1" s="9" t="s">
        <v>6465</v>
      </c>
      <c r="FLU1" s="9" t="s">
        <v>6466</v>
      </c>
      <c r="FLV1" s="9" t="s">
        <v>6467</v>
      </c>
      <c r="FLW1" s="9" t="s">
        <v>6468</v>
      </c>
      <c r="FLX1" s="9" t="s">
        <v>6469</v>
      </c>
      <c r="FLY1" s="9" t="s">
        <v>6470</v>
      </c>
      <c r="FLZ1" s="9" t="s">
        <v>6471</v>
      </c>
      <c r="FMA1" s="9" t="s">
        <v>6472</v>
      </c>
      <c r="FMB1" s="9" t="s">
        <v>6473</v>
      </c>
      <c r="FMC1" s="9" t="s">
        <v>6474</v>
      </c>
      <c r="FMD1" s="9" t="s">
        <v>6475</v>
      </c>
      <c r="FME1" s="9" t="s">
        <v>6476</v>
      </c>
      <c r="FMF1" s="9" t="s">
        <v>6477</v>
      </c>
      <c r="FMG1" s="9" t="s">
        <v>6478</v>
      </c>
      <c r="FMH1" s="9" t="s">
        <v>6479</v>
      </c>
      <c r="FMI1" s="9" t="s">
        <v>6480</v>
      </c>
      <c r="FMJ1" s="9" t="s">
        <v>6481</v>
      </c>
      <c r="FMK1" s="9" t="s">
        <v>6482</v>
      </c>
      <c r="FML1" s="9" t="s">
        <v>6483</v>
      </c>
      <c r="FMM1" s="9" t="s">
        <v>6484</v>
      </c>
      <c r="FMN1" s="9" t="s">
        <v>6485</v>
      </c>
      <c r="FMO1" s="9" t="s">
        <v>6486</v>
      </c>
      <c r="FMP1" s="9" t="s">
        <v>6487</v>
      </c>
      <c r="FMQ1" s="9" t="s">
        <v>6488</v>
      </c>
      <c r="FMR1" s="9" t="s">
        <v>6489</v>
      </c>
      <c r="FMS1" s="9" t="s">
        <v>6490</v>
      </c>
      <c r="FMT1" s="9" t="s">
        <v>6491</v>
      </c>
      <c r="FMU1" s="9" t="s">
        <v>6492</v>
      </c>
      <c r="FMV1" s="9" t="s">
        <v>6493</v>
      </c>
      <c r="FMW1" s="9" t="s">
        <v>6494</v>
      </c>
      <c r="FMX1" s="9" t="s">
        <v>6495</v>
      </c>
      <c r="FMY1" s="9" t="s">
        <v>6496</v>
      </c>
      <c r="FMZ1" s="9" t="s">
        <v>6497</v>
      </c>
      <c r="FNA1" s="9" t="s">
        <v>6498</v>
      </c>
      <c r="FNB1" s="9" t="s">
        <v>6499</v>
      </c>
      <c r="FNC1" s="9" t="s">
        <v>6500</v>
      </c>
      <c r="FND1" s="9" t="s">
        <v>6501</v>
      </c>
      <c r="FNE1" s="9" t="s">
        <v>6502</v>
      </c>
      <c r="FNF1" s="9" t="s">
        <v>6503</v>
      </c>
      <c r="FNG1" s="9" t="s">
        <v>6504</v>
      </c>
      <c r="FNH1" s="9" t="s">
        <v>6505</v>
      </c>
      <c r="FNI1" s="9" t="s">
        <v>6506</v>
      </c>
      <c r="FNJ1" s="9" t="s">
        <v>6507</v>
      </c>
      <c r="FNK1" s="9" t="s">
        <v>6508</v>
      </c>
      <c r="FNL1" s="9" t="s">
        <v>6509</v>
      </c>
      <c r="FNM1" s="9" t="s">
        <v>6510</v>
      </c>
      <c r="FNN1" s="9" t="s">
        <v>6511</v>
      </c>
      <c r="FNO1" s="9" t="s">
        <v>6512</v>
      </c>
      <c r="FNP1" s="9" t="s">
        <v>6513</v>
      </c>
      <c r="FNQ1" s="9" t="s">
        <v>6514</v>
      </c>
      <c r="FNR1" s="9" t="s">
        <v>6515</v>
      </c>
      <c r="FNS1" s="9" t="s">
        <v>6516</v>
      </c>
      <c r="FNT1" s="9" t="s">
        <v>6517</v>
      </c>
      <c r="FNU1" s="9" t="s">
        <v>6518</v>
      </c>
      <c r="FNV1" s="9" t="s">
        <v>6519</v>
      </c>
      <c r="FNW1" s="9" t="s">
        <v>6520</v>
      </c>
      <c r="FNX1" s="9" t="s">
        <v>6521</v>
      </c>
      <c r="FNY1" s="9" t="s">
        <v>6522</v>
      </c>
      <c r="FNZ1" s="9" t="s">
        <v>6523</v>
      </c>
      <c r="FOA1" s="9" t="s">
        <v>6524</v>
      </c>
      <c r="FOB1" s="9" t="s">
        <v>6525</v>
      </c>
      <c r="FOC1" s="9" t="s">
        <v>6526</v>
      </c>
      <c r="FOD1" s="9" t="s">
        <v>6527</v>
      </c>
      <c r="FOE1" s="9" t="s">
        <v>6528</v>
      </c>
      <c r="FOF1" s="9" t="s">
        <v>6529</v>
      </c>
      <c r="FOG1" s="9" t="s">
        <v>6530</v>
      </c>
      <c r="FOH1" s="9" t="s">
        <v>6531</v>
      </c>
      <c r="FOI1" s="9" t="s">
        <v>6532</v>
      </c>
      <c r="FOJ1" s="9" t="s">
        <v>6533</v>
      </c>
      <c r="FOK1" s="9" t="s">
        <v>6534</v>
      </c>
      <c r="FOL1" s="9" t="s">
        <v>6535</v>
      </c>
      <c r="FOM1" s="9" t="s">
        <v>6536</v>
      </c>
      <c r="FON1" s="9" t="s">
        <v>6537</v>
      </c>
      <c r="FOO1" s="9" t="s">
        <v>6538</v>
      </c>
      <c r="FOP1" s="9" t="s">
        <v>6539</v>
      </c>
      <c r="FOQ1" s="9" t="s">
        <v>6540</v>
      </c>
      <c r="FOR1" s="9" t="s">
        <v>6541</v>
      </c>
      <c r="FOS1" s="9" t="s">
        <v>6542</v>
      </c>
      <c r="FOT1" s="9" t="s">
        <v>6543</v>
      </c>
      <c r="FOU1" s="9" t="s">
        <v>6544</v>
      </c>
      <c r="FOV1" s="9" t="s">
        <v>6545</v>
      </c>
      <c r="FOW1" s="9" t="s">
        <v>6546</v>
      </c>
      <c r="FOX1" s="9" t="s">
        <v>6547</v>
      </c>
      <c r="FOY1" s="9" t="s">
        <v>6548</v>
      </c>
      <c r="FOZ1" s="9" t="s">
        <v>6549</v>
      </c>
      <c r="FPA1" s="9" t="s">
        <v>6550</v>
      </c>
      <c r="FPB1" s="9" t="s">
        <v>6551</v>
      </c>
      <c r="FPC1" s="9" t="s">
        <v>6552</v>
      </c>
      <c r="FPD1" s="9" t="s">
        <v>6553</v>
      </c>
      <c r="FPE1" s="9" t="s">
        <v>6554</v>
      </c>
      <c r="FPF1" s="9" t="s">
        <v>6555</v>
      </c>
      <c r="FPG1" s="9" t="s">
        <v>6556</v>
      </c>
      <c r="FPH1" s="9" t="s">
        <v>6557</v>
      </c>
      <c r="FPI1" s="9" t="s">
        <v>6558</v>
      </c>
      <c r="FPJ1" s="9" t="s">
        <v>6559</v>
      </c>
      <c r="FPK1" s="9" t="s">
        <v>6560</v>
      </c>
      <c r="FPL1" s="9" t="s">
        <v>6561</v>
      </c>
      <c r="FPM1" s="9" t="s">
        <v>6562</v>
      </c>
      <c r="FPN1" s="9" t="s">
        <v>6563</v>
      </c>
      <c r="FPO1" s="9" t="s">
        <v>6564</v>
      </c>
      <c r="FPP1" s="9" t="s">
        <v>6565</v>
      </c>
      <c r="FPQ1" s="9" t="s">
        <v>6566</v>
      </c>
      <c r="FPR1" s="9" t="s">
        <v>6567</v>
      </c>
      <c r="FPS1" s="9" t="s">
        <v>6568</v>
      </c>
      <c r="FPT1" s="9" t="s">
        <v>6569</v>
      </c>
      <c r="FPU1" s="9" t="s">
        <v>6570</v>
      </c>
      <c r="FPV1" s="9" t="s">
        <v>6571</v>
      </c>
      <c r="FPW1" s="9" t="s">
        <v>6572</v>
      </c>
      <c r="FPX1" s="9" t="s">
        <v>6573</v>
      </c>
      <c r="FPY1" s="9" t="s">
        <v>6574</v>
      </c>
      <c r="FPZ1" s="9" t="s">
        <v>6575</v>
      </c>
      <c r="FQA1" s="9" t="s">
        <v>6576</v>
      </c>
      <c r="FQB1" s="9" t="s">
        <v>6577</v>
      </c>
      <c r="FQC1" s="9" t="s">
        <v>6578</v>
      </c>
      <c r="FQD1" s="9" t="s">
        <v>6579</v>
      </c>
      <c r="FQE1" s="9" t="s">
        <v>6580</v>
      </c>
      <c r="FQF1" s="9" t="s">
        <v>6581</v>
      </c>
      <c r="FQG1" s="9" t="s">
        <v>6582</v>
      </c>
      <c r="FQH1" s="9" t="s">
        <v>6583</v>
      </c>
      <c r="FQI1" s="9" t="s">
        <v>6584</v>
      </c>
      <c r="FQJ1" s="9" t="s">
        <v>6585</v>
      </c>
      <c r="FQK1" s="9" t="s">
        <v>6586</v>
      </c>
      <c r="FQL1" s="9" t="s">
        <v>6587</v>
      </c>
      <c r="FQM1" s="9" t="s">
        <v>6588</v>
      </c>
      <c r="FQN1" s="9" t="s">
        <v>6589</v>
      </c>
      <c r="FQO1" s="9" t="s">
        <v>6590</v>
      </c>
      <c r="FQP1" s="9" t="s">
        <v>6591</v>
      </c>
      <c r="FQQ1" s="9" t="s">
        <v>6592</v>
      </c>
      <c r="FQR1" s="9" t="s">
        <v>6593</v>
      </c>
      <c r="FQS1" s="9" t="s">
        <v>6594</v>
      </c>
      <c r="FQT1" s="9" t="s">
        <v>6595</v>
      </c>
      <c r="FQU1" s="9" t="s">
        <v>6596</v>
      </c>
      <c r="FQV1" s="9" t="s">
        <v>6597</v>
      </c>
      <c r="FQW1" s="9" t="s">
        <v>6598</v>
      </c>
      <c r="FQX1" s="9" t="s">
        <v>6599</v>
      </c>
      <c r="FQY1" s="9" t="s">
        <v>6600</v>
      </c>
      <c r="FQZ1" s="9" t="s">
        <v>6601</v>
      </c>
      <c r="FRA1" s="9" t="s">
        <v>6602</v>
      </c>
      <c r="FRB1" s="9" t="s">
        <v>6603</v>
      </c>
      <c r="FRC1" s="9" t="s">
        <v>6604</v>
      </c>
      <c r="FRD1" s="9" t="s">
        <v>6605</v>
      </c>
      <c r="FRE1" s="9" t="s">
        <v>6606</v>
      </c>
      <c r="FRF1" s="9" t="s">
        <v>6607</v>
      </c>
      <c r="FRG1" s="9" t="s">
        <v>6608</v>
      </c>
      <c r="FRH1" s="9" t="s">
        <v>6609</v>
      </c>
      <c r="FRI1" s="9" t="s">
        <v>6610</v>
      </c>
      <c r="FRJ1" s="9" t="s">
        <v>6611</v>
      </c>
      <c r="FRK1" s="9" t="s">
        <v>6612</v>
      </c>
      <c r="FRL1" s="9" t="s">
        <v>6613</v>
      </c>
      <c r="FRM1" s="9" t="s">
        <v>6614</v>
      </c>
      <c r="FRN1" s="9" t="s">
        <v>6615</v>
      </c>
      <c r="FRO1" s="9" t="s">
        <v>6616</v>
      </c>
      <c r="FRP1" s="9" t="s">
        <v>6617</v>
      </c>
      <c r="FRQ1" s="9" t="s">
        <v>6618</v>
      </c>
      <c r="FRR1" s="9" t="s">
        <v>6619</v>
      </c>
      <c r="FRS1" s="9" t="s">
        <v>6620</v>
      </c>
      <c r="FRT1" s="9" t="s">
        <v>6621</v>
      </c>
      <c r="FRU1" s="9" t="s">
        <v>6622</v>
      </c>
      <c r="FRV1" s="9" t="s">
        <v>6623</v>
      </c>
      <c r="FRW1" s="9" t="s">
        <v>6624</v>
      </c>
      <c r="FRX1" s="9" t="s">
        <v>6625</v>
      </c>
      <c r="FRY1" s="9" t="s">
        <v>6626</v>
      </c>
      <c r="FRZ1" s="9" t="s">
        <v>6627</v>
      </c>
      <c r="FSA1" s="9" t="s">
        <v>6628</v>
      </c>
      <c r="FSB1" s="9" t="s">
        <v>6629</v>
      </c>
      <c r="FSC1" s="9" t="s">
        <v>6630</v>
      </c>
      <c r="FSD1" s="9" t="s">
        <v>6631</v>
      </c>
      <c r="FSE1" s="9" t="s">
        <v>6632</v>
      </c>
      <c r="FSF1" s="9" t="s">
        <v>6633</v>
      </c>
      <c r="FSG1" s="9" t="s">
        <v>6634</v>
      </c>
      <c r="FSH1" s="9" t="s">
        <v>6635</v>
      </c>
      <c r="FSI1" s="9" t="s">
        <v>6636</v>
      </c>
      <c r="FSJ1" s="9" t="s">
        <v>6637</v>
      </c>
      <c r="FSK1" s="9" t="s">
        <v>6638</v>
      </c>
      <c r="FSL1" s="9" t="s">
        <v>6639</v>
      </c>
      <c r="FSM1" s="9" t="s">
        <v>6640</v>
      </c>
      <c r="FSN1" s="9" t="s">
        <v>6641</v>
      </c>
      <c r="FSO1" s="9" t="s">
        <v>6642</v>
      </c>
      <c r="FSP1" s="9" t="s">
        <v>6643</v>
      </c>
      <c r="FSQ1" s="9" t="s">
        <v>6644</v>
      </c>
      <c r="FSR1" s="9" t="s">
        <v>6645</v>
      </c>
      <c r="FSS1" s="9" t="s">
        <v>6646</v>
      </c>
      <c r="FST1" s="9" t="s">
        <v>6647</v>
      </c>
      <c r="FSU1" s="9" t="s">
        <v>6648</v>
      </c>
      <c r="FSV1" s="9" t="s">
        <v>6649</v>
      </c>
      <c r="FSW1" s="9" t="s">
        <v>6650</v>
      </c>
      <c r="FSX1" s="9" t="s">
        <v>6651</v>
      </c>
      <c r="FSY1" s="9" t="s">
        <v>6652</v>
      </c>
      <c r="FSZ1" s="9" t="s">
        <v>6653</v>
      </c>
      <c r="FTA1" s="9" t="s">
        <v>6654</v>
      </c>
      <c r="FTB1" s="9" t="s">
        <v>6655</v>
      </c>
      <c r="FTC1" s="9" t="s">
        <v>6656</v>
      </c>
      <c r="FTD1" s="9" t="s">
        <v>6657</v>
      </c>
      <c r="FTE1" s="9" t="s">
        <v>6658</v>
      </c>
      <c r="FTF1" s="9" t="s">
        <v>6659</v>
      </c>
      <c r="FTG1" s="9" t="s">
        <v>6660</v>
      </c>
      <c r="FTH1" s="9" t="s">
        <v>6661</v>
      </c>
      <c r="FTI1" s="9" t="s">
        <v>6662</v>
      </c>
      <c r="FTJ1" s="9" t="s">
        <v>6663</v>
      </c>
      <c r="FTK1" s="9" t="s">
        <v>6664</v>
      </c>
      <c r="FTL1" s="9" t="s">
        <v>6665</v>
      </c>
      <c r="FTM1" s="9" t="s">
        <v>6666</v>
      </c>
      <c r="FTN1" s="9" t="s">
        <v>6667</v>
      </c>
      <c r="FTO1" s="9" t="s">
        <v>6668</v>
      </c>
      <c r="FTP1" s="9" t="s">
        <v>6669</v>
      </c>
      <c r="FTQ1" s="9" t="s">
        <v>6670</v>
      </c>
      <c r="FTR1" s="9" t="s">
        <v>6671</v>
      </c>
      <c r="FTS1" s="9" t="s">
        <v>6672</v>
      </c>
      <c r="FTT1" s="9" t="s">
        <v>6673</v>
      </c>
      <c r="FTU1" s="9" t="s">
        <v>6674</v>
      </c>
      <c r="FTV1" s="9" t="s">
        <v>6675</v>
      </c>
      <c r="FTW1" s="9" t="s">
        <v>6676</v>
      </c>
      <c r="FTX1" s="9" t="s">
        <v>6677</v>
      </c>
      <c r="FTY1" s="9" t="s">
        <v>6678</v>
      </c>
      <c r="FTZ1" s="9" t="s">
        <v>6679</v>
      </c>
      <c r="FUA1" s="9" t="s">
        <v>6680</v>
      </c>
      <c r="FUB1" s="9" t="s">
        <v>6681</v>
      </c>
      <c r="FUC1" s="9" t="s">
        <v>6682</v>
      </c>
      <c r="FUD1" s="9" t="s">
        <v>6683</v>
      </c>
      <c r="FUE1" s="9" t="s">
        <v>6684</v>
      </c>
      <c r="FUF1" s="9" t="s">
        <v>6685</v>
      </c>
      <c r="FUG1" s="9" t="s">
        <v>6686</v>
      </c>
      <c r="FUH1" s="9" t="s">
        <v>6687</v>
      </c>
      <c r="FUI1" s="9" t="s">
        <v>6688</v>
      </c>
      <c r="FUJ1" s="9" t="s">
        <v>6689</v>
      </c>
      <c r="FUK1" s="9" t="s">
        <v>6690</v>
      </c>
      <c r="FUL1" s="9" t="s">
        <v>6691</v>
      </c>
      <c r="FUM1" s="9" t="s">
        <v>6692</v>
      </c>
      <c r="FUN1" s="9" t="s">
        <v>6693</v>
      </c>
      <c r="FUO1" s="9" t="s">
        <v>6694</v>
      </c>
      <c r="FUP1" s="9" t="s">
        <v>6695</v>
      </c>
      <c r="FUQ1" s="9" t="s">
        <v>6696</v>
      </c>
      <c r="FUR1" s="9" t="s">
        <v>6697</v>
      </c>
      <c r="FUS1" s="9" t="s">
        <v>6698</v>
      </c>
      <c r="FUT1" s="9" t="s">
        <v>6699</v>
      </c>
      <c r="FUU1" s="9" t="s">
        <v>6700</v>
      </c>
      <c r="FUV1" s="9" t="s">
        <v>6701</v>
      </c>
      <c r="FUW1" s="9" t="s">
        <v>6702</v>
      </c>
      <c r="FUX1" s="9" t="s">
        <v>6703</v>
      </c>
      <c r="FUY1" s="9" t="s">
        <v>6704</v>
      </c>
      <c r="FUZ1" s="9" t="s">
        <v>6705</v>
      </c>
      <c r="FVA1" s="9" t="s">
        <v>6706</v>
      </c>
      <c r="FVB1" s="9" t="s">
        <v>6707</v>
      </c>
      <c r="FVC1" s="9" t="s">
        <v>6708</v>
      </c>
      <c r="FVD1" s="9" t="s">
        <v>6709</v>
      </c>
      <c r="FVE1" s="9" t="s">
        <v>6710</v>
      </c>
      <c r="FVF1" s="9" t="s">
        <v>6711</v>
      </c>
      <c r="FVG1" s="9" t="s">
        <v>6712</v>
      </c>
      <c r="FVH1" s="9" t="s">
        <v>6713</v>
      </c>
      <c r="FVI1" s="9" t="s">
        <v>6714</v>
      </c>
      <c r="FVJ1" s="9" t="s">
        <v>6715</v>
      </c>
      <c r="FVK1" s="9" t="s">
        <v>6716</v>
      </c>
      <c r="FVL1" s="9" t="s">
        <v>6717</v>
      </c>
      <c r="FVM1" s="9" t="s">
        <v>6718</v>
      </c>
      <c r="FVN1" s="9" t="s">
        <v>6719</v>
      </c>
      <c r="FVO1" s="9" t="s">
        <v>6720</v>
      </c>
      <c r="FVP1" s="9" t="s">
        <v>6721</v>
      </c>
      <c r="FVQ1" s="9" t="s">
        <v>6722</v>
      </c>
      <c r="FVR1" s="9" t="s">
        <v>6723</v>
      </c>
      <c r="FVS1" s="9" t="s">
        <v>6724</v>
      </c>
      <c r="FVT1" s="9" t="s">
        <v>6725</v>
      </c>
      <c r="FVU1" s="9" t="s">
        <v>6726</v>
      </c>
      <c r="FVV1" s="9" t="s">
        <v>6727</v>
      </c>
      <c r="FVW1" s="9" t="s">
        <v>6728</v>
      </c>
      <c r="FVX1" s="9" t="s">
        <v>6729</v>
      </c>
      <c r="FVY1" s="9" t="s">
        <v>6730</v>
      </c>
      <c r="FVZ1" s="9" t="s">
        <v>6731</v>
      </c>
      <c r="FWA1" s="9" t="s">
        <v>6732</v>
      </c>
      <c r="FWB1" s="9" t="s">
        <v>6733</v>
      </c>
      <c r="FWC1" s="9" t="s">
        <v>6734</v>
      </c>
      <c r="FWD1" s="9" t="s">
        <v>6735</v>
      </c>
      <c r="FWE1" s="9" t="s">
        <v>6736</v>
      </c>
      <c r="FWF1" s="9" t="s">
        <v>6737</v>
      </c>
      <c r="FWG1" s="9" t="s">
        <v>6738</v>
      </c>
      <c r="FWH1" s="9" t="s">
        <v>6739</v>
      </c>
      <c r="FWI1" s="9" t="s">
        <v>6740</v>
      </c>
      <c r="FWJ1" s="9" t="s">
        <v>6741</v>
      </c>
      <c r="FWK1" s="9" t="s">
        <v>6742</v>
      </c>
      <c r="FWL1" s="9" t="s">
        <v>6743</v>
      </c>
      <c r="FWM1" s="9" t="s">
        <v>6744</v>
      </c>
      <c r="FWN1" s="9" t="s">
        <v>6745</v>
      </c>
      <c r="FWO1" s="9" t="s">
        <v>6746</v>
      </c>
      <c r="FWP1" s="9" t="s">
        <v>6747</v>
      </c>
      <c r="FWQ1" s="9" t="s">
        <v>6748</v>
      </c>
      <c r="FWR1" s="9" t="s">
        <v>6749</v>
      </c>
      <c r="FWS1" s="9" t="s">
        <v>6750</v>
      </c>
      <c r="FWT1" s="9" t="s">
        <v>6751</v>
      </c>
      <c r="FWU1" s="9" t="s">
        <v>6752</v>
      </c>
      <c r="FWV1" s="9" t="s">
        <v>6753</v>
      </c>
      <c r="FWW1" s="9" t="s">
        <v>6754</v>
      </c>
      <c r="FWX1" s="9" t="s">
        <v>6755</v>
      </c>
      <c r="FWY1" s="9" t="s">
        <v>6756</v>
      </c>
      <c r="FWZ1" s="9" t="s">
        <v>6757</v>
      </c>
      <c r="FXA1" s="9" t="s">
        <v>6758</v>
      </c>
      <c r="FXB1" s="9" t="s">
        <v>6759</v>
      </c>
      <c r="FXC1" s="9" t="s">
        <v>6760</v>
      </c>
      <c r="FXD1" s="9" t="s">
        <v>6761</v>
      </c>
      <c r="FXE1" s="9" t="s">
        <v>6762</v>
      </c>
      <c r="FXF1" s="9" t="s">
        <v>6763</v>
      </c>
      <c r="FXG1" s="9" t="s">
        <v>6764</v>
      </c>
      <c r="FXH1" s="9" t="s">
        <v>6765</v>
      </c>
      <c r="FXI1" s="9" t="s">
        <v>6766</v>
      </c>
      <c r="FXJ1" s="9" t="s">
        <v>6767</v>
      </c>
      <c r="FXK1" s="9" t="s">
        <v>6768</v>
      </c>
      <c r="FXL1" s="9" t="s">
        <v>6769</v>
      </c>
      <c r="FXM1" s="9" t="s">
        <v>6770</v>
      </c>
      <c r="FXN1" s="9" t="s">
        <v>6771</v>
      </c>
      <c r="FXO1" s="9" t="s">
        <v>6772</v>
      </c>
      <c r="FXP1" s="9" t="s">
        <v>6773</v>
      </c>
      <c r="FXQ1" s="9" t="s">
        <v>6774</v>
      </c>
      <c r="FXR1" s="9" t="s">
        <v>6775</v>
      </c>
      <c r="FXS1" s="9" t="s">
        <v>6776</v>
      </c>
      <c r="FXT1" s="9" t="s">
        <v>6777</v>
      </c>
      <c r="FXU1" s="9" t="s">
        <v>6778</v>
      </c>
      <c r="FXV1" s="9" t="s">
        <v>6779</v>
      </c>
      <c r="FXW1" s="9" t="s">
        <v>6780</v>
      </c>
      <c r="FXX1" s="9" t="s">
        <v>6781</v>
      </c>
      <c r="FXY1" s="9" t="s">
        <v>6782</v>
      </c>
      <c r="FXZ1" s="9" t="s">
        <v>6783</v>
      </c>
      <c r="FYA1" s="9" t="s">
        <v>6784</v>
      </c>
      <c r="FYB1" s="9" t="s">
        <v>6785</v>
      </c>
      <c r="FYC1" s="9" t="s">
        <v>6786</v>
      </c>
      <c r="FYD1" s="9" t="s">
        <v>6787</v>
      </c>
      <c r="FYE1" s="9" t="s">
        <v>6788</v>
      </c>
      <c r="FYF1" s="9" t="s">
        <v>6789</v>
      </c>
      <c r="FYG1" s="9" t="s">
        <v>6790</v>
      </c>
      <c r="FYH1" s="9" t="s">
        <v>6791</v>
      </c>
      <c r="FYI1" s="9" t="s">
        <v>6792</v>
      </c>
      <c r="FYJ1" s="9" t="s">
        <v>6793</v>
      </c>
      <c r="FYK1" s="9" t="s">
        <v>6794</v>
      </c>
      <c r="FYL1" s="9" t="s">
        <v>6795</v>
      </c>
      <c r="FYM1" s="9" t="s">
        <v>6796</v>
      </c>
      <c r="FYN1" s="9" t="s">
        <v>6797</v>
      </c>
      <c r="FYO1" s="9" t="s">
        <v>6798</v>
      </c>
      <c r="FYP1" s="9" t="s">
        <v>6799</v>
      </c>
      <c r="FYQ1" s="9" t="s">
        <v>6800</v>
      </c>
      <c r="FYR1" s="9" t="s">
        <v>6801</v>
      </c>
      <c r="FYS1" s="9" t="s">
        <v>6802</v>
      </c>
      <c r="FYT1" s="9" t="s">
        <v>6803</v>
      </c>
      <c r="FYU1" s="9" t="s">
        <v>6804</v>
      </c>
      <c r="FYV1" s="9" t="s">
        <v>6805</v>
      </c>
      <c r="FYW1" s="9" t="s">
        <v>6806</v>
      </c>
      <c r="FYX1" s="9" t="s">
        <v>6807</v>
      </c>
      <c r="FYY1" s="9" t="s">
        <v>6808</v>
      </c>
      <c r="FYZ1" s="9" t="s">
        <v>6809</v>
      </c>
      <c r="FZA1" s="9" t="s">
        <v>6810</v>
      </c>
      <c r="FZB1" s="9" t="s">
        <v>6811</v>
      </c>
      <c r="FZC1" s="9" t="s">
        <v>6812</v>
      </c>
      <c r="FZD1" s="9" t="s">
        <v>6813</v>
      </c>
      <c r="FZE1" s="9" t="s">
        <v>6814</v>
      </c>
      <c r="FZF1" s="9" t="s">
        <v>6815</v>
      </c>
      <c r="FZG1" s="9" t="s">
        <v>6816</v>
      </c>
      <c r="FZH1" s="9" t="s">
        <v>6817</v>
      </c>
      <c r="FZI1" s="9" t="s">
        <v>6818</v>
      </c>
      <c r="FZJ1" s="9" t="s">
        <v>6819</v>
      </c>
      <c r="FZK1" s="9" t="s">
        <v>6820</v>
      </c>
      <c r="FZL1" s="9" t="s">
        <v>6821</v>
      </c>
      <c r="FZM1" s="9" t="s">
        <v>6822</v>
      </c>
      <c r="FZN1" s="9" t="s">
        <v>6823</v>
      </c>
      <c r="FZO1" s="9" t="s">
        <v>6824</v>
      </c>
      <c r="FZP1" s="9" t="s">
        <v>6825</v>
      </c>
      <c r="FZQ1" s="9" t="s">
        <v>6826</v>
      </c>
      <c r="FZR1" s="9" t="s">
        <v>6827</v>
      </c>
      <c r="FZS1" s="9" t="s">
        <v>6828</v>
      </c>
      <c r="FZT1" s="9" t="s">
        <v>6829</v>
      </c>
      <c r="FZU1" s="9" t="s">
        <v>6830</v>
      </c>
      <c r="FZV1" s="9" t="s">
        <v>6831</v>
      </c>
      <c r="FZW1" s="9" t="s">
        <v>6832</v>
      </c>
      <c r="FZX1" s="9" t="s">
        <v>6833</v>
      </c>
      <c r="FZY1" s="9" t="s">
        <v>6834</v>
      </c>
      <c r="FZZ1" s="9" t="s">
        <v>6835</v>
      </c>
      <c r="GAA1" s="9" t="s">
        <v>6836</v>
      </c>
      <c r="GAB1" s="9" t="s">
        <v>6837</v>
      </c>
      <c r="GAC1" s="9" t="s">
        <v>6838</v>
      </c>
      <c r="GAD1" s="9" t="s">
        <v>6839</v>
      </c>
      <c r="GAE1" s="9" t="s">
        <v>6840</v>
      </c>
      <c r="GAF1" s="9" t="s">
        <v>6841</v>
      </c>
      <c r="GAG1" s="9" t="s">
        <v>6842</v>
      </c>
      <c r="GAH1" s="9" t="s">
        <v>6843</v>
      </c>
      <c r="GAI1" s="9" t="s">
        <v>6844</v>
      </c>
      <c r="GAJ1" s="9" t="s">
        <v>6845</v>
      </c>
      <c r="GAK1" s="9" t="s">
        <v>6846</v>
      </c>
      <c r="GAL1" s="9" t="s">
        <v>6847</v>
      </c>
      <c r="GAM1" s="9" t="s">
        <v>6848</v>
      </c>
      <c r="GAN1" s="9" t="s">
        <v>6849</v>
      </c>
      <c r="GAO1" s="9" t="s">
        <v>6850</v>
      </c>
      <c r="GAP1" s="9" t="s">
        <v>6851</v>
      </c>
      <c r="GAQ1" s="9" t="s">
        <v>6852</v>
      </c>
      <c r="GAR1" s="9" t="s">
        <v>6853</v>
      </c>
      <c r="GAS1" s="9" t="s">
        <v>6854</v>
      </c>
      <c r="GAT1" s="9" t="s">
        <v>6855</v>
      </c>
      <c r="GAU1" s="9" t="s">
        <v>6856</v>
      </c>
      <c r="GAV1" s="9" t="s">
        <v>6857</v>
      </c>
      <c r="GAW1" s="9" t="s">
        <v>6858</v>
      </c>
      <c r="GAX1" s="9" t="s">
        <v>6859</v>
      </c>
      <c r="GAY1" s="9" t="s">
        <v>6860</v>
      </c>
      <c r="GAZ1" s="9" t="s">
        <v>6861</v>
      </c>
      <c r="GBA1" s="9" t="s">
        <v>6862</v>
      </c>
      <c r="GBB1" s="9" t="s">
        <v>6863</v>
      </c>
      <c r="GBC1" s="9" t="s">
        <v>6864</v>
      </c>
      <c r="GBD1" s="9" t="s">
        <v>6865</v>
      </c>
      <c r="GBE1" s="9" t="s">
        <v>6866</v>
      </c>
      <c r="GBF1" s="9" t="s">
        <v>6867</v>
      </c>
      <c r="GBG1" s="9" t="s">
        <v>6868</v>
      </c>
      <c r="GBH1" s="9" t="s">
        <v>6869</v>
      </c>
      <c r="GBI1" s="9" t="s">
        <v>6870</v>
      </c>
      <c r="GBJ1" s="9" t="s">
        <v>6871</v>
      </c>
      <c r="GBK1" s="9" t="s">
        <v>6872</v>
      </c>
      <c r="GBL1" s="9" t="s">
        <v>6873</v>
      </c>
      <c r="GBM1" s="9" t="s">
        <v>6874</v>
      </c>
      <c r="GBN1" s="9" t="s">
        <v>6875</v>
      </c>
      <c r="GBO1" s="9" t="s">
        <v>6876</v>
      </c>
      <c r="GBP1" s="9" t="s">
        <v>6877</v>
      </c>
      <c r="GBQ1" s="9" t="s">
        <v>6878</v>
      </c>
      <c r="GBR1" s="9" t="s">
        <v>6879</v>
      </c>
      <c r="GBS1" s="9" t="s">
        <v>6880</v>
      </c>
      <c r="GBT1" s="9" t="s">
        <v>6881</v>
      </c>
      <c r="GBU1" s="9" t="s">
        <v>6882</v>
      </c>
      <c r="GBV1" s="9" t="s">
        <v>6883</v>
      </c>
      <c r="GBW1" s="9" t="s">
        <v>6884</v>
      </c>
      <c r="GBX1" s="9" t="s">
        <v>6885</v>
      </c>
      <c r="GBY1" s="9" t="s">
        <v>6886</v>
      </c>
      <c r="GBZ1" s="9" t="s">
        <v>6887</v>
      </c>
      <c r="GCA1" s="9" t="s">
        <v>6888</v>
      </c>
      <c r="GCB1" s="9" t="s">
        <v>6889</v>
      </c>
      <c r="GCC1" s="9" t="s">
        <v>6890</v>
      </c>
      <c r="GCD1" s="9" t="s">
        <v>6891</v>
      </c>
      <c r="GCE1" s="9" t="s">
        <v>6892</v>
      </c>
      <c r="GCF1" s="9" t="s">
        <v>6893</v>
      </c>
      <c r="GCG1" s="9" t="s">
        <v>6894</v>
      </c>
      <c r="GCH1" s="9" t="s">
        <v>6895</v>
      </c>
      <c r="GCI1" s="9" t="s">
        <v>6896</v>
      </c>
      <c r="GCJ1" s="9" t="s">
        <v>6897</v>
      </c>
      <c r="GCK1" s="9" t="s">
        <v>6898</v>
      </c>
      <c r="GCL1" s="9" t="s">
        <v>6899</v>
      </c>
      <c r="GCM1" s="9" t="s">
        <v>6900</v>
      </c>
      <c r="GCN1" s="9" t="s">
        <v>6901</v>
      </c>
      <c r="GCO1" s="9" t="s">
        <v>6902</v>
      </c>
      <c r="GCP1" s="9" t="s">
        <v>6903</v>
      </c>
      <c r="GCQ1" s="9" t="s">
        <v>6904</v>
      </c>
      <c r="GCR1" s="9" t="s">
        <v>6905</v>
      </c>
      <c r="GCS1" s="9" t="s">
        <v>6906</v>
      </c>
      <c r="GCT1" s="9" t="s">
        <v>6907</v>
      </c>
      <c r="GCU1" s="9" t="s">
        <v>6908</v>
      </c>
      <c r="GCV1" s="9" t="s">
        <v>6909</v>
      </c>
      <c r="GCW1" s="9" t="s">
        <v>6910</v>
      </c>
      <c r="GCX1" s="9" t="s">
        <v>6911</v>
      </c>
      <c r="GCY1" s="9" t="s">
        <v>6912</v>
      </c>
      <c r="GCZ1" s="9" t="s">
        <v>6913</v>
      </c>
      <c r="GDA1" s="9" t="s">
        <v>6914</v>
      </c>
      <c r="GDB1" s="9" t="s">
        <v>6915</v>
      </c>
      <c r="GDC1" s="9" t="s">
        <v>6916</v>
      </c>
      <c r="GDD1" s="9" t="s">
        <v>6917</v>
      </c>
      <c r="GDE1" s="9" t="s">
        <v>6918</v>
      </c>
      <c r="GDF1" s="9" t="s">
        <v>6919</v>
      </c>
      <c r="GDG1" s="9" t="s">
        <v>6920</v>
      </c>
      <c r="GDH1" s="9" t="s">
        <v>6921</v>
      </c>
      <c r="GDI1" s="9" t="s">
        <v>6922</v>
      </c>
      <c r="GDJ1" s="9" t="s">
        <v>6923</v>
      </c>
      <c r="GDK1" s="9" t="s">
        <v>6924</v>
      </c>
      <c r="GDL1" s="9" t="s">
        <v>6925</v>
      </c>
      <c r="GDM1" s="9" t="s">
        <v>6926</v>
      </c>
      <c r="GDN1" s="9" t="s">
        <v>6927</v>
      </c>
      <c r="GDO1" s="9" t="s">
        <v>6928</v>
      </c>
      <c r="GDP1" s="9" t="s">
        <v>6929</v>
      </c>
      <c r="GDQ1" s="9" t="s">
        <v>6930</v>
      </c>
      <c r="GDR1" s="9" t="s">
        <v>6931</v>
      </c>
      <c r="GDS1" s="9" t="s">
        <v>6932</v>
      </c>
      <c r="GDT1" s="9" t="s">
        <v>6933</v>
      </c>
      <c r="GDU1" s="9" t="s">
        <v>6934</v>
      </c>
      <c r="GDV1" s="9" t="s">
        <v>6935</v>
      </c>
      <c r="GDW1" s="9" t="s">
        <v>6936</v>
      </c>
      <c r="GDX1" s="9" t="s">
        <v>6937</v>
      </c>
      <c r="GDY1" s="9" t="s">
        <v>6938</v>
      </c>
      <c r="GDZ1" s="9" t="s">
        <v>6939</v>
      </c>
      <c r="GEA1" s="9" t="s">
        <v>6940</v>
      </c>
      <c r="GEB1" s="9" t="s">
        <v>6941</v>
      </c>
      <c r="GEC1" s="9" t="s">
        <v>6942</v>
      </c>
      <c r="GED1" s="9" t="s">
        <v>6943</v>
      </c>
      <c r="GEE1" s="9" t="s">
        <v>6944</v>
      </c>
      <c r="GEF1" s="9" t="s">
        <v>6945</v>
      </c>
      <c r="GEG1" s="9" t="s">
        <v>6946</v>
      </c>
      <c r="GEH1" s="9" t="s">
        <v>6947</v>
      </c>
      <c r="GEI1" s="9" t="s">
        <v>6948</v>
      </c>
      <c r="GEJ1" s="9" t="s">
        <v>6949</v>
      </c>
      <c r="GEK1" s="9" t="s">
        <v>6950</v>
      </c>
      <c r="GEL1" s="9" t="s">
        <v>6951</v>
      </c>
      <c r="GEM1" s="9" t="s">
        <v>6952</v>
      </c>
      <c r="GEN1" s="9" t="s">
        <v>6953</v>
      </c>
      <c r="GEO1" s="9" t="s">
        <v>6954</v>
      </c>
      <c r="GEP1" s="9" t="s">
        <v>6955</v>
      </c>
      <c r="GEQ1" s="9" t="s">
        <v>6956</v>
      </c>
      <c r="GER1" s="9" t="s">
        <v>6957</v>
      </c>
      <c r="GES1" s="9" t="s">
        <v>6958</v>
      </c>
      <c r="GET1" s="9" t="s">
        <v>6959</v>
      </c>
      <c r="GEU1" s="9" t="s">
        <v>6960</v>
      </c>
      <c r="GEV1" s="9" t="s">
        <v>6961</v>
      </c>
      <c r="GEW1" s="9" t="s">
        <v>6962</v>
      </c>
      <c r="GEX1" s="9" t="s">
        <v>6963</v>
      </c>
      <c r="GEY1" s="9" t="s">
        <v>6964</v>
      </c>
      <c r="GEZ1" s="9" t="s">
        <v>6965</v>
      </c>
      <c r="GFA1" s="9" t="s">
        <v>6966</v>
      </c>
      <c r="GFB1" s="9" t="s">
        <v>6967</v>
      </c>
      <c r="GFC1" s="9" t="s">
        <v>6968</v>
      </c>
      <c r="GFD1" s="9" t="s">
        <v>6969</v>
      </c>
      <c r="GFE1" s="9" t="s">
        <v>6970</v>
      </c>
      <c r="GFF1" s="9" t="s">
        <v>6971</v>
      </c>
      <c r="GFG1" s="9" t="s">
        <v>6972</v>
      </c>
      <c r="GFH1" s="9" t="s">
        <v>6973</v>
      </c>
      <c r="GFI1" s="9" t="s">
        <v>6974</v>
      </c>
      <c r="GFJ1" s="9" t="s">
        <v>6975</v>
      </c>
      <c r="GFK1" s="9" t="s">
        <v>6976</v>
      </c>
      <c r="GFL1" s="9" t="s">
        <v>6977</v>
      </c>
      <c r="GFM1" s="9" t="s">
        <v>6978</v>
      </c>
      <c r="GFN1" s="9" t="s">
        <v>6979</v>
      </c>
      <c r="GFO1" s="9" t="s">
        <v>6980</v>
      </c>
      <c r="GFP1" s="9" t="s">
        <v>6981</v>
      </c>
      <c r="GFQ1" s="9" t="s">
        <v>6982</v>
      </c>
      <c r="GFR1" s="9" t="s">
        <v>6983</v>
      </c>
      <c r="GFS1" s="9" t="s">
        <v>6984</v>
      </c>
      <c r="GFT1" s="9" t="s">
        <v>6985</v>
      </c>
      <c r="GFU1" s="9" t="s">
        <v>6986</v>
      </c>
      <c r="GFV1" s="9" t="s">
        <v>6987</v>
      </c>
      <c r="GFW1" s="9" t="s">
        <v>6988</v>
      </c>
      <c r="GFX1" s="9" t="s">
        <v>6989</v>
      </c>
      <c r="GFY1" s="9" t="s">
        <v>6990</v>
      </c>
      <c r="GFZ1" s="9" t="s">
        <v>6991</v>
      </c>
      <c r="GGA1" s="9" t="s">
        <v>6992</v>
      </c>
      <c r="GGB1" s="9" t="s">
        <v>6993</v>
      </c>
      <c r="GGC1" s="9" t="s">
        <v>6994</v>
      </c>
      <c r="GGD1" s="9" t="s">
        <v>6995</v>
      </c>
      <c r="GGE1" s="9" t="s">
        <v>6996</v>
      </c>
      <c r="GGF1" s="9" t="s">
        <v>6997</v>
      </c>
      <c r="GGG1" s="9" t="s">
        <v>6998</v>
      </c>
      <c r="GGH1" s="9" t="s">
        <v>6999</v>
      </c>
      <c r="GGI1" s="9" t="s">
        <v>7000</v>
      </c>
      <c r="GGJ1" s="9" t="s">
        <v>7001</v>
      </c>
      <c r="GGK1" s="9" t="s">
        <v>7002</v>
      </c>
      <c r="GGL1" s="9" t="s">
        <v>7003</v>
      </c>
      <c r="GGM1" s="9" t="s">
        <v>7004</v>
      </c>
      <c r="GGN1" s="9" t="s">
        <v>7005</v>
      </c>
      <c r="GGO1" s="9" t="s">
        <v>7006</v>
      </c>
      <c r="GGP1" s="9" t="s">
        <v>7007</v>
      </c>
      <c r="GGQ1" s="9" t="s">
        <v>7008</v>
      </c>
      <c r="GGR1" s="9" t="s">
        <v>7009</v>
      </c>
      <c r="GGS1" s="9" t="s">
        <v>7010</v>
      </c>
      <c r="GGT1" s="9" t="s">
        <v>7011</v>
      </c>
      <c r="GGU1" s="9" t="s">
        <v>7012</v>
      </c>
      <c r="GGV1" s="9" t="s">
        <v>7013</v>
      </c>
      <c r="GGW1" s="9" t="s">
        <v>7014</v>
      </c>
      <c r="GGX1" s="9" t="s">
        <v>7015</v>
      </c>
      <c r="GGY1" s="9" t="s">
        <v>7016</v>
      </c>
      <c r="GGZ1" s="9" t="s">
        <v>7017</v>
      </c>
      <c r="GHA1" s="9" t="s">
        <v>7018</v>
      </c>
      <c r="GHB1" s="9" t="s">
        <v>7019</v>
      </c>
      <c r="GHC1" s="9" t="s">
        <v>7020</v>
      </c>
      <c r="GHD1" s="9" t="s">
        <v>7021</v>
      </c>
      <c r="GHE1" s="9" t="s">
        <v>7022</v>
      </c>
      <c r="GHF1" s="9" t="s">
        <v>7023</v>
      </c>
      <c r="GHG1" s="9" t="s">
        <v>7024</v>
      </c>
      <c r="GHH1" s="9" t="s">
        <v>7025</v>
      </c>
      <c r="GHI1" s="9" t="s">
        <v>7026</v>
      </c>
      <c r="GHJ1" s="9" t="s">
        <v>7027</v>
      </c>
      <c r="GHK1" s="9" t="s">
        <v>7028</v>
      </c>
      <c r="GHL1" s="9" t="s">
        <v>7029</v>
      </c>
      <c r="GHM1" s="9" t="s">
        <v>7030</v>
      </c>
      <c r="GHN1" s="9" t="s">
        <v>7031</v>
      </c>
      <c r="GHO1" s="9" t="s">
        <v>7032</v>
      </c>
      <c r="GHP1" s="9" t="s">
        <v>7033</v>
      </c>
      <c r="GHQ1" s="9" t="s">
        <v>7034</v>
      </c>
      <c r="GHR1" s="9" t="s">
        <v>7035</v>
      </c>
      <c r="GHS1" s="9" t="s">
        <v>7036</v>
      </c>
      <c r="GHT1" s="9" t="s">
        <v>7037</v>
      </c>
      <c r="GHU1" s="9" t="s">
        <v>7038</v>
      </c>
      <c r="GHV1" s="9" t="s">
        <v>7039</v>
      </c>
      <c r="GHW1" s="9" t="s">
        <v>7040</v>
      </c>
      <c r="GHX1" s="9" t="s">
        <v>7041</v>
      </c>
      <c r="GHY1" s="9" t="s">
        <v>7042</v>
      </c>
      <c r="GHZ1" s="9" t="s">
        <v>7043</v>
      </c>
      <c r="GIA1" s="9" t="s">
        <v>7044</v>
      </c>
      <c r="GIB1" s="9" t="s">
        <v>7045</v>
      </c>
      <c r="GIC1" s="9" t="s">
        <v>7046</v>
      </c>
      <c r="GID1" s="9" t="s">
        <v>7047</v>
      </c>
      <c r="GIE1" s="9" t="s">
        <v>7048</v>
      </c>
      <c r="GIF1" s="9" t="s">
        <v>7049</v>
      </c>
      <c r="GIG1" s="9" t="s">
        <v>7050</v>
      </c>
      <c r="GIH1" s="9" t="s">
        <v>7051</v>
      </c>
      <c r="GII1" s="9" t="s">
        <v>7052</v>
      </c>
      <c r="GIJ1" s="9" t="s">
        <v>7053</v>
      </c>
      <c r="GIK1" s="9" t="s">
        <v>7054</v>
      </c>
      <c r="GIL1" s="9" t="s">
        <v>7055</v>
      </c>
      <c r="GIM1" s="9" t="s">
        <v>7056</v>
      </c>
      <c r="GIN1" s="9" t="s">
        <v>7057</v>
      </c>
      <c r="GIO1" s="9" t="s">
        <v>7058</v>
      </c>
      <c r="GIP1" s="9" t="s">
        <v>7059</v>
      </c>
      <c r="GIQ1" s="9" t="s">
        <v>7060</v>
      </c>
      <c r="GIR1" s="9" t="s">
        <v>7061</v>
      </c>
      <c r="GIS1" s="9" t="s">
        <v>7062</v>
      </c>
      <c r="GIT1" s="9" t="s">
        <v>7063</v>
      </c>
      <c r="GIU1" s="9" t="s">
        <v>7064</v>
      </c>
      <c r="GIV1" s="9" t="s">
        <v>7065</v>
      </c>
      <c r="GIW1" s="9" t="s">
        <v>7066</v>
      </c>
      <c r="GIX1" s="9" t="s">
        <v>7067</v>
      </c>
      <c r="GIY1" s="9" t="s">
        <v>7068</v>
      </c>
      <c r="GIZ1" s="9" t="s">
        <v>7069</v>
      </c>
      <c r="GJA1" s="9" t="s">
        <v>7070</v>
      </c>
      <c r="GJB1" s="9" t="s">
        <v>7071</v>
      </c>
      <c r="GJC1" s="9" t="s">
        <v>7072</v>
      </c>
      <c r="GJD1" s="9" t="s">
        <v>7073</v>
      </c>
      <c r="GJE1" s="9" t="s">
        <v>7074</v>
      </c>
      <c r="GJF1" s="9" t="s">
        <v>7075</v>
      </c>
      <c r="GJG1" s="9" t="s">
        <v>7076</v>
      </c>
      <c r="GJH1" s="9" t="s">
        <v>7077</v>
      </c>
      <c r="GJI1" s="9" t="s">
        <v>7078</v>
      </c>
      <c r="GJJ1" s="9" t="s">
        <v>7079</v>
      </c>
      <c r="GJK1" s="9" t="s">
        <v>7080</v>
      </c>
      <c r="GJL1" s="9" t="s">
        <v>7081</v>
      </c>
      <c r="GJM1" s="9" t="s">
        <v>7082</v>
      </c>
      <c r="GJN1" s="9" t="s">
        <v>7083</v>
      </c>
      <c r="GJO1" s="9" t="s">
        <v>7084</v>
      </c>
      <c r="GJP1" s="9" t="s">
        <v>7085</v>
      </c>
      <c r="GJQ1" s="9" t="s">
        <v>7086</v>
      </c>
      <c r="GJR1" s="9" t="s">
        <v>7087</v>
      </c>
      <c r="GJS1" s="9" t="s">
        <v>7088</v>
      </c>
      <c r="GJT1" s="9" t="s">
        <v>7089</v>
      </c>
      <c r="GJU1" s="9" t="s">
        <v>7090</v>
      </c>
      <c r="GJV1" s="9" t="s">
        <v>7091</v>
      </c>
      <c r="GJW1" s="9" t="s">
        <v>7092</v>
      </c>
      <c r="GJX1" s="9" t="s">
        <v>7093</v>
      </c>
      <c r="GJY1" s="9" t="s">
        <v>7094</v>
      </c>
      <c r="GJZ1" s="9" t="s">
        <v>7095</v>
      </c>
      <c r="GKA1" s="9" t="s">
        <v>7096</v>
      </c>
      <c r="GKB1" s="9" t="s">
        <v>7097</v>
      </c>
      <c r="GKC1" s="9" t="s">
        <v>7098</v>
      </c>
      <c r="GKD1" s="9" t="s">
        <v>7099</v>
      </c>
      <c r="GKE1" s="9" t="s">
        <v>7100</v>
      </c>
      <c r="GKF1" s="9" t="s">
        <v>7101</v>
      </c>
      <c r="GKG1" s="9" t="s">
        <v>7102</v>
      </c>
      <c r="GKH1" s="9" t="s">
        <v>7103</v>
      </c>
      <c r="GKI1" s="9" t="s">
        <v>7104</v>
      </c>
      <c r="GKJ1" s="9" t="s">
        <v>7105</v>
      </c>
      <c r="GKK1" s="9" t="s">
        <v>7106</v>
      </c>
      <c r="GKL1" s="9" t="s">
        <v>7107</v>
      </c>
      <c r="GKM1" s="9" t="s">
        <v>7108</v>
      </c>
      <c r="GKN1" s="9" t="s">
        <v>7109</v>
      </c>
      <c r="GKO1" s="9" t="s">
        <v>7110</v>
      </c>
      <c r="GKP1" s="9" t="s">
        <v>7111</v>
      </c>
      <c r="GKQ1" s="9" t="s">
        <v>7112</v>
      </c>
      <c r="GKR1" s="9" t="s">
        <v>7113</v>
      </c>
      <c r="GKS1" s="9" t="s">
        <v>7114</v>
      </c>
      <c r="GKT1" s="9" t="s">
        <v>7115</v>
      </c>
      <c r="GKU1" s="9" t="s">
        <v>7116</v>
      </c>
      <c r="GKV1" s="9" t="s">
        <v>7117</v>
      </c>
      <c r="GKW1" s="9" t="s">
        <v>7118</v>
      </c>
      <c r="GKX1" s="9" t="s">
        <v>7119</v>
      </c>
      <c r="GKY1" s="9" t="s">
        <v>7120</v>
      </c>
      <c r="GKZ1" s="9" t="s">
        <v>7121</v>
      </c>
      <c r="GLA1" s="9" t="s">
        <v>7122</v>
      </c>
      <c r="GLB1" s="9" t="s">
        <v>7123</v>
      </c>
      <c r="GLC1" s="9" t="s">
        <v>7124</v>
      </c>
      <c r="GLD1" s="9" t="s">
        <v>7125</v>
      </c>
      <c r="GLE1" s="9" t="s">
        <v>7126</v>
      </c>
      <c r="GLF1" s="9" t="s">
        <v>7127</v>
      </c>
      <c r="GLG1" s="9" t="s">
        <v>7128</v>
      </c>
      <c r="GLH1" s="9" t="s">
        <v>7129</v>
      </c>
      <c r="GLI1" s="9" t="s">
        <v>7130</v>
      </c>
      <c r="GLJ1" s="9" t="s">
        <v>7131</v>
      </c>
      <c r="GLK1" s="9" t="s">
        <v>7132</v>
      </c>
      <c r="GLL1" s="9" t="s">
        <v>7133</v>
      </c>
      <c r="GLM1" s="9" t="s">
        <v>7134</v>
      </c>
      <c r="GLN1" s="9" t="s">
        <v>7135</v>
      </c>
      <c r="GLO1" s="9" t="s">
        <v>7136</v>
      </c>
      <c r="GLP1" s="9" t="s">
        <v>7137</v>
      </c>
      <c r="GLQ1" s="9" t="s">
        <v>7138</v>
      </c>
      <c r="GLR1" s="9" t="s">
        <v>7139</v>
      </c>
      <c r="GLS1" s="9" t="s">
        <v>7140</v>
      </c>
      <c r="GLT1" s="9" t="s">
        <v>7141</v>
      </c>
      <c r="GLU1" s="9" t="s">
        <v>7142</v>
      </c>
      <c r="GLV1" s="9" t="s">
        <v>7143</v>
      </c>
      <c r="GLW1" s="9" t="s">
        <v>7144</v>
      </c>
      <c r="GLX1" s="9" t="s">
        <v>7145</v>
      </c>
      <c r="GLY1" s="9" t="s">
        <v>7146</v>
      </c>
      <c r="GLZ1" s="9" t="s">
        <v>7147</v>
      </c>
      <c r="GMA1" s="9" t="s">
        <v>7148</v>
      </c>
      <c r="GMB1" s="9" t="s">
        <v>7149</v>
      </c>
      <c r="GMC1" s="9" t="s">
        <v>7150</v>
      </c>
      <c r="GMD1" s="9" t="s">
        <v>7151</v>
      </c>
      <c r="GME1" s="9" t="s">
        <v>7152</v>
      </c>
      <c r="GMF1" s="9" t="s">
        <v>7153</v>
      </c>
      <c r="GMG1" s="9" t="s">
        <v>7154</v>
      </c>
      <c r="GMH1" s="9" t="s">
        <v>7155</v>
      </c>
      <c r="GMI1" s="9" t="s">
        <v>7156</v>
      </c>
      <c r="GMJ1" s="9" t="s">
        <v>7157</v>
      </c>
      <c r="GMK1" s="9" t="s">
        <v>7158</v>
      </c>
      <c r="GML1" s="9" t="s">
        <v>7159</v>
      </c>
      <c r="GMM1" s="9" t="s">
        <v>7160</v>
      </c>
      <c r="GMN1" s="9" t="s">
        <v>7161</v>
      </c>
      <c r="GMO1" s="9" t="s">
        <v>7162</v>
      </c>
      <c r="GMP1" s="9" t="s">
        <v>7163</v>
      </c>
      <c r="GMQ1" s="9" t="s">
        <v>7164</v>
      </c>
      <c r="GMR1" s="9" t="s">
        <v>7165</v>
      </c>
      <c r="GMS1" s="9" t="s">
        <v>7166</v>
      </c>
      <c r="GMT1" s="9" t="s">
        <v>7167</v>
      </c>
      <c r="GMU1" s="9" t="s">
        <v>7168</v>
      </c>
      <c r="GMV1" s="9" t="s">
        <v>7169</v>
      </c>
      <c r="GMW1" s="9" t="s">
        <v>7170</v>
      </c>
      <c r="GMX1" s="9" t="s">
        <v>7171</v>
      </c>
      <c r="GMY1" s="9" t="s">
        <v>7172</v>
      </c>
      <c r="GMZ1" s="9" t="s">
        <v>7173</v>
      </c>
      <c r="GNA1" s="9" t="s">
        <v>7174</v>
      </c>
      <c r="GNB1" s="9" t="s">
        <v>7175</v>
      </c>
      <c r="GNC1" s="9" t="s">
        <v>7176</v>
      </c>
      <c r="GND1" s="9" t="s">
        <v>7177</v>
      </c>
      <c r="GNE1" s="9" t="s">
        <v>7178</v>
      </c>
      <c r="GNF1" s="9" t="s">
        <v>7179</v>
      </c>
      <c r="GNG1" s="9" t="s">
        <v>7180</v>
      </c>
      <c r="GNH1" s="9" t="s">
        <v>7181</v>
      </c>
      <c r="GNI1" s="9" t="s">
        <v>7182</v>
      </c>
      <c r="GNJ1" s="9" t="s">
        <v>7183</v>
      </c>
      <c r="GNK1" s="9" t="s">
        <v>7184</v>
      </c>
      <c r="GNL1" s="9" t="s">
        <v>7185</v>
      </c>
      <c r="GNM1" s="9" t="s">
        <v>7186</v>
      </c>
      <c r="GNN1" s="9" t="s">
        <v>7187</v>
      </c>
      <c r="GNO1" s="9" t="s">
        <v>7188</v>
      </c>
      <c r="GNP1" s="9" t="s">
        <v>7189</v>
      </c>
      <c r="GNQ1" s="9" t="s">
        <v>7190</v>
      </c>
      <c r="GNR1" s="9" t="s">
        <v>7191</v>
      </c>
      <c r="GNS1" s="9" t="s">
        <v>7192</v>
      </c>
      <c r="GNT1" s="9" t="s">
        <v>7193</v>
      </c>
      <c r="GNU1" s="9" t="s">
        <v>7194</v>
      </c>
      <c r="GNV1" s="9" t="s">
        <v>7195</v>
      </c>
      <c r="GNW1" s="9" t="s">
        <v>7196</v>
      </c>
      <c r="GNX1" s="9" t="s">
        <v>7197</v>
      </c>
      <c r="GNY1" s="9" t="s">
        <v>7198</v>
      </c>
      <c r="GNZ1" s="9" t="s">
        <v>7199</v>
      </c>
      <c r="GOA1" s="9" t="s">
        <v>7200</v>
      </c>
      <c r="GOB1" s="9" t="s">
        <v>7201</v>
      </c>
      <c r="GOC1" s="9" t="s">
        <v>7202</v>
      </c>
      <c r="GOD1" s="9" t="s">
        <v>7203</v>
      </c>
      <c r="GOE1" s="9" t="s">
        <v>7204</v>
      </c>
      <c r="GOF1" s="9" t="s">
        <v>7205</v>
      </c>
      <c r="GOG1" s="9" t="s">
        <v>7206</v>
      </c>
      <c r="GOH1" s="9" t="s">
        <v>7207</v>
      </c>
      <c r="GOI1" s="9" t="s">
        <v>7208</v>
      </c>
      <c r="GOJ1" s="9" t="s">
        <v>7209</v>
      </c>
      <c r="GOK1" s="9" t="s">
        <v>7210</v>
      </c>
      <c r="GOL1" s="9" t="s">
        <v>7211</v>
      </c>
      <c r="GOM1" s="9" t="s">
        <v>7212</v>
      </c>
      <c r="GON1" s="9" t="s">
        <v>7213</v>
      </c>
      <c r="GOO1" s="9" t="s">
        <v>7214</v>
      </c>
      <c r="GOP1" s="9" t="s">
        <v>7215</v>
      </c>
      <c r="GOQ1" s="9" t="s">
        <v>7216</v>
      </c>
      <c r="GOR1" s="9" t="s">
        <v>7217</v>
      </c>
      <c r="GOS1" s="9" t="s">
        <v>7218</v>
      </c>
      <c r="GOT1" s="9" t="s">
        <v>7219</v>
      </c>
      <c r="GOU1" s="9" t="s">
        <v>7220</v>
      </c>
      <c r="GOV1" s="9" t="s">
        <v>7221</v>
      </c>
      <c r="GOW1" s="9" t="s">
        <v>7222</v>
      </c>
      <c r="GOX1" s="9" t="s">
        <v>7223</v>
      </c>
      <c r="GOY1" s="9" t="s">
        <v>7224</v>
      </c>
      <c r="GOZ1" s="9" t="s">
        <v>7225</v>
      </c>
      <c r="GPA1" s="9" t="s">
        <v>7226</v>
      </c>
      <c r="GPB1" s="9" t="s">
        <v>7227</v>
      </c>
      <c r="GPC1" s="9" t="s">
        <v>7228</v>
      </c>
      <c r="GPD1" s="9" t="s">
        <v>7229</v>
      </c>
      <c r="GPE1" s="9" t="s">
        <v>7230</v>
      </c>
      <c r="GPF1" s="9" t="s">
        <v>7231</v>
      </c>
      <c r="GPG1" s="9" t="s">
        <v>7232</v>
      </c>
      <c r="GPH1" s="9" t="s">
        <v>7233</v>
      </c>
      <c r="GPI1" s="9" t="s">
        <v>7234</v>
      </c>
      <c r="GPJ1" s="9" t="s">
        <v>7235</v>
      </c>
      <c r="GPK1" s="9" t="s">
        <v>7236</v>
      </c>
      <c r="GPL1" s="9" t="s">
        <v>7237</v>
      </c>
      <c r="GPM1" s="9" t="s">
        <v>7238</v>
      </c>
      <c r="GPN1" s="9" t="s">
        <v>7239</v>
      </c>
      <c r="GPO1" s="9" t="s">
        <v>7240</v>
      </c>
      <c r="GPP1" s="9" t="s">
        <v>7241</v>
      </c>
      <c r="GPQ1" s="9" t="s">
        <v>7242</v>
      </c>
      <c r="GPR1" s="9" t="s">
        <v>7243</v>
      </c>
      <c r="GPS1" s="9" t="s">
        <v>7244</v>
      </c>
      <c r="GPT1" s="9" t="s">
        <v>7245</v>
      </c>
      <c r="GPU1" s="9" t="s">
        <v>7246</v>
      </c>
      <c r="GPV1" s="9" t="s">
        <v>7247</v>
      </c>
      <c r="GPW1" s="9" t="s">
        <v>7248</v>
      </c>
      <c r="GPX1" s="9" t="s">
        <v>7249</v>
      </c>
      <c r="GPY1" s="9" t="s">
        <v>7250</v>
      </c>
      <c r="GPZ1" s="9" t="s">
        <v>7251</v>
      </c>
      <c r="GQA1" s="9" t="s">
        <v>7252</v>
      </c>
      <c r="GQB1" s="9" t="s">
        <v>7253</v>
      </c>
      <c r="GQC1" s="9" t="s">
        <v>7254</v>
      </c>
      <c r="GQD1" s="9" t="s">
        <v>7255</v>
      </c>
      <c r="GQE1" s="9" t="s">
        <v>7256</v>
      </c>
      <c r="GQF1" s="9" t="s">
        <v>7257</v>
      </c>
      <c r="GQG1" s="9" t="s">
        <v>7258</v>
      </c>
      <c r="GQH1" s="9" t="s">
        <v>7259</v>
      </c>
      <c r="GQI1" s="9" t="s">
        <v>7260</v>
      </c>
      <c r="GQJ1" s="9" t="s">
        <v>7261</v>
      </c>
      <c r="GQK1" s="9" t="s">
        <v>7262</v>
      </c>
      <c r="GQL1" s="9" t="s">
        <v>7263</v>
      </c>
      <c r="GQM1" s="9" t="s">
        <v>7264</v>
      </c>
      <c r="GQN1" s="9" t="s">
        <v>7265</v>
      </c>
      <c r="GQO1" s="9" t="s">
        <v>7266</v>
      </c>
      <c r="GQP1" s="9" t="s">
        <v>7267</v>
      </c>
      <c r="GQQ1" s="9" t="s">
        <v>7268</v>
      </c>
      <c r="GQR1" s="9" t="s">
        <v>7269</v>
      </c>
      <c r="GQS1" s="9" t="s">
        <v>7270</v>
      </c>
      <c r="GQT1" s="9" t="s">
        <v>7271</v>
      </c>
      <c r="GQU1" s="9" t="s">
        <v>7272</v>
      </c>
      <c r="GQV1" s="9" t="s">
        <v>7273</v>
      </c>
      <c r="GQW1" s="9" t="s">
        <v>7274</v>
      </c>
      <c r="GQX1" s="9" t="s">
        <v>7275</v>
      </c>
      <c r="GQY1" s="9" t="s">
        <v>7276</v>
      </c>
      <c r="GQZ1" s="9" t="s">
        <v>7277</v>
      </c>
      <c r="GRA1" s="9" t="s">
        <v>7278</v>
      </c>
      <c r="GRB1" s="9" t="s">
        <v>7279</v>
      </c>
      <c r="GRC1" s="9" t="s">
        <v>7280</v>
      </c>
      <c r="GRD1" s="9" t="s">
        <v>7281</v>
      </c>
      <c r="GRE1" s="9" t="s">
        <v>7282</v>
      </c>
      <c r="GRF1" s="9" t="s">
        <v>7283</v>
      </c>
      <c r="GRG1" s="9" t="s">
        <v>7284</v>
      </c>
      <c r="GRH1" s="9" t="s">
        <v>7285</v>
      </c>
      <c r="GRI1" s="9" t="s">
        <v>7286</v>
      </c>
      <c r="GRJ1" s="9" t="s">
        <v>7287</v>
      </c>
      <c r="GRK1" s="9" t="s">
        <v>7288</v>
      </c>
      <c r="GRL1" s="9" t="s">
        <v>7289</v>
      </c>
      <c r="GRM1" s="9" t="s">
        <v>7290</v>
      </c>
      <c r="GRN1" s="9" t="s">
        <v>7291</v>
      </c>
      <c r="GRO1" s="9" t="s">
        <v>7292</v>
      </c>
      <c r="GRP1" s="9" t="s">
        <v>7293</v>
      </c>
      <c r="GRQ1" s="9" t="s">
        <v>7294</v>
      </c>
      <c r="GRR1" s="9" t="s">
        <v>7295</v>
      </c>
      <c r="GRS1" s="9" t="s">
        <v>7296</v>
      </c>
      <c r="GRT1" s="9" t="s">
        <v>7297</v>
      </c>
      <c r="GRU1" s="9" t="s">
        <v>7298</v>
      </c>
      <c r="GRV1" s="9" t="s">
        <v>7299</v>
      </c>
      <c r="GRW1" s="9" t="s">
        <v>7300</v>
      </c>
      <c r="GRX1" s="9" t="s">
        <v>7301</v>
      </c>
      <c r="GRY1" s="9" t="s">
        <v>7302</v>
      </c>
      <c r="GRZ1" s="9" t="s">
        <v>7303</v>
      </c>
      <c r="GSA1" s="9" t="s">
        <v>7304</v>
      </c>
      <c r="GSB1" s="9" t="s">
        <v>7305</v>
      </c>
      <c r="GSC1" s="9" t="s">
        <v>7306</v>
      </c>
      <c r="GSD1" s="9" t="s">
        <v>7307</v>
      </c>
      <c r="GSE1" s="9" t="s">
        <v>7308</v>
      </c>
      <c r="GSF1" s="9" t="s">
        <v>7309</v>
      </c>
      <c r="GSG1" s="9" t="s">
        <v>7310</v>
      </c>
      <c r="GSH1" s="9" t="s">
        <v>7311</v>
      </c>
      <c r="GSI1" s="9" t="s">
        <v>7312</v>
      </c>
      <c r="GSJ1" s="9" t="s">
        <v>7313</v>
      </c>
      <c r="GSK1" s="9" t="s">
        <v>7314</v>
      </c>
      <c r="GSL1" s="9" t="s">
        <v>7315</v>
      </c>
      <c r="GSM1" s="9" t="s">
        <v>7316</v>
      </c>
      <c r="GSN1" s="9" t="s">
        <v>7317</v>
      </c>
      <c r="GSO1" s="9" t="s">
        <v>7318</v>
      </c>
      <c r="GSP1" s="9" t="s">
        <v>7319</v>
      </c>
      <c r="GSQ1" s="9" t="s">
        <v>7320</v>
      </c>
      <c r="GSR1" s="9" t="s">
        <v>7321</v>
      </c>
      <c r="GSS1" s="9" t="s">
        <v>7322</v>
      </c>
      <c r="GST1" s="9" t="s">
        <v>7323</v>
      </c>
      <c r="GSU1" s="9" t="s">
        <v>7324</v>
      </c>
      <c r="GSV1" s="9" t="s">
        <v>7325</v>
      </c>
      <c r="GSW1" s="9" t="s">
        <v>7326</v>
      </c>
      <c r="GSX1" s="9" t="s">
        <v>7327</v>
      </c>
      <c r="GSY1" s="9" t="s">
        <v>7328</v>
      </c>
      <c r="GSZ1" s="9" t="s">
        <v>7329</v>
      </c>
      <c r="GTA1" s="9" t="s">
        <v>7330</v>
      </c>
      <c r="GTB1" s="9" t="s">
        <v>7331</v>
      </c>
      <c r="GTC1" s="9" t="s">
        <v>7332</v>
      </c>
      <c r="GTD1" s="9" t="s">
        <v>7333</v>
      </c>
      <c r="GTE1" s="9" t="s">
        <v>7334</v>
      </c>
      <c r="GTF1" s="9" t="s">
        <v>7335</v>
      </c>
      <c r="GTG1" s="9" t="s">
        <v>7336</v>
      </c>
      <c r="GTH1" s="9" t="s">
        <v>7337</v>
      </c>
      <c r="GTI1" s="9" t="s">
        <v>7338</v>
      </c>
      <c r="GTJ1" s="9" t="s">
        <v>7339</v>
      </c>
      <c r="GTK1" s="9" t="s">
        <v>7340</v>
      </c>
      <c r="GTL1" s="9" t="s">
        <v>7341</v>
      </c>
      <c r="GTM1" s="9" t="s">
        <v>7342</v>
      </c>
      <c r="GTN1" s="9" t="s">
        <v>7343</v>
      </c>
      <c r="GTO1" s="9" t="s">
        <v>7344</v>
      </c>
      <c r="GTP1" s="9" t="s">
        <v>7345</v>
      </c>
      <c r="GTQ1" s="9" t="s">
        <v>7346</v>
      </c>
      <c r="GTR1" s="9" t="s">
        <v>7347</v>
      </c>
      <c r="GTS1" s="9" t="s">
        <v>7348</v>
      </c>
      <c r="GTT1" s="9" t="s">
        <v>7349</v>
      </c>
      <c r="GTU1" s="9" t="s">
        <v>7350</v>
      </c>
      <c r="GTV1" s="9" t="s">
        <v>7351</v>
      </c>
      <c r="GTW1" s="9" t="s">
        <v>7352</v>
      </c>
      <c r="GTX1" s="9" t="s">
        <v>7353</v>
      </c>
      <c r="GTY1" s="9" t="s">
        <v>7354</v>
      </c>
      <c r="GTZ1" s="9" t="s">
        <v>7355</v>
      </c>
      <c r="GUA1" s="9" t="s">
        <v>7356</v>
      </c>
      <c r="GUB1" s="9" t="s">
        <v>7357</v>
      </c>
      <c r="GUC1" s="9" t="s">
        <v>7358</v>
      </c>
      <c r="GUD1" s="9" t="s">
        <v>7359</v>
      </c>
      <c r="GUE1" s="9" t="s">
        <v>7360</v>
      </c>
      <c r="GUF1" s="9" t="s">
        <v>7361</v>
      </c>
      <c r="GUG1" s="9" t="s">
        <v>7362</v>
      </c>
      <c r="GUH1" s="9" t="s">
        <v>7363</v>
      </c>
      <c r="GUI1" s="9" t="s">
        <v>7364</v>
      </c>
      <c r="GUJ1" s="9" t="s">
        <v>7365</v>
      </c>
      <c r="GUK1" s="9" t="s">
        <v>7366</v>
      </c>
      <c r="GUL1" s="9" t="s">
        <v>7367</v>
      </c>
      <c r="GUM1" s="9" t="s">
        <v>7368</v>
      </c>
      <c r="GUN1" s="9" t="s">
        <v>7369</v>
      </c>
      <c r="GUO1" s="9" t="s">
        <v>7370</v>
      </c>
      <c r="GUP1" s="9" t="s">
        <v>7371</v>
      </c>
      <c r="GUQ1" s="9" t="s">
        <v>7372</v>
      </c>
      <c r="GUR1" s="9" t="s">
        <v>7373</v>
      </c>
      <c r="GUS1" s="9" t="s">
        <v>7374</v>
      </c>
      <c r="GUT1" s="9" t="s">
        <v>7375</v>
      </c>
      <c r="GUU1" s="9" t="s">
        <v>7376</v>
      </c>
      <c r="GUV1" s="9" t="s">
        <v>7377</v>
      </c>
      <c r="GUW1" s="9" t="s">
        <v>7378</v>
      </c>
      <c r="GUX1" s="9" t="s">
        <v>7379</v>
      </c>
      <c r="GUY1" s="9" t="s">
        <v>7380</v>
      </c>
      <c r="GUZ1" s="9" t="s">
        <v>7381</v>
      </c>
      <c r="GVA1" s="9" t="s">
        <v>7382</v>
      </c>
      <c r="GVB1" s="9" t="s">
        <v>7383</v>
      </c>
      <c r="GVC1" s="9" t="s">
        <v>7384</v>
      </c>
      <c r="GVD1" s="9" t="s">
        <v>7385</v>
      </c>
      <c r="GVE1" s="9" t="s">
        <v>7386</v>
      </c>
      <c r="GVF1" s="9" t="s">
        <v>7387</v>
      </c>
      <c r="GVG1" s="9" t="s">
        <v>7388</v>
      </c>
      <c r="GVH1" s="9" t="s">
        <v>7389</v>
      </c>
      <c r="GVI1" s="9" t="s">
        <v>7390</v>
      </c>
      <c r="GVJ1" s="9" t="s">
        <v>7391</v>
      </c>
      <c r="GVK1" s="9" t="s">
        <v>7392</v>
      </c>
      <c r="GVL1" s="9" t="s">
        <v>7393</v>
      </c>
      <c r="GVM1" s="9" t="s">
        <v>7394</v>
      </c>
      <c r="GVN1" s="9" t="s">
        <v>7395</v>
      </c>
      <c r="GVO1" s="9" t="s">
        <v>7396</v>
      </c>
      <c r="GVP1" s="9" t="s">
        <v>7397</v>
      </c>
      <c r="GVQ1" s="9" t="s">
        <v>7398</v>
      </c>
      <c r="GVR1" s="9" t="s">
        <v>7399</v>
      </c>
      <c r="GVS1" s="9" t="s">
        <v>7400</v>
      </c>
      <c r="GVT1" s="9" t="s">
        <v>7401</v>
      </c>
      <c r="GVU1" s="9" t="s">
        <v>7402</v>
      </c>
      <c r="GVV1" s="9" t="s">
        <v>7403</v>
      </c>
      <c r="GVW1" s="9" t="s">
        <v>7404</v>
      </c>
      <c r="GVX1" s="9" t="s">
        <v>7405</v>
      </c>
      <c r="GVY1" s="9" t="s">
        <v>7406</v>
      </c>
      <c r="GVZ1" s="9" t="s">
        <v>7407</v>
      </c>
      <c r="GWA1" s="9" t="s">
        <v>7408</v>
      </c>
      <c r="GWB1" s="9" t="s">
        <v>7409</v>
      </c>
      <c r="GWC1" s="9" t="s">
        <v>7410</v>
      </c>
      <c r="GWD1" s="9" t="s">
        <v>7411</v>
      </c>
      <c r="GWE1" s="9" t="s">
        <v>7412</v>
      </c>
      <c r="GWF1" s="9" t="s">
        <v>7413</v>
      </c>
      <c r="GWG1" s="9" t="s">
        <v>7414</v>
      </c>
      <c r="GWH1" s="9" t="s">
        <v>7415</v>
      </c>
      <c r="GWI1" s="9" t="s">
        <v>7416</v>
      </c>
      <c r="GWJ1" s="9" t="s">
        <v>7417</v>
      </c>
      <c r="GWK1" s="9" t="s">
        <v>7418</v>
      </c>
      <c r="GWL1" s="9" t="s">
        <v>7419</v>
      </c>
      <c r="GWM1" s="9" t="s">
        <v>7420</v>
      </c>
      <c r="GWN1" s="9" t="s">
        <v>7421</v>
      </c>
      <c r="GWO1" s="9" t="s">
        <v>7422</v>
      </c>
      <c r="GWP1" s="9" t="s">
        <v>7423</v>
      </c>
      <c r="GWQ1" s="9" t="s">
        <v>7424</v>
      </c>
      <c r="GWR1" s="9" t="s">
        <v>7425</v>
      </c>
      <c r="GWS1" s="9" t="s">
        <v>7426</v>
      </c>
      <c r="GWT1" s="9" t="s">
        <v>7427</v>
      </c>
      <c r="GWU1" s="9" t="s">
        <v>7428</v>
      </c>
      <c r="GWV1" s="9" t="s">
        <v>7429</v>
      </c>
      <c r="GWW1" s="9" t="s">
        <v>7430</v>
      </c>
      <c r="GWX1" s="9" t="s">
        <v>7431</v>
      </c>
      <c r="GWY1" s="9" t="s">
        <v>7432</v>
      </c>
      <c r="GWZ1" s="9" t="s">
        <v>7433</v>
      </c>
      <c r="GXA1" s="9" t="s">
        <v>7434</v>
      </c>
      <c r="GXB1" s="9" t="s">
        <v>7435</v>
      </c>
      <c r="GXC1" s="9" t="s">
        <v>7436</v>
      </c>
      <c r="GXD1" s="9" t="s">
        <v>7437</v>
      </c>
      <c r="GXE1" s="9" t="s">
        <v>7438</v>
      </c>
      <c r="GXF1" s="9" t="s">
        <v>7439</v>
      </c>
      <c r="GXG1" s="9" t="s">
        <v>7440</v>
      </c>
      <c r="GXH1" s="9" t="s">
        <v>7441</v>
      </c>
      <c r="GXI1" s="9" t="s">
        <v>7442</v>
      </c>
      <c r="GXJ1" s="9" t="s">
        <v>7443</v>
      </c>
      <c r="GXK1" s="9" t="s">
        <v>7444</v>
      </c>
      <c r="GXL1" s="9" t="s">
        <v>7445</v>
      </c>
      <c r="GXM1" s="9" t="s">
        <v>7446</v>
      </c>
      <c r="GXN1" s="9" t="s">
        <v>7447</v>
      </c>
      <c r="GXO1" s="9" t="s">
        <v>7448</v>
      </c>
      <c r="GXP1" s="9" t="s">
        <v>7449</v>
      </c>
      <c r="GXQ1" s="9" t="s">
        <v>7450</v>
      </c>
      <c r="GXR1" s="9" t="s">
        <v>7451</v>
      </c>
      <c r="GXS1" s="9" t="s">
        <v>7452</v>
      </c>
      <c r="GXT1" s="9" t="s">
        <v>7453</v>
      </c>
      <c r="GXU1" s="9" t="s">
        <v>7454</v>
      </c>
      <c r="GXV1" s="9" t="s">
        <v>7455</v>
      </c>
      <c r="GXW1" s="9" t="s">
        <v>7456</v>
      </c>
      <c r="GXX1" s="9" t="s">
        <v>7457</v>
      </c>
      <c r="GXY1" s="9" t="s">
        <v>7458</v>
      </c>
      <c r="GXZ1" s="9" t="s">
        <v>7459</v>
      </c>
      <c r="GYA1" s="9" t="s">
        <v>7460</v>
      </c>
      <c r="GYB1" s="9" t="s">
        <v>7461</v>
      </c>
      <c r="GYC1" s="9" t="s">
        <v>7462</v>
      </c>
      <c r="GYD1" s="9" t="s">
        <v>7463</v>
      </c>
      <c r="GYE1" s="9" t="s">
        <v>7464</v>
      </c>
      <c r="GYF1" s="9" t="s">
        <v>7465</v>
      </c>
      <c r="GYG1" s="9" t="s">
        <v>7466</v>
      </c>
      <c r="GYH1" s="9" t="s">
        <v>7467</v>
      </c>
      <c r="GYI1" s="9" t="s">
        <v>7468</v>
      </c>
      <c r="GYJ1" s="9" t="s">
        <v>7469</v>
      </c>
      <c r="GYK1" s="9" t="s">
        <v>7470</v>
      </c>
      <c r="GYL1" s="9" t="s">
        <v>7471</v>
      </c>
      <c r="GYM1" s="9" t="s">
        <v>7472</v>
      </c>
      <c r="GYN1" s="9" t="s">
        <v>7473</v>
      </c>
      <c r="GYO1" s="9" t="s">
        <v>7474</v>
      </c>
      <c r="GYP1" s="9" t="s">
        <v>7475</v>
      </c>
      <c r="GYQ1" s="9" t="s">
        <v>7476</v>
      </c>
      <c r="GYR1" s="9" t="s">
        <v>7477</v>
      </c>
      <c r="GYS1" s="9" t="s">
        <v>7478</v>
      </c>
      <c r="GYT1" s="9" t="s">
        <v>7479</v>
      </c>
      <c r="GYU1" s="9" t="s">
        <v>7480</v>
      </c>
      <c r="GYV1" s="9" t="s">
        <v>7481</v>
      </c>
      <c r="GYW1" s="9" t="s">
        <v>7482</v>
      </c>
      <c r="GYX1" s="9" t="s">
        <v>7483</v>
      </c>
      <c r="GYY1" s="9" t="s">
        <v>7484</v>
      </c>
      <c r="GYZ1" s="9" t="s">
        <v>7485</v>
      </c>
      <c r="GZA1" s="9" t="s">
        <v>7486</v>
      </c>
      <c r="GZB1" s="9" t="s">
        <v>7487</v>
      </c>
      <c r="GZC1" s="9" t="s">
        <v>7488</v>
      </c>
      <c r="GZD1" s="9" t="s">
        <v>7489</v>
      </c>
      <c r="GZE1" s="9" t="s">
        <v>7490</v>
      </c>
      <c r="GZF1" s="9" t="s">
        <v>7491</v>
      </c>
      <c r="GZG1" s="9" t="s">
        <v>7492</v>
      </c>
      <c r="GZH1" s="9" t="s">
        <v>7493</v>
      </c>
      <c r="GZI1" s="9" t="s">
        <v>7494</v>
      </c>
      <c r="GZJ1" s="9" t="s">
        <v>7495</v>
      </c>
      <c r="GZK1" s="9" t="s">
        <v>7496</v>
      </c>
      <c r="GZL1" s="9" t="s">
        <v>7497</v>
      </c>
      <c r="GZM1" s="9" t="s">
        <v>7498</v>
      </c>
      <c r="GZN1" s="9" t="s">
        <v>7499</v>
      </c>
      <c r="GZO1" s="9" t="s">
        <v>7500</v>
      </c>
      <c r="GZP1" s="9" t="s">
        <v>7501</v>
      </c>
      <c r="GZQ1" s="9" t="s">
        <v>7502</v>
      </c>
      <c r="GZR1" s="9" t="s">
        <v>7503</v>
      </c>
      <c r="GZS1" s="9" t="s">
        <v>7504</v>
      </c>
      <c r="GZT1" s="9" t="s">
        <v>7505</v>
      </c>
      <c r="GZU1" s="9" t="s">
        <v>7506</v>
      </c>
      <c r="GZV1" s="9" t="s">
        <v>7507</v>
      </c>
      <c r="GZW1" s="9" t="s">
        <v>7508</v>
      </c>
      <c r="GZX1" s="9" t="s">
        <v>7509</v>
      </c>
      <c r="GZY1" s="9" t="s">
        <v>7510</v>
      </c>
      <c r="GZZ1" s="9" t="s">
        <v>7511</v>
      </c>
      <c r="HAA1" s="9" t="s">
        <v>7512</v>
      </c>
      <c r="HAB1" s="9" t="s">
        <v>7513</v>
      </c>
      <c r="HAC1" s="9" t="s">
        <v>7514</v>
      </c>
      <c r="HAD1" s="9" t="s">
        <v>7515</v>
      </c>
      <c r="HAE1" s="9" t="s">
        <v>7516</v>
      </c>
      <c r="HAF1" s="9" t="s">
        <v>7517</v>
      </c>
      <c r="HAG1" s="9" t="s">
        <v>7518</v>
      </c>
      <c r="HAH1" s="9" t="s">
        <v>7519</v>
      </c>
      <c r="HAI1" s="9" t="s">
        <v>7520</v>
      </c>
      <c r="HAJ1" s="9" t="s">
        <v>7521</v>
      </c>
      <c r="HAK1" s="9" t="s">
        <v>7522</v>
      </c>
      <c r="HAL1" s="9" t="s">
        <v>7523</v>
      </c>
      <c r="HAM1" s="9" t="s">
        <v>7524</v>
      </c>
      <c r="HAN1" s="9" t="s">
        <v>7525</v>
      </c>
      <c r="HAO1" s="9" t="s">
        <v>7526</v>
      </c>
      <c r="HAP1" s="9" t="s">
        <v>7527</v>
      </c>
      <c r="HAQ1" s="9" t="s">
        <v>7528</v>
      </c>
      <c r="HAR1" s="9" t="s">
        <v>7529</v>
      </c>
      <c r="HAS1" s="9" t="s">
        <v>7530</v>
      </c>
      <c r="HAT1" s="9" t="s">
        <v>7531</v>
      </c>
      <c r="HAU1" s="9" t="s">
        <v>7532</v>
      </c>
      <c r="HAV1" s="9" t="s">
        <v>7533</v>
      </c>
      <c r="HAW1" s="9" t="s">
        <v>7534</v>
      </c>
      <c r="HAX1" s="9" t="s">
        <v>7535</v>
      </c>
      <c r="HAY1" s="9" t="s">
        <v>7536</v>
      </c>
      <c r="HAZ1" s="9" t="s">
        <v>7537</v>
      </c>
      <c r="HBA1" s="9" t="s">
        <v>7538</v>
      </c>
      <c r="HBB1" s="9" t="s">
        <v>7539</v>
      </c>
      <c r="HBC1" s="9" t="s">
        <v>7540</v>
      </c>
      <c r="HBD1" s="9" t="s">
        <v>7541</v>
      </c>
      <c r="HBE1" s="9" t="s">
        <v>7542</v>
      </c>
      <c r="HBF1" s="9" t="s">
        <v>7543</v>
      </c>
      <c r="HBG1" s="9" t="s">
        <v>7544</v>
      </c>
      <c r="HBH1" s="9" t="s">
        <v>7545</v>
      </c>
      <c r="HBI1" s="9" t="s">
        <v>7546</v>
      </c>
      <c r="HBJ1" s="9" t="s">
        <v>7547</v>
      </c>
      <c r="HBK1" s="9" t="s">
        <v>7548</v>
      </c>
      <c r="HBL1" s="9" t="s">
        <v>7549</v>
      </c>
      <c r="HBM1" s="9" t="s">
        <v>7550</v>
      </c>
      <c r="HBN1" s="9" t="s">
        <v>7551</v>
      </c>
      <c r="HBO1" s="9" t="s">
        <v>7552</v>
      </c>
      <c r="HBP1" s="9" t="s">
        <v>7553</v>
      </c>
      <c r="HBQ1" s="9" t="s">
        <v>7554</v>
      </c>
      <c r="HBR1" s="9" t="s">
        <v>7555</v>
      </c>
      <c r="HBS1" s="9" t="s">
        <v>7556</v>
      </c>
      <c r="HBT1" s="9" t="s">
        <v>7557</v>
      </c>
      <c r="HBU1" s="9" t="s">
        <v>7558</v>
      </c>
      <c r="HBV1" s="9" t="s">
        <v>7559</v>
      </c>
      <c r="HBW1" s="9" t="s">
        <v>7560</v>
      </c>
      <c r="HBX1" s="9" t="s">
        <v>7561</v>
      </c>
      <c r="HBY1" s="9" t="s">
        <v>7562</v>
      </c>
      <c r="HBZ1" s="9" t="s">
        <v>7563</v>
      </c>
      <c r="HCA1" s="9" t="s">
        <v>7564</v>
      </c>
      <c r="HCB1" s="9" t="s">
        <v>7565</v>
      </c>
      <c r="HCC1" s="9" t="s">
        <v>7566</v>
      </c>
      <c r="HCD1" s="9" t="s">
        <v>7567</v>
      </c>
      <c r="HCE1" s="9" t="s">
        <v>7568</v>
      </c>
      <c r="HCF1" s="9" t="s">
        <v>7569</v>
      </c>
      <c r="HCG1" s="9" t="s">
        <v>7570</v>
      </c>
      <c r="HCH1" s="9" t="s">
        <v>7571</v>
      </c>
      <c r="HCI1" s="9" t="s">
        <v>7572</v>
      </c>
      <c r="HCJ1" s="9" t="s">
        <v>7573</v>
      </c>
      <c r="HCK1" s="9" t="s">
        <v>7574</v>
      </c>
      <c r="HCL1" s="9" t="s">
        <v>7575</v>
      </c>
      <c r="HCM1" s="9" t="s">
        <v>7576</v>
      </c>
      <c r="HCN1" s="9" t="s">
        <v>7577</v>
      </c>
      <c r="HCO1" s="9" t="s">
        <v>7578</v>
      </c>
      <c r="HCP1" s="9" t="s">
        <v>7579</v>
      </c>
      <c r="HCQ1" s="9" t="s">
        <v>7580</v>
      </c>
      <c r="HCR1" s="9" t="s">
        <v>7581</v>
      </c>
      <c r="HCS1" s="9" t="s">
        <v>7582</v>
      </c>
      <c r="HCT1" s="9" t="s">
        <v>7583</v>
      </c>
      <c r="HCU1" s="9" t="s">
        <v>7584</v>
      </c>
      <c r="HCV1" s="9" t="s">
        <v>7585</v>
      </c>
      <c r="HCW1" s="9" t="s">
        <v>7586</v>
      </c>
      <c r="HCX1" s="9" t="s">
        <v>7587</v>
      </c>
      <c r="HCY1" s="9" t="s">
        <v>7588</v>
      </c>
      <c r="HCZ1" s="9" t="s">
        <v>7589</v>
      </c>
      <c r="HDA1" s="9" t="s">
        <v>7590</v>
      </c>
      <c r="HDB1" s="9" t="s">
        <v>7591</v>
      </c>
      <c r="HDC1" s="9" t="s">
        <v>7592</v>
      </c>
      <c r="HDD1" s="9" t="s">
        <v>7593</v>
      </c>
      <c r="HDE1" s="9" t="s">
        <v>7594</v>
      </c>
      <c r="HDF1" s="9" t="s">
        <v>7595</v>
      </c>
      <c r="HDG1" s="9" t="s">
        <v>7596</v>
      </c>
      <c r="HDH1" s="9" t="s">
        <v>7597</v>
      </c>
      <c r="HDI1" s="9" t="s">
        <v>7598</v>
      </c>
      <c r="HDJ1" s="9" t="s">
        <v>7599</v>
      </c>
      <c r="HDK1" s="9" t="s">
        <v>7600</v>
      </c>
      <c r="HDL1" s="9" t="s">
        <v>7601</v>
      </c>
      <c r="HDM1" s="9" t="s">
        <v>7602</v>
      </c>
      <c r="HDN1" s="9" t="s">
        <v>7603</v>
      </c>
      <c r="HDO1" s="9" t="s">
        <v>7604</v>
      </c>
      <c r="HDP1" s="9" t="s">
        <v>7605</v>
      </c>
      <c r="HDQ1" s="9" t="s">
        <v>7606</v>
      </c>
      <c r="HDR1" s="9" t="s">
        <v>7607</v>
      </c>
      <c r="HDS1" s="9" t="s">
        <v>7608</v>
      </c>
      <c r="HDT1" s="9" t="s">
        <v>7609</v>
      </c>
      <c r="HDU1" s="9" t="s">
        <v>7610</v>
      </c>
      <c r="HDV1" s="9" t="s">
        <v>7611</v>
      </c>
      <c r="HDW1" s="9" t="s">
        <v>7612</v>
      </c>
      <c r="HDX1" s="9" t="s">
        <v>7613</v>
      </c>
      <c r="HDY1" s="9" t="s">
        <v>7614</v>
      </c>
      <c r="HDZ1" s="9" t="s">
        <v>7615</v>
      </c>
      <c r="HEA1" s="9" t="s">
        <v>7616</v>
      </c>
      <c r="HEB1" s="9" t="s">
        <v>7617</v>
      </c>
      <c r="HEC1" s="9" t="s">
        <v>7618</v>
      </c>
      <c r="HED1" s="9" t="s">
        <v>7619</v>
      </c>
      <c r="HEE1" s="9" t="s">
        <v>7620</v>
      </c>
      <c r="HEF1" s="9" t="s">
        <v>7621</v>
      </c>
      <c r="HEG1" s="9" t="s">
        <v>7622</v>
      </c>
      <c r="HEH1" s="9" t="s">
        <v>7623</v>
      </c>
      <c r="HEI1" s="9" t="s">
        <v>7624</v>
      </c>
      <c r="HEJ1" s="9" t="s">
        <v>7625</v>
      </c>
      <c r="HEK1" s="9" t="s">
        <v>7626</v>
      </c>
      <c r="HEL1" s="9" t="s">
        <v>7627</v>
      </c>
      <c r="HEM1" s="9" t="s">
        <v>7628</v>
      </c>
      <c r="HEN1" s="9" t="s">
        <v>7629</v>
      </c>
      <c r="HEO1" s="9" t="s">
        <v>7630</v>
      </c>
      <c r="HEP1" s="9" t="s">
        <v>7631</v>
      </c>
      <c r="HEQ1" s="9" t="s">
        <v>7632</v>
      </c>
      <c r="HER1" s="9" t="s">
        <v>7633</v>
      </c>
      <c r="HES1" s="9" t="s">
        <v>7634</v>
      </c>
      <c r="HET1" s="9" t="s">
        <v>7635</v>
      </c>
      <c r="HEU1" s="9" t="s">
        <v>7636</v>
      </c>
      <c r="HEV1" s="9" t="s">
        <v>7637</v>
      </c>
      <c r="HEW1" s="9" t="s">
        <v>7638</v>
      </c>
      <c r="HEX1" s="9" t="s">
        <v>7639</v>
      </c>
      <c r="HEY1" s="9" t="s">
        <v>7640</v>
      </c>
      <c r="HEZ1" s="9" t="s">
        <v>7641</v>
      </c>
      <c r="HFA1" s="9" t="s">
        <v>7642</v>
      </c>
      <c r="HFB1" s="9" t="s">
        <v>7643</v>
      </c>
      <c r="HFC1" s="9" t="s">
        <v>7644</v>
      </c>
      <c r="HFD1" s="9" t="s">
        <v>7645</v>
      </c>
      <c r="HFE1" s="9" t="s">
        <v>7646</v>
      </c>
      <c r="HFF1" s="9" t="s">
        <v>7647</v>
      </c>
      <c r="HFG1" s="9" t="s">
        <v>7648</v>
      </c>
      <c r="HFH1" s="9" t="s">
        <v>7649</v>
      </c>
      <c r="HFI1" s="9" t="s">
        <v>7650</v>
      </c>
      <c r="HFJ1" s="9" t="s">
        <v>7651</v>
      </c>
      <c r="HFK1" s="9" t="s">
        <v>7652</v>
      </c>
      <c r="HFL1" s="9" t="s">
        <v>7653</v>
      </c>
      <c r="HFM1" s="9" t="s">
        <v>7654</v>
      </c>
      <c r="HFN1" s="9" t="s">
        <v>7655</v>
      </c>
      <c r="HFO1" s="9" t="s">
        <v>7656</v>
      </c>
      <c r="HFP1" s="9" t="s">
        <v>7657</v>
      </c>
      <c r="HFQ1" s="9" t="s">
        <v>7658</v>
      </c>
      <c r="HFR1" s="9" t="s">
        <v>7659</v>
      </c>
      <c r="HFS1" s="9" t="s">
        <v>7660</v>
      </c>
      <c r="HFT1" s="9" t="s">
        <v>7661</v>
      </c>
      <c r="HFU1" s="9" t="s">
        <v>7662</v>
      </c>
      <c r="HFV1" s="9" t="s">
        <v>7663</v>
      </c>
      <c r="HFW1" s="9" t="s">
        <v>7664</v>
      </c>
      <c r="HFX1" s="9" t="s">
        <v>7665</v>
      </c>
      <c r="HFY1" s="9" t="s">
        <v>7666</v>
      </c>
      <c r="HFZ1" s="9" t="s">
        <v>7667</v>
      </c>
      <c r="HGA1" s="9" t="s">
        <v>7668</v>
      </c>
      <c r="HGB1" s="9" t="s">
        <v>7669</v>
      </c>
      <c r="HGC1" s="9" t="s">
        <v>7670</v>
      </c>
      <c r="HGD1" s="9" t="s">
        <v>7671</v>
      </c>
      <c r="HGE1" s="9" t="s">
        <v>7672</v>
      </c>
      <c r="HGF1" s="9" t="s">
        <v>7673</v>
      </c>
      <c r="HGG1" s="9" t="s">
        <v>7674</v>
      </c>
      <c r="HGH1" s="9" t="s">
        <v>7675</v>
      </c>
      <c r="HGI1" s="9" t="s">
        <v>7676</v>
      </c>
      <c r="HGJ1" s="9" t="s">
        <v>7677</v>
      </c>
      <c r="HGK1" s="9" t="s">
        <v>7678</v>
      </c>
      <c r="HGL1" s="9" t="s">
        <v>7679</v>
      </c>
      <c r="HGM1" s="9" t="s">
        <v>7680</v>
      </c>
      <c r="HGN1" s="9" t="s">
        <v>7681</v>
      </c>
      <c r="HGO1" s="9" t="s">
        <v>7682</v>
      </c>
      <c r="HGP1" s="9" t="s">
        <v>7683</v>
      </c>
      <c r="HGQ1" s="9" t="s">
        <v>7684</v>
      </c>
      <c r="HGR1" s="9" t="s">
        <v>7685</v>
      </c>
      <c r="HGS1" s="9" t="s">
        <v>7686</v>
      </c>
      <c r="HGT1" s="9" t="s">
        <v>7687</v>
      </c>
      <c r="HGU1" s="9" t="s">
        <v>7688</v>
      </c>
      <c r="HGV1" s="9" t="s">
        <v>7689</v>
      </c>
      <c r="HGW1" s="9" t="s">
        <v>7690</v>
      </c>
      <c r="HGX1" s="9" t="s">
        <v>7691</v>
      </c>
      <c r="HGY1" s="9" t="s">
        <v>7692</v>
      </c>
      <c r="HGZ1" s="9" t="s">
        <v>7693</v>
      </c>
      <c r="HHA1" s="9" t="s">
        <v>7694</v>
      </c>
      <c r="HHB1" s="9" t="s">
        <v>7695</v>
      </c>
      <c r="HHC1" s="9" t="s">
        <v>7696</v>
      </c>
      <c r="HHD1" s="9" t="s">
        <v>7697</v>
      </c>
      <c r="HHE1" s="9" t="s">
        <v>7698</v>
      </c>
      <c r="HHF1" s="9" t="s">
        <v>7699</v>
      </c>
      <c r="HHG1" s="9" t="s">
        <v>7700</v>
      </c>
      <c r="HHH1" s="9" t="s">
        <v>7701</v>
      </c>
      <c r="HHI1" s="9" t="s">
        <v>7702</v>
      </c>
      <c r="HHJ1" s="9" t="s">
        <v>7703</v>
      </c>
      <c r="HHK1" s="9" t="s">
        <v>7704</v>
      </c>
      <c r="HHL1" s="9" t="s">
        <v>7705</v>
      </c>
      <c r="HHM1" s="9" t="s">
        <v>7706</v>
      </c>
      <c r="HHN1" s="9" t="s">
        <v>7707</v>
      </c>
      <c r="HHO1" s="9" t="s">
        <v>7708</v>
      </c>
      <c r="HHP1" s="9" t="s">
        <v>7709</v>
      </c>
      <c r="HHQ1" s="9" t="s">
        <v>7710</v>
      </c>
      <c r="HHR1" s="9" t="s">
        <v>7711</v>
      </c>
      <c r="HHS1" s="9" t="s">
        <v>7712</v>
      </c>
      <c r="HHT1" s="9" t="s">
        <v>7713</v>
      </c>
      <c r="HHU1" s="9" t="s">
        <v>7714</v>
      </c>
      <c r="HHV1" s="9" t="s">
        <v>7715</v>
      </c>
      <c r="HHW1" s="9" t="s">
        <v>7716</v>
      </c>
      <c r="HHX1" s="9" t="s">
        <v>7717</v>
      </c>
      <c r="HHY1" s="9" t="s">
        <v>7718</v>
      </c>
      <c r="HHZ1" s="9" t="s">
        <v>7719</v>
      </c>
      <c r="HIA1" s="9" t="s">
        <v>7720</v>
      </c>
      <c r="HIB1" s="9" t="s">
        <v>7721</v>
      </c>
      <c r="HIC1" s="9" t="s">
        <v>7722</v>
      </c>
      <c r="HID1" s="9" t="s">
        <v>7723</v>
      </c>
      <c r="HIE1" s="9" t="s">
        <v>7724</v>
      </c>
      <c r="HIF1" s="9" t="s">
        <v>7725</v>
      </c>
      <c r="HIG1" s="9" t="s">
        <v>7726</v>
      </c>
      <c r="HIH1" s="9" t="s">
        <v>7727</v>
      </c>
      <c r="HII1" s="9" t="s">
        <v>7728</v>
      </c>
      <c r="HIJ1" s="9" t="s">
        <v>7729</v>
      </c>
      <c r="HIK1" s="9" t="s">
        <v>7730</v>
      </c>
      <c r="HIL1" s="9" t="s">
        <v>7731</v>
      </c>
      <c r="HIM1" s="9" t="s">
        <v>7732</v>
      </c>
      <c r="HIN1" s="9" t="s">
        <v>7733</v>
      </c>
      <c r="HIO1" s="9" t="s">
        <v>7734</v>
      </c>
      <c r="HIP1" s="9" t="s">
        <v>7735</v>
      </c>
      <c r="HIQ1" s="9" t="s">
        <v>7736</v>
      </c>
      <c r="HIR1" s="9" t="s">
        <v>7737</v>
      </c>
      <c r="HIS1" s="9" t="s">
        <v>7738</v>
      </c>
      <c r="HIT1" s="9" t="s">
        <v>7739</v>
      </c>
      <c r="HIU1" s="9" t="s">
        <v>7740</v>
      </c>
      <c r="HIV1" s="9" t="s">
        <v>7741</v>
      </c>
      <c r="HIW1" s="9" t="s">
        <v>7742</v>
      </c>
      <c r="HIX1" s="9" t="s">
        <v>7743</v>
      </c>
      <c r="HIY1" s="9" t="s">
        <v>7744</v>
      </c>
      <c r="HIZ1" s="9" t="s">
        <v>7745</v>
      </c>
      <c r="HJA1" s="9" t="s">
        <v>7746</v>
      </c>
      <c r="HJB1" s="9" t="s">
        <v>7747</v>
      </c>
      <c r="HJC1" s="9" t="s">
        <v>7748</v>
      </c>
      <c r="HJD1" s="9" t="s">
        <v>7749</v>
      </c>
      <c r="HJE1" s="9" t="s">
        <v>7750</v>
      </c>
      <c r="HJF1" s="9" t="s">
        <v>7751</v>
      </c>
      <c r="HJG1" s="9" t="s">
        <v>7752</v>
      </c>
      <c r="HJH1" s="9" t="s">
        <v>7753</v>
      </c>
      <c r="HJI1" s="9" t="s">
        <v>7754</v>
      </c>
      <c r="HJJ1" s="9" t="s">
        <v>7755</v>
      </c>
      <c r="HJK1" s="9" t="s">
        <v>7756</v>
      </c>
      <c r="HJL1" s="9" t="s">
        <v>7757</v>
      </c>
      <c r="HJM1" s="9" t="s">
        <v>7758</v>
      </c>
      <c r="HJN1" s="9" t="s">
        <v>7759</v>
      </c>
      <c r="HJO1" s="9" t="s">
        <v>7760</v>
      </c>
      <c r="HJP1" s="9" t="s">
        <v>7761</v>
      </c>
      <c r="HJQ1" s="9" t="s">
        <v>7762</v>
      </c>
      <c r="HJR1" s="9" t="s">
        <v>7763</v>
      </c>
      <c r="HJS1" s="9" t="s">
        <v>7764</v>
      </c>
      <c r="HJT1" s="9" t="s">
        <v>7765</v>
      </c>
      <c r="HJU1" s="9" t="s">
        <v>7766</v>
      </c>
      <c r="HJV1" s="9" t="s">
        <v>7767</v>
      </c>
      <c r="HJW1" s="9" t="s">
        <v>7768</v>
      </c>
      <c r="HJX1" s="9" t="s">
        <v>7769</v>
      </c>
      <c r="HJY1" s="9" t="s">
        <v>7770</v>
      </c>
      <c r="HJZ1" s="9" t="s">
        <v>7771</v>
      </c>
      <c r="HKA1" s="9" t="s">
        <v>7772</v>
      </c>
      <c r="HKB1" s="9" t="s">
        <v>7773</v>
      </c>
      <c r="HKC1" s="9" t="s">
        <v>7774</v>
      </c>
      <c r="HKD1" s="9" t="s">
        <v>7775</v>
      </c>
      <c r="HKE1" s="9" t="s">
        <v>7776</v>
      </c>
      <c r="HKF1" s="9" t="s">
        <v>7777</v>
      </c>
      <c r="HKG1" s="9" t="s">
        <v>7778</v>
      </c>
      <c r="HKH1" s="9" t="s">
        <v>7779</v>
      </c>
      <c r="HKI1" s="9" t="s">
        <v>7780</v>
      </c>
      <c r="HKJ1" s="9" t="s">
        <v>7781</v>
      </c>
      <c r="HKK1" s="9" t="s">
        <v>7782</v>
      </c>
      <c r="HKL1" s="9" t="s">
        <v>7783</v>
      </c>
      <c r="HKM1" s="9" t="s">
        <v>7784</v>
      </c>
      <c r="HKN1" s="9" t="s">
        <v>7785</v>
      </c>
      <c r="HKO1" s="9" t="s">
        <v>7786</v>
      </c>
      <c r="HKP1" s="9" t="s">
        <v>7787</v>
      </c>
      <c r="HKQ1" s="9" t="s">
        <v>7788</v>
      </c>
      <c r="HKR1" s="9" t="s">
        <v>7789</v>
      </c>
      <c r="HKS1" s="9" t="s">
        <v>7790</v>
      </c>
      <c r="HKT1" s="9" t="s">
        <v>7791</v>
      </c>
      <c r="HKU1" s="9" t="s">
        <v>7792</v>
      </c>
      <c r="HKV1" s="9" t="s">
        <v>7793</v>
      </c>
      <c r="HKW1" s="9" t="s">
        <v>7794</v>
      </c>
      <c r="HKX1" s="9" t="s">
        <v>7795</v>
      </c>
      <c r="HKY1" s="9" t="s">
        <v>7796</v>
      </c>
      <c r="HKZ1" s="9" t="s">
        <v>7797</v>
      </c>
      <c r="HLA1" s="9" t="s">
        <v>7798</v>
      </c>
      <c r="HLB1" s="9" t="s">
        <v>7799</v>
      </c>
      <c r="HLC1" s="9" t="s">
        <v>7800</v>
      </c>
      <c r="HLD1" s="9" t="s">
        <v>7801</v>
      </c>
      <c r="HLE1" s="9" t="s">
        <v>7802</v>
      </c>
      <c r="HLF1" s="9" t="s">
        <v>7803</v>
      </c>
      <c r="HLG1" s="9" t="s">
        <v>7804</v>
      </c>
      <c r="HLH1" s="9" t="s">
        <v>7805</v>
      </c>
      <c r="HLI1" s="9" t="s">
        <v>7806</v>
      </c>
      <c r="HLJ1" s="9" t="s">
        <v>7807</v>
      </c>
      <c r="HLK1" s="9" t="s">
        <v>7808</v>
      </c>
      <c r="HLL1" s="9" t="s">
        <v>7809</v>
      </c>
      <c r="HLM1" s="9" t="s">
        <v>7810</v>
      </c>
      <c r="HLN1" s="9" t="s">
        <v>7811</v>
      </c>
      <c r="HLO1" s="9" t="s">
        <v>7812</v>
      </c>
      <c r="HLP1" s="9" t="s">
        <v>7813</v>
      </c>
      <c r="HLQ1" s="9" t="s">
        <v>7814</v>
      </c>
      <c r="HLR1" s="9" t="s">
        <v>7815</v>
      </c>
      <c r="HLS1" s="9" t="s">
        <v>7816</v>
      </c>
      <c r="HLT1" s="9" t="s">
        <v>7817</v>
      </c>
      <c r="HLU1" s="9" t="s">
        <v>7818</v>
      </c>
      <c r="HLV1" s="9" t="s">
        <v>7819</v>
      </c>
      <c r="HLW1" s="9" t="s">
        <v>7820</v>
      </c>
      <c r="HLX1" s="9" t="s">
        <v>7821</v>
      </c>
      <c r="HLY1" s="9" t="s">
        <v>7822</v>
      </c>
      <c r="HLZ1" s="9" t="s">
        <v>7823</v>
      </c>
      <c r="HMA1" s="9" t="s">
        <v>7824</v>
      </c>
      <c r="HMB1" s="9" t="s">
        <v>7825</v>
      </c>
      <c r="HMC1" s="9" t="s">
        <v>7826</v>
      </c>
      <c r="HMD1" s="9" t="s">
        <v>7827</v>
      </c>
      <c r="HME1" s="9" t="s">
        <v>7828</v>
      </c>
      <c r="HMF1" s="9" t="s">
        <v>7829</v>
      </c>
      <c r="HMG1" s="9" t="s">
        <v>7830</v>
      </c>
      <c r="HMH1" s="9" t="s">
        <v>7831</v>
      </c>
      <c r="HMI1" s="9" t="s">
        <v>7832</v>
      </c>
      <c r="HMJ1" s="9" t="s">
        <v>7833</v>
      </c>
      <c r="HMK1" s="9" t="s">
        <v>7834</v>
      </c>
      <c r="HML1" s="9" t="s">
        <v>7835</v>
      </c>
      <c r="HMM1" s="9" t="s">
        <v>7836</v>
      </c>
      <c r="HMN1" s="9" t="s">
        <v>7837</v>
      </c>
      <c r="HMO1" s="9" t="s">
        <v>7838</v>
      </c>
      <c r="HMP1" s="9" t="s">
        <v>7839</v>
      </c>
      <c r="HMQ1" s="9" t="s">
        <v>7840</v>
      </c>
      <c r="HMR1" s="9" t="s">
        <v>7841</v>
      </c>
      <c r="HMS1" s="9" t="s">
        <v>7842</v>
      </c>
      <c r="HMT1" s="9" t="s">
        <v>7843</v>
      </c>
      <c r="HMU1" s="9" t="s">
        <v>7844</v>
      </c>
      <c r="HMV1" s="9" t="s">
        <v>7845</v>
      </c>
      <c r="HMW1" s="9" t="s">
        <v>7846</v>
      </c>
      <c r="HMX1" s="9" t="s">
        <v>7847</v>
      </c>
      <c r="HMY1" s="9" t="s">
        <v>7848</v>
      </c>
      <c r="HMZ1" s="9" t="s">
        <v>7849</v>
      </c>
      <c r="HNA1" s="9" t="s">
        <v>7850</v>
      </c>
      <c r="HNB1" s="9" t="s">
        <v>7851</v>
      </c>
      <c r="HNC1" s="9" t="s">
        <v>7852</v>
      </c>
      <c r="HND1" s="9" t="s">
        <v>7853</v>
      </c>
      <c r="HNE1" s="9" t="s">
        <v>7854</v>
      </c>
      <c r="HNF1" s="9" t="s">
        <v>7855</v>
      </c>
      <c r="HNG1" s="9" t="s">
        <v>7856</v>
      </c>
      <c r="HNH1" s="9" t="s">
        <v>7857</v>
      </c>
      <c r="HNI1" s="9" t="s">
        <v>7858</v>
      </c>
      <c r="HNJ1" s="9" t="s">
        <v>7859</v>
      </c>
      <c r="HNK1" s="9" t="s">
        <v>7860</v>
      </c>
      <c r="HNL1" s="9" t="s">
        <v>7861</v>
      </c>
      <c r="HNM1" s="9" t="s">
        <v>7862</v>
      </c>
      <c r="HNN1" s="9" t="s">
        <v>7863</v>
      </c>
      <c r="HNO1" s="9" t="s">
        <v>7864</v>
      </c>
      <c r="HNP1" s="9" t="s">
        <v>7865</v>
      </c>
      <c r="HNQ1" s="9" t="s">
        <v>7866</v>
      </c>
      <c r="HNR1" s="9" t="s">
        <v>7867</v>
      </c>
      <c r="HNS1" s="9" t="s">
        <v>7868</v>
      </c>
      <c r="HNT1" s="9" t="s">
        <v>7869</v>
      </c>
      <c r="HNU1" s="9" t="s">
        <v>7870</v>
      </c>
      <c r="HNV1" s="9" t="s">
        <v>7871</v>
      </c>
      <c r="HNW1" s="9" t="s">
        <v>7872</v>
      </c>
      <c r="HNX1" s="9" t="s">
        <v>7873</v>
      </c>
      <c r="HNY1" s="9" t="s">
        <v>7874</v>
      </c>
      <c r="HNZ1" s="9" t="s">
        <v>7875</v>
      </c>
      <c r="HOA1" s="9" t="s">
        <v>7876</v>
      </c>
      <c r="HOB1" s="9" t="s">
        <v>7877</v>
      </c>
      <c r="HOC1" s="9" t="s">
        <v>7878</v>
      </c>
      <c r="HOD1" s="9" t="s">
        <v>7879</v>
      </c>
      <c r="HOE1" s="9" t="s">
        <v>7880</v>
      </c>
      <c r="HOF1" s="9" t="s">
        <v>7881</v>
      </c>
      <c r="HOG1" s="9" t="s">
        <v>7882</v>
      </c>
      <c r="HOH1" s="9" t="s">
        <v>7883</v>
      </c>
      <c r="HOI1" s="9" t="s">
        <v>7884</v>
      </c>
      <c r="HOJ1" s="9" t="s">
        <v>7885</v>
      </c>
      <c r="HOK1" s="9" t="s">
        <v>7886</v>
      </c>
      <c r="HOL1" s="9" t="s">
        <v>7887</v>
      </c>
      <c r="HOM1" s="9" t="s">
        <v>7888</v>
      </c>
      <c r="HON1" s="9" t="s">
        <v>7889</v>
      </c>
      <c r="HOO1" s="9" t="s">
        <v>7890</v>
      </c>
      <c r="HOP1" s="9" t="s">
        <v>7891</v>
      </c>
      <c r="HOQ1" s="9" t="s">
        <v>7892</v>
      </c>
      <c r="HOR1" s="9" t="s">
        <v>7893</v>
      </c>
      <c r="HOS1" s="9" t="s">
        <v>7894</v>
      </c>
      <c r="HOT1" s="9" t="s">
        <v>7895</v>
      </c>
      <c r="HOU1" s="9" t="s">
        <v>7896</v>
      </c>
      <c r="HOV1" s="9" t="s">
        <v>7897</v>
      </c>
      <c r="HOW1" s="9" t="s">
        <v>7898</v>
      </c>
      <c r="HOX1" s="9" t="s">
        <v>7899</v>
      </c>
      <c r="HOY1" s="9" t="s">
        <v>7900</v>
      </c>
      <c r="HOZ1" s="9" t="s">
        <v>7901</v>
      </c>
      <c r="HPA1" s="9" t="s">
        <v>7902</v>
      </c>
      <c r="HPB1" s="9" t="s">
        <v>7903</v>
      </c>
      <c r="HPC1" s="9" t="s">
        <v>7904</v>
      </c>
      <c r="HPD1" s="9" t="s">
        <v>7905</v>
      </c>
      <c r="HPE1" s="9" t="s">
        <v>7906</v>
      </c>
      <c r="HPF1" s="9" t="s">
        <v>7907</v>
      </c>
      <c r="HPG1" s="9" t="s">
        <v>7908</v>
      </c>
      <c r="HPH1" s="9" t="s">
        <v>7909</v>
      </c>
      <c r="HPI1" s="9" t="s">
        <v>7910</v>
      </c>
      <c r="HPJ1" s="9" t="s">
        <v>7911</v>
      </c>
      <c r="HPK1" s="9" t="s">
        <v>7912</v>
      </c>
      <c r="HPL1" s="9" t="s">
        <v>7913</v>
      </c>
      <c r="HPM1" s="9" t="s">
        <v>7914</v>
      </c>
      <c r="HPN1" s="9" t="s">
        <v>7915</v>
      </c>
      <c r="HPO1" s="9" t="s">
        <v>7916</v>
      </c>
      <c r="HPP1" s="9" t="s">
        <v>7917</v>
      </c>
      <c r="HPQ1" s="9" t="s">
        <v>7918</v>
      </c>
      <c r="HPR1" s="9" t="s">
        <v>7919</v>
      </c>
      <c r="HPS1" s="9" t="s">
        <v>7920</v>
      </c>
      <c r="HPT1" s="9" t="s">
        <v>7921</v>
      </c>
      <c r="HPU1" s="9" t="s">
        <v>7922</v>
      </c>
      <c r="HPV1" s="9" t="s">
        <v>7923</v>
      </c>
      <c r="HPW1" s="9" t="s">
        <v>7924</v>
      </c>
      <c r="HPX1" s="9" t="s">
        <v>7925</v>
      </c>
      <c r="HPY1" s="9" t="s">
        <v>7926</v>
      </c>
      <c r="HPZ1" s="9" t="s">
        <v>7927</v>
      </c>
      <c r="HQA1" s="9" t="s">
        <v>7928</v>
      </c>
      <c r="HQB1" s="9" t="s">
        <v>7929</v>
      </c>
      <c r="HQC1" s="9" t="s">
        <v>7930</v>
      </c>
      <c r="HQD1" s="9" t="s">
        <v>7931</v>
      </c>
      <c r="HQE1" s="9" t="s">
        <v>7932</v>
      </c>
      <c r="HQF1" s="9" t="s">
        <v>7933</v>
      </c>
      <c r="HQG1" s="9" t="s">
        <v>7934</v>
      </c>
      <c r="HQH1" s="9" t="s">
        <v>7935</v>
      </c>
      <c r="HQI1" s="9" t="s">
        <v>7936</v>
      </c>
      <c r="HQJ1" s="9" t="s">
        <v>7937</v>
      </c>
      <c r="HQK1" s="9" t="s">
        <v>7938</v>
      </c>
      <c r="HQL1" s="9" t="s">
        <v>7939</v>
      </c>
      <c r="HQM1" s="9" t="s">
        <v>7940</v>
      </c>
      <c r="HQN1" s="9" t="s">
        <v>7941</v>
      </c>
      <c r="HQO1" s="9" t="s">
        <v>7942</v>
      </c>
      <c r="HQP1" s="9" t="s">
        <v>7943</v>
      </c>
      <c r="HQQ1" s="9" t="s">
        <v>7944</v>
      </c>
      <c r="HQR1" s="9" t="s">
        <v>7945</v>
      </c>
      <c r="HQS1" s="9" t="s">
        <v>7946</v>
      </c>
      <c r="HQT1" s="9" t="s">
        <v>7947</v>
      </c>
      <c r="HQU1" s="9" t="s">
        <v>7948</v>
      </c>
      <c r="HQV1" s="9" t="s">
        <v>7949</v>
      </c>
      <c r="HQW1" s="9" t="s">
        <v>7950</v>
      </c>
      <c r="HQX1" s="9" t="s">
        <v>7951</v>
      </c>
      <c r="HQY1" s="9" t="s">
        <v>7952</v>
      </c>
      <c r="HQZ1" s="9" t="s">
        <v>7953</v>
      </c>
      <c r="HRA1" s="9" t="s">
        <v>7954</v>
      </c>
      <c r="HRB1" s="9" t="s">
        <v>7955</v>
      </c>
      <c r="HRC1" s="9" t="s">
        <v>7956</v>
      </c>
      <c r="HRD1" s="9" t="s">
        <v>7957</v>
      </c>
      <c r="HRE1" s="9" t="s">
        <v>7958</v>
      </c>
      <c r="HRF1" s="9" t="s">
        <v>7959</v>
      </c>
      <c r="HRG1" s="9" t="s">
        <v>7960</v>
      </c>
      <c r="HRH1" s="9" t="s">
        <v>7961</v>
      </c>
      <c r="HRI1" s="9" t="s">
        <v>7962</v>
      </c>
      <c r="HRJ1" s="9" t="s">
        <v>7963</v>
      </c>
      <c r="HRK1" s="9" t="s">
        <v>7964</v>
      </c>
      <c r="HRL1" s="9" t="s">
        <v>7965</v>
      </c>
      <c r="HRM1" s="9" t="s">
        <v>7966</v>
      </c>
      <c r="HRN1" s="9" t="s">
        <v>7967</v>
      </c>
      <c r="HRO1" s="9" t="s">
        <v>7968</v>
      </c>
      <c r="HRP1" s="9" t="s">
        <v>7969</v>
      </c>
      <c r="HRQ1" s="9" t="s">
        <v>7970</v>
      </c>
      <c r="HRR1" s="9" t="s">
        <v>7971</v>
      </c>
      <c r="HRS1" s="9" t="s">
        <v>7972</v>
      </c>
      <c r="HRT1" s="9" t="s">
        <v>7973</v>
      </c>
      <c r="HRU1" s="9" t="s">
        <v>7974</v>
      </c>
      <c r="HRV1" s="9" t="s">
        <v>7975</v>
      </c>
      <c r="HRW1" s="9" t="s">
        <v>7976</v>
      </c>
      <c r="HRX1" s="9" t="s">
        <v>7977</v>
      </c>
      <c r="HRY1" s="9" t="s">
        <v>7978</v>
      </c>
      <c r="HRZ1" s="9" t="s">
        <v>7979</v>
      </c>
      <c r="HSA1" s="9" t="s">
        <v>7980</v>
      </c>
      <c r="HSB1" s="9" t="s">
        <v>7981</v>
      </c>
      <c r="HSC1" s="9" t="s">
        <v>7982</v>
      </c>
      <c r="HSD1" s="9" t="s">
        <v>7983</v>
      </c>
      <c r="HSE1" s="9" t="s">
        <v>7984</v>
      </c>
      <c r="HSF1" s="9" t="s">
        <v>7985</v>
      </c>
      <c r="HSG1" s="9" t="s">
        <v>7986</v>
      </c>
      <c r="HSH1" s="9" t="s">
        <v>7987</v>
      </c>
      <c r="HSI1" s="9" t="s">
        <v>7988</v>
      </c>
      <c r="HSJ1" s="9" t="s">
        <v>7989</v>
      </c>
      <c r="HSK1" s="9" t="s">
        <v>7990</v>
      </c>
      <c r="HSL1" s="9" t="s">
        <v>7991</v>
      </c>
      <c r="HSM1" s="9" t="s">
        <v>7992</v>
      </c>
      <c r="HSN1" s="9" t="s">
        <v>7993</v>
      </c>
      <c r="HSO1" s="9" t="s">
        <v>7994</v>
      </c>
      <c r="HSP1" s="9" t="s">
        <v>7995</v>
      </c>
      <c r="HSQ1" s="9" t="s">
        <v>7996</v>
      </c>
      <c r="HSR1" s="9" t="s">
        <v>7997</v>
      </c>
      <c r="HSS1" s="9" t="s">
        <v>7998</v>
      </c>
      <c r="HST1" s="9" t="s">
        <v>7999</v>
      </c>
      <c r="HSU1" s="9" t="s">
        <v>8000</v>
      </c>
      <c r="HSV1" s="9" t="s">
        <v>8001</v>
      </c>
      <c r="HSW1" s="9" t="s">
        <v>8002</v>
      </c>
      <c r="HSX1" s="9" t="s">
        <v>8003</v>
      </c>
      <c r="HSY1" s="9" t="s">
        <v>8004</v>
      </c>
      <c r="HSZ1" s="9" t="s">
        <v>8005</v>
      </c>
      <c r="HTA1" s="9" t="s">
        <v>8006</v>
      </c>
      <c r="HTB1" s="9" t="s">
        <v>8007</v>
      </c>
      <c r="HTC1" s="9" t="s">
        <v>8008</v>
      </c>
      <c r="HTD1" s="9" t="s">
        <v>8009</v>
      </c>
      <c r="HTE1" s="9" t="s">
        <v>8010</v>
      </c>
      <c r="HTF1" s="9" t="s">
        <v>8011</v>
      </c>
      <c r="HTG1" s="9" t="s">
        <v>8012</v>
      </c>
      <c r="HTH1" s="9" t="s">
        <v>8013</v>
      </c>
      <c r="HTI1" s="9" t="s">
        <v>8014</v>
      </c>
      <c r="HTJ1" s="9" t="s">
        <v>8015</v>
      </c>
      <c r="HTK1" s="9" t="s">
        <v>8016</v>
      </c>
      <c r="HTL1" s="9" t="s">
        <v>8017</v>
      </c>
      <c r="HTM1" s="9" t="s">
        <v>8018</v>
      </c>
      <c r="HTN1" s="9" t="s">
        <v>8019</v>
      </c>
      <c r="HTO1" s="9" t="s">
        <v>8020</v>
      </c>
      <c r="HTP1" s="9" t="s">
        <v>8021</v>
      </c>
      <c r="HTQ1" s="9" t="s">
        <v>8022</v>
      </c>
      <c r="HTR1" s="9" t="s">
        <v>8023</v>
      </c>
      <c r="HTS1" s="9" t="s">
        <v>8024</v>
      </c>
      <c r="HTT1" s="9" t="s">
        <v>8025</v>
      </c>
      <c r="HTU1" s="9" t="s">
        <v>8026</v>
      </c>
      <c r="HTV1" s="9" t="s">
        <v>8027</v>
      </c>
      <c r="HTW1" s="9" t="s">
        <v>8028</v>
      </c>
      <c r="HTX1" s="9" t="s">
        <v>8029</v>
      </c>
      <c r="HTY1" s="9" t="s">
        <v>8030</v>
      </c>
      <c r="HTZ1" s="9" t="s">
        <v>8031</v>
      </c>
      <c r="HUA1" s="9" t="s">
        <v>8032</v>
      </c>
      <c r="HUB1" s="9" t="s">
        <v>8033</v>
      </c>
      <c r="HUC1" s="9" t="s">
        <v>8034</v>
      </c>
      <c r="HUD1" s="9" t="s">
        <v>8035</v>
      </c>
      <c r="HUE1" s="9" t="s">
        <v>8036</v>
      </c>
      <c r="HUF1" s="9" t="s">
        <v>8037</v>
      </c>
      <c r="HUG1" s="9" t="s">
        <v>8038</v>
      </c>
      <c r="HUH1" s="9" t="s">
        <v>8039</v>
      </c>
      <c r="HUI1" s="9" t="s">
        <v>8040</v>
      </c>
      <c r="HUJ1" s="9" t="s">
        <v>8041</v>
      </c>
      <c r="HUK1" s="9" t="s">
        <v>8042</v>
      </c>
      <c r="HUL1" s="9" t="s">
        <v>8043</v>
      </c>
      <c r="HUM1" s="9" t="s">
        <v>8044</v>
      </c>
      <c r="HUN1" s="9" t="s">
        <v>8045</v>
      </c>
      <c r="HUO1" s="9" t="s">
        <v>8046</v>
      </c>
      <c r="HUP1" s="9" t="s">
        <v>8047</v>
      </c>
      <c r="HUQ1" s="9" t="s">
        <v>8048</v>
      </c>
      <c r="HUR1" s="9" t="s">
        <v>8049</v>
      </c>
      <c r="HUS1" s="9" t="s">
        <v>8050</v>
      </c>
      <c r="HUT1" s="9" t="s">
        <v>8051</v>
      </c>
      <c r="HUU1" s="9" t="s">
        <v>8052</v>
      </c>
      <c r="HUV1" s="9" t="s">
        <v>8053</v>
      </c>
      <c r="HUW1" s="9" t="s">
        <v>8054</v>
      </c>
      <c r="HUX1" s="9" t="s">
        <v>8055</v>
      </c>
      <c r="HUY1" s="9" t="s">
        <v>8056</v>
      </c>
      <c r="HUZ1" s="9" t="s">
        <v>8057</v>
      </c>
      <c r="HVA1" s="9" t="s">
        <v>8058</v>
      </c>
      <c r="HVB1" s="9" t="s">
        <v>8059</v>
      </c>
      <c r="HVC1" s="9" t="s">
        <v>8060</v>
      </c>
      <c r="HVD1" s="9" t="s">
        <v>8061</v>
      </c>
      <c r="HVE1" s="9" t="s">
        <v>8062</v>
      </c>
      <c r="HVF1" s="9" t="s">
        <v>8063</v>
      </c>
      <c r="HVG1" s="9" t="s">
        <v>8064</v>
      </c>
      <c r="HVH1" s="9" t="s">
        <v>8065</v>
      </c>
      <c r="HVI1" s="9" t="s">
        <v>8066</v>
      </c>
      <c r="HVJ1" s="9" t="s">
        <v>8067</v>
      </c>
      <c r="HVK1" s="9" t="s">
        <v>8068</v>
      </c>
      <c r="HVL1" s="9" t="s">
        <v>8069</v>
      </c>
      <c r="HVM1" s="9" t="s">
        <v>8070</v>
      </c>
      <c r="HVN1" s="9" t="s">
        <v>8071</v>
      </c>
      <c r="HVO1" s="9" t="s">
        <v>8072</v>
      </c>
      <c r="HVP1" s="9" t="s">
        <v>8073</v>
      </c>
      <c r="HVQ1" s="9" t="s">
        <v>8074</v>
      </c>
      <c r="HVR1" s="9" t="s">
        <v>8075</v>
      </c>
      <c r="HVS1" s="9" t="s">
        <v>8076</v>
      </c>
      <c r="HVT1" s="9" t="s">
        <v>8077</v>
      </c>
      <c r="HVU1" s="9" t="s">
        <v>8078</v>
      </c>
      <c r="HVV1" s="9" t="s">
        <v>8079</v>
      </c>
      <c r="HVW1" s="9" t="s">
        <v>8080</v>
      </c>
      <c r="HVX1" s="9" t="s">
        <v>8081</v>
      </c>
      <c r="HVY1" s="9" t="s">
        <v>8082</v>
      </c>
      <c r="HVZ1" s="9" t="s">
        <v>8083</v>
      </c>
      <c r="HWA1" s="9" t="s">
        <v>8084</v>
      </c>
      <c r="HWB1" s="9" t="s">
        <v>8085</v>
      </c>
      <c r="HWC1" s="9" t="s">
        <v>8086</v>
      </c>
      <c r="HWD1" s="9" t="s">
        <v>8087</v>
      </c>
      <c r="HWE1" s="9" t="s">
        <v>8088</v>
      </c>
      <c r="HWF1" s="9" t="s">
        <v>8089</v>
      </c>
      <c r="HWG1" s="9" t="s">
        <v>8090</v>
      </c>
      <c r="HWH1" s="9" t="s">
        <v>8091</v>
      </c>
      <c r="HWI1" s="9" t="s">
        <v>8092</v>
      </c>
      <c r="HWJ1" s="9" t="s">
        <v>8093</v>
      </c>
      <c r="HWK1" s="9" t="s">
        <v>8094</v>
      </c>
      <c r="HWL1" s="9" t="s">
        <v>8095</v>
      </c>
      <c r="HWM1" s="9" t="s">
        <v>8096</v>
      </c>
      <c r="HWN1" s="9" t="s">
        <v>8097</v>
      </c>
      <c r="HWO1" s="9" t="s">
        <v>8098</v>
      </c>
      <c r="HWP1" s="9" t="s">
        <v>8099</v>
      </c>
      <c r="HWQ1" s="9" t="s">
        <v>8100</v>
      </c>
      <c r="HWR1" s="9" t="s">
        <v>8101</v>
      </c>
      <c r="HWS1" s="9" t="s">
        <v>8102</v>
      </c>
      <c r="HWT1" s="9" t="s">
        <v>8103</v>
      </c>
      <c r="HWU1" s="9" t="s">
        <v>8104</v>
      </c>
      <c r="HWV1" s="9" t="s">
        <v>8105</v>
      </c>
      <c r="HWW1" s="9" t="s">
        <v>8106</v>
      </c>
      <c r="HWX1" s="9" t="s">
        <v>8107</v>
      </c>
      <c r="HWY1" s="9" t="s">
        <v>8108</v>
      </c>
      <c r="HWZ1" s="9" t="s">
        <v>8109</v>
      </c>
      <c r="HXA1" s="9" t="s">
        <v>8110</v>
      </c>
      <c r="HXB1" s="9" t="s">
        <v>8111</v>
      </c>
      <c r="HXC1" s="9" t="s">
        <v>8112</v>
      </c>
      <c r="HXD1" s="9" t="s">
        <v>8113</v>
      </c>
      <c r="HXE1" s="9" t="s">
        <v>8114</v>
      </c>
      <c r="HXF1" s="9" t="s">
        <v>8115</v>
      </c>
      <c r="HXG1" s="9" t="s">
        <v>8116</v>
      </c>
      <c r="HXH1" s="9" t="s">
        <v>8117</v>
      </c>
      <c r="HXI1" s="9" t="s">
        <v>8118</v>
      </c>
      <c r="HXJ1" s="9" t="s">
        <v>8119</v>
      </c>
      <c r="HXK1" s="9" t="s">
        <v>8120</v>
      </c>
      <c r="HXL1" s="9" t="s">
        <v>8121</v>
      </c>
      <c r="HXM1" s="9" t="s">
        <v>8122</v>
      </c>
      <c r="HXN1" s="9" t="s">
        <v>8123</v>
      </c>
      <c r="HXO1" s="9" t="s">
        <v>8124</v>
      </c>
      <c r="HXP1" s="9" t="s">
        <v>8125</v>
      </c>
      <c r="HXQ1" s="9" t="s">
        <v>8126</v>
      </c>
      <c r="HXR1" s="9" t="s">
        <v>8127</v>
      </c>
      <c r="HXS1" s="9" t="s">
        <v>8128</v>
      </c>
      <c r="HXT1" s="9" t="s">
        <v>8129</v>
      </c>
      <c r="HXU1" s="9" t="s">
        <v>8130</v>
      </c>
      <c r="HXV1" s="9" t="s">
        <v>8131</v>
      </c>
      <c r="HXW1" s="9" t="s">
        <v>8132</v>
      </c>
      <c r="HXX1" s="9" t="s">
        <v>8133</v>
      </c>
      <c r="HXY1" s="9" t="s">
        <v>8134</v>
      </c>
      <c r="HXZ1" s="9" t="s">
        <v>8135</v>
      </c>
      <c r="HYA1" s="9" t="s">
        <v>8136</v>
      </c>
      <c r="HYB1" s="9" t="s">
        <v>8137</v>
      </c>
      <c r="HYC1" s="9" t="s">
        <v>8138</v>
      </c>
      <c r="HYD1" s="9" t="s">
        <v>8139</v>
      </c>
      <c r="HYE1" s="9" t="s">
        <v>8140</v>
      </c>
      <c r="HYF1" s="9" t="s">
        <v>8141</v>
      </c>
      <c r="HYG1" s="9" t="s">
        <v>8142</v>
      </c>
      <c r="HYH1" s="9" t="s">
        <v>8143</v>
      </c>
      <c r="HYI1" s="9" t="s">
        <v>8144</v>
      </c>
      <c r="HYJ1" s="9" t="s">
        <v>8145</v>
      </c>
      <c r="HYK1" s="9" t="s">
        <v>8146</v>
      </c>
      <c r="HYL1" s="9" t="s">
        <v>8147</v>
      </c>
      <c r="HYM1" s="9" t="s">
        <v>8148</v>
      </c>
      <c r="HYN1" s="9" t="s">
        <v>8149</v>
      </c>
      <c r="HYO1" s="9" t="s">
        <v>8150</v>
      </c>
      <c r="HYP1" s="9" t="s">
        <v>8151</v>
      </c>
      <c r="HYQ1" s="9" t="s">
        <v>8152</v>
      </c>
      <c r="HYR1" s="9" t="s">
        <v>8153</v>
      </c>
      <c r="HYS1" s="9" t="s">
        <v>8154</v>
      </c>
      <c r="HYT1" s="9" t="s">
        <v>8155</v>
      </c>
      <c r="HYU1" s="9" t="s">
        <v>8156</v>
      </c>
      <c r="HYV1" s="9" t="s">
        <v>8157</v>
      </c>
      <c r="HYW1" s="9" t="s">
        <v>8158</v>
      </c>
      <c r="HYX1" s="9" t="s">
        <v>8159</v>
      </c>
      <c r="HYY1" s="9" t="s">
        <v>8160</v>
      </c>
      <c r="HYZ1" s="9" t="s">
        <v>8161</v>
      </c>
      <c r="HZA1" s="9" t="s">
        <v>8162</v>
      </c>
      <c r="HZB1" s="9" t="s">
        <v>8163</v>
      </c>
      <c r="HZC1" s="9" t="s">
        <v>8164</v>
      </c>
      <c r="HZD1" s="9" t="s">
        <v>8165</v>
      </c>
      <c r="HZE1" s="9" t="s">
        <v>8166</v>
      </c>
      <c r="HZF1" s="9" t="s">
        <v>8167</v>
      </c>
      <c r="HZG1" s="9" t="s">
        <v>8168</v>
      </c>
      <c r="HZH1" s="9" t="s">
        <v>8169</v>
      </c>
      <c r="HZI1" s="9" t="s">
        <v>8170</v>
      </c>
      <c r="HZJ1" s="9" t="s">
        <v>8171</v>
      </c>
      <c r="HZK1" s="9" t="s">
        <v>8172</v>
      </c>
      <c r="HZL1" s="9" t="s">
        <v>8173</v>
      </c>
      <c r="HZM1" s="9" t="s">
        <v>8174</v>
      </c>
      <c r="HZN1" s="9" t="s">
        <v>8175</v>
      </c>
      <c r="HZO1" s="9" t="s">
        <v>8176</v>
      </c>
      <c r="HZP1" s="9" t="s">
        <v>8177</v>
      </c>
      <c r="HZQ1" s="9" t="s">
        <v>8178</v>
      </c>
      <c r="HZR1" s="9" t="s">
        <v>8179</v>
      </c>
      <c r="HZS1" s="9" t="s">
        <v>8180</v>
      </c>
      <c r="HZT1" s="9" t="s">
        <v>8181</v>
      </c>
      <c r="HZU1" s="9" t="s">
        <v>8182</v>
      </c>
      <c r="HZV1" s="9" t="s">
        <v>8183</v>
      </c>
      <c r="HZW1" s="9" t="s">
        <v>8184</v>
      </c>
      <c r="HZX1" s="9" t="s">
        <v>8185</v>
      </c>
      <c r="HZY1" s="9" t="s">
        <v>8186</v>
      </c>
      <c r="HZZ1" s="9" t="s">
        <v>8187</v>
      </c>
      <c r="IAA1" s="9" t="s">
        <v>8188</v>
      </c>
      <c r="IAB1" s="9" t="s">
        <v>8189</v>
      </c>
      <c r="IAC1" s="9" t="s">
        <v>8190</v>
      </c>
      <c r="IAD1" s="9" t="s">
        <v>8191</v>
      </c>
      <c r="IAE1" s="9" t="s">
        <v>8192</v>
      </c>
      <c r="IAF1" s="9" t="s">
        <v>8193</v>
      </c>
      <c r="IAG1" s="9" t="s">
        <v>8194</v>
      </c>
      <c r="IAH1" s="9" t="s">
        <v>8195</v>
      </c>
      <c r="IAI1" s="9" t="s">
        <v>8196</v>
      </c>
      <c r="IAJ1" s="9" t="s">
        <v>8197</v>
      </c>
      <c r="IAK1" s="9" t="s">
        <v>8198</v>
      </c>
      <c r="IAL1" s="9" t="s">
        <v>8199</v>
      </c>
      <c r="IAM1" s="9" t="s">
        <v>8200</v>
      </c>
      <c r="IAN1" s="9" t="s">
        <v>8201</v>
      </c>
      <c r="IAO1" s="9" t="s">
        <v>8202</v>
      </c>
      <c r="IAP1" s="9" t="s">
        <v>8203</v>
      </c>
      <c r="IAQ1" s="9" t="s">
        <v>8204</v>
      </c>
      <c r="IAR1" s="9" t="s">
        <v>8205</v>
      </c>
      <c r="IAS1" s="9" t="s">
        <v>8206</v>
      </c>
      <c r="IAT1" s="9" t="s">
        <v>8207</v>
      </c>
      <c r="IAU1" s="9" t="s">
        <v>8208</v>
      </c>
      <c r="IAV1" s="9" t="s">
        <v>8209</v>
      </c>
      <c r="IAW1" s="9" t="s">
        <v>8210</v>
      </c>
      <c r="IAX1" s="9" t="s">
        <v>8211</v>
      </c>
      <c r="IAY1" s="9" t="s">
        <v>8212</v>
      </c>
      <c r="IAZ1" s="9" t="s">
        <v>8213</v>
      </c>
      <c r="IBA1" s="9" t="s">
        <v>8214</v>
      </c>
      <c r="IBB1" s="9" t="s">
        <v>8215</v>
      </c>
      <c r="IBC1" s="9" t="s">
        <v>8216</v>
      </c>
      <c r="IBD1" s="9" t="s">
        <v>8217</v>
      </c>
      <c r="IBE1" s="9" t="s">
        <v>8218</v>
      </c>
      <c r="IBF1" s="9" t="s">
        <v>8219</v>
      </c>
      <c r="IBG1" s="9" t="s">
        <v>8220</v>
      </c>
      <c r="IBH1" s="9" t="s">
        <v>8221</v>
      </c>
      <c r="IBI1" s="9" t="s">
        <v>8222</v>
      </c>
      <c r="IBJ1" s="9" t="s">
        <v>8223</v>
      </c>
      <c r="IBK1" s="9" t="s">
        <v>8224</v>
      </c>
      <c r="IBL1" s="9" t="s">
        <v>8225</v>
      </c>
      <c r="IBM1" s="9" t="s">
        <v>8226</v>
      </c>
      <c r="IBN1" s="9" t="s">
        <v>8227</v>
      </c>
      <c r="IBO1" s="9" t="s">
        <v>8228</v>
      </c>
      <c r="IBP1" s="9" t="s">
        <v>8229</v>
      </c>
      <c r="IBQ1" s="9" t="s">
        <v>8230</v>
      </c>
      <c r="IBR1" s="9" t="s">
        <v>8231</v>
      </c>
      <c r="IBS1" s="9" t="s">
        <v>8232</v>
      </c>
      <c r="IBT1" s="9" t="s">
        <v>8233</v>
      </c>
      <c r="IBU1" s="9" t="s">
        <v>8234</v>
      </c>
      <c r="IBV1" s="9" t="s">
        <v>8235</v>
      </c>
      <c r="IBW1" s="9" t="s">
        <v>8236</v>
      </c>
      <c r="IBX1" s="9" t="s">
        <v>8237</v>
      </c>
      <c r="IBY1" s="9" t="s">
        <v>8238</v>
      </c>
      <c r="IBZ1" s="9" t="s">
        <v>8239</v>
      </c>
      <c r="ICA1" s="9" t="s">
        <v>8240</v>
      </c>
      <c r="ICB1" s="9" t="s">
        <v>8241</v>
      </c>
      <c r="ICC1" s="9" t="s">
        <v>8242</v>
      </c>
      <c r="ICD1" s="9" t="s">
        <v>8243</v>
      </c>
      <c r="ICE1" s="9" t="s">
        <v>8244</v>
      </c>
      <c r="ICF1" s="9" t="s">
        <v>8245</v>
      </c>
      <c r="ICG1" s="9" t="s">
        <v>8246</v>
      </c>
      <c r="ICH1" s="9" t="s">
        <v>8247</v>
      </c>
      <c r="ICI1" s="9" t="s">
        <v>8248</v>
      </c>
      <c r="ICJ1" s="9" t="s">
        <v>8249</v>
      </c>
      <c r="ICK1" s="9" t="s">
        <v>8250</v>
      </c>
      <c r="ICL1" s="9" t="s">
        <v>8251</v>
      </c>
      <c r="ICM1" s="9" t="s">
        <v>8252</v>
      </c>
      <c r="ICN1" s="9" t="s">
        <v>8253</v>
      </c>
      <c r="ICO1" s="9" t="s">
        <v>8254</v>
      </c>
      <c r="ICP1" s="9" t="s">
        <v>8255</v>
      </c>
      <c r="ICQ1" s="9" t="s">
        <v>8256</v>
      </c>
      <c r="ICR1" s="9" t="s">
        <v>8257</v>
      </c>
      <c r="ICS1" s="9" t="s">
        <v>8258</v>
      </c>
      <c r="ICT1" s="9" t="s">
        <v>8259</v>
      </c>
      <c r="ICU1" s="9" t="s">
        <v>8260</v>
      </c>
      <c r="ICV1" s="9" t="s">
        <v>8261</v>
      </c>
      <c r="ICW1" s="9" t="s">
        <v>8262</v>
      </c>
      <c r="ICX1" s="9" t="s">
        <v>8263</v>
      </c>
      <c r="ICY1" s="9" t="s">
        <v>8264</v>
      </c>
      <c r="ICZ1" s="9" t="s">
        <v>8265</v>
      </c>
      <c r="IDA1" s="9" t="s">
        <v>8266</v>
      </c>
      <c r="IDB1" s="9" t="s">
        <v>8267</v>
      </c>
      <c r="IDC1" s="9" t="s">
        <v>8268</v>
      </c>
      <c r="IDD1" s="9" t="s">
        <v>8269</v>
      </c>
      <c r="IDE1" s="9" t="s">
        <v>8270</v>
      </c>
      <c r="IDF1" s="9" t="s">
        <v>8271</v>
      </c>
      <c r="IDG1" s="9" t="s">
        <v>8272</v>
      </c>
      <c r="IDH1" s="9" t="s">
        <v>8273</v>
      </c>
      <c r="IDI1" s="9" t="s">
        <v>8274</v>
      </c>
      <c r="IDJ1" s="9" t="s">
        <v>8275</v>
      </c>
      <c r="IDK1" s="9" t="s">
        <v>8276</v>
      </c>
      <c r="IDL1" s="9" t="s">
        <v>8277</v>
      </c>
      <c r="IDM1" s="9" t="s">
        <v>8278</v>
      </c>
      <c r="IDN1" s="9" t="s">
        <v>8279</v>
      </c>
      <c r="IDO1" s="9" t="s">
        <v>8280</v>
      </c>
      <c r="IDP1" s="9" t="s">
        <v>8281</v>
      </c>
      <c r="IDQ1" s="9" t="s">
        <v>8282</v>
      </c>
      <c r="IDR1" s="9" t="s">
        <v>8283</v>
      </c>
      <c r="IDS1" s="9" t="s">
        <v>8284</v>
      </c>
      <c r="IDT1" s="9" t="s">
        <v>8285</v>
      </c>
      <c r="IDU1" s="9" t="s">
        <v>8286</v>
      </c>
      <c r="IDV1" s="9" t="s">
        <v>8287</v>
      </c>
      <c r="IDW1" s="9" t="s">
        <v>8288</v>
      </c>
      <c r="IDX1" s="9" t="s">
        <v>8289</v>
      </c>
      <c r="IDY1" s="9" t="s">
        <v>8290</v>
      </c>
      <c r="IDZ1" s="9" t="s">
        <v>8291</v>
      </c>
      <c r="IEA1" s="9" t="s">
        <v>8292</v>
      </c>
      <c r="IEB1" s="9" t="s">
        <v>8293</v>
      </c>
      <c r="IEC1" s="9" t="s">
        <v>8294</v>
      </c>
      <c r="IED1" s="9" t="s">
        <v>8295</v>
      </c>
      <c r="IEE1" s="9" t="s">
        <v>8296</v>
      </c>
      <c r="IEF1" s="9" t="s">
        <v>8297</v>
      </c>
      <c r="IEG1" s="9" t="s">
        <v>8298</v>
      </c>
      <c r="IEH1" s="9" t="s">
        <v>8299</v>
      </c>
      <c r="IEI1" s="9" t="s">
        <v>8300</v>
      </c>
      <c r="IEJ1" s="9" t="s">
        <v>8301</v>
      </c>
      <c r="IEK1" s="9" t="s">
        <v>8302</v>
      </c>
      <c r="IEL1" s="9" t="s">
        <v>8303</v>
      </c>
      <c r="IEM1" s="9" t="s">
        <v>8304</v>
      </c>
      <c r="IEN1" s="9" t="s">
        <v>8305</v>
      </c>
      <c r="IEO1" s="9" t="s">
        <v>8306</v>
      </c>
      <c r="IEP1" s="9" t="s">
        <v>8307</v>
      </c>
      <c r="IEQ1" s="9" t="s">
        <v>8308</v>
      </c>
      <c r="IER1" s="9" t="s">
        <v>8309</v>
      </c>
      <c r="IES1" s="9" t="s">
        <v>8310</v>
      </c>
      <c r="IET1" s="9" t="s">
        <v>8311</v>
      </c>
      <c r="IEU1" s="9" t="s">
        <v>8312</v>
      </c>
      <c r="IEV1" s="9" t="s">
        <v>8313</v>
      </c>
      <c r="IEW1" s="9" t="s">
        <v>8314</v>
      </c>
      <c r="IEX1" s="9" t="s">
        <v>8315</v>
      </c>
      <c r="IEY1" s="9" t="s">
        <v>8316</v>
      </c>
      <c r="IEZ1" s="9" t="s">
        <v>8317</v>
      </c>
      <c r="IFA1" s="9" t="s">
        <v>8318</v>
      </c>
      <c r="IFB1" s="9" t="s">
        <v>8319</v>
      </c>
      <c r="IFC1" s="9" t="s">
        <v>8320</v>
      </c>
      <c r="IFD1" s="9" t="s">
        <v>8321</v>
      </c>
      <c r="IFE1" s="9" t="s">
        <v>8322</v>
      </c>
      <c r="IFF1" s="9" t="s">
        <v>8323</v>
      </c>
      <c r="IFG1" s="9" t="s">
        <v>8324</v>
      </c>
      <c r="IFH1" s="9" t="s">
        <v>8325</v>
      </c>
      <c r="IFI1" s="9" t="s">
        <v>8326</v>
      </c>
      <c r="IFJ1" s="9" t="s">
        <v>8327</v>
      </c>
      <c r="IFK1" s="9" t="s">
        <v>8328</v>
      </c>
      <c r="IFL1" s="9" t="s">
        <v>8329</v>
      </c>
      <c r="IFM1" s="9" t="s">
        <v>8330</v>
      </c>
      <c r="IFN1" s="9" t="s">
        <v>8331</v>
      </c>
      <c r="IFO1" s="9" t="s">
        <v>8332</v>
      </c>
      <c r="IFP1" s="9" t="s">
        <v>8333</v>
      </c>
      <c r="IFQ1" s="9" t="s">
        <v>8334</v>
      </c>
      <c r="IFR1" s="9" t="s">
        <v>8335</v>
      </c>
      <c r="IFS1" s="9" t="s">
        <v>8336</v>
      </c>
      <c r="IFT1" s="9" t="s">
        <v>8337</v>
      </c>
      <c r="IFU1" s="9" t="s">
        <v>8338</v>
      </c>
      <c r="IFV1" s="9" t="s">
        <v>8339</v>
      </c>
      <c r="IFW1" s="9" t="s">
        <v>8340</v>
      </c>
      <c r="IFX1" s="9" t="s">
        <v>8341</v>
      </c>
      <c r="IFY1" s="9" t="s">
        <v>8342</v>
      </c>
      <c r="IFZ1" s="9" t="s">
        <v>8343</v>
      </c>
      <c r="IGA1" s="9" t="s">
        <v>8344</v>
      </c>
      <c r="IGB1" s="9" t="s">
        <v>8345</v>
      </c>
      <c r="IGC1" s="9" t="s">
        <v>8346</v>
      </c>
      <c r="IGD1" s="9" t="s">
        <v>8347</v>
      </c>
      <c r="IGE1" s="9" t="s">
        <v>8348</v>
      </c>
      <c r="IGF1" s="9" t="s">
        <v>8349</v>
      </c>
      <c r="IGG1" s="9" t="s">
        <v>8350</v>
      </c>
      <c r="IGH1" s="9" t="s">
        <v>8351</v>
      </c>
      <c r="IGI1" s="9" t="s">
        <v>8352</v>
      </c>
      <c r="IGJ1" s="9" t="s">
        <v>8353</v>
      </c>
      <c r="IGK1" s="9" t="s">
        <v>8354</v>
      </c>
      <c r="IGL1" s="9" t="s">
        <v>8355</v>
      </c>
      <c r="IGM1" s="9" t="s">
        <v>8356</v>
      </c>
      <c r="IGN1" s="9" t="s">
        <v>8357</v>
      </c>
      <c r="IGO1" s="9" t="s">
        <v>8358</v>
      </c>
      <c r="IGP1" s="9" t="s">
        <v>8359</v>
      </c>
      <c r="IGQ1" s="9" t="s">
        <v>8360</v>
      </c>
      <c r="IGR1" s="9" t="s">
        <v>8361</v>
      </c>
      <c r="IGS1" s="9" t="s">
        <v>8362</v>
      </c>
      <c r="IGT1" s="9" t="s">
        <v>8363</v>
      </c>
      <c r="IGU1" s="9" t="s">
        <v>8364</v>
      </c>
      <c r="IGV1" s="9" t="s">
        <v>8365</v>
      </c>
      <c r="IGW1" s="9" t="s">
        <v>8366</v>
      </c>
      <c r="IGX1" s="9" t="s">
        <v>8367</v>
      </c>
      <c r="IGY1" s="9" t="s">
        <v>8368</v>
      </c>
      <c r="IGZ1" s="9" t="s">
        <v>8369</v>
      </c>
      <c r="IHA1" s="9" t="s">
        <v>8370</v>
      </c>
      <c r="IHB1" s="9" t="s">
        <v>8371</v>
      </c>
      <c r="IHC1" s="9" t="s">
        <v>8372</v>
      </c>
      <c r="IHD1" s="9" t="s">
        <v>8373</v>
      </c>
      <c r="IHE1" s="9" t="s">
        <v>8374</v>
      </c>
      <c r="IHF1" s="9" t="s">
        <v>8375</v>
      </c>
      <c r="IHG1" s="9" t="s">
        <v>8376</v>
      </c>
      <c r="IHH1" s="9" t="s">
        <v>8377</v>
      </c>
      <c r="IHI1" s="9" t="s">
        <v>8378</v>
      </c>
      <c r="IHJ1" s="9" t="s">
        <v>8379</v>
      </c>
      <c r="IHK1" s="9" t="s">
        <v>8380</v>
      </c>
      <c r="IHL1" s="9" t="s">
        <v>8381</v>
      </c>
      <c r="IHM1" s="9" t="s">
        <v>8382</v>
      </c>
      <c r="IHN1" s="9" t="s">
        <v>8383</v>
      </c>
      <c r="IHO1" s="9" t="s">
        <v>8384</v>
      </c>
      <c r="IHP1" s="9" t="s">
        <v>8385</v>
      </c>
      <c r="IHQ1" s="9" t="s">
        <v>8386</v>
      </c>
      <c r="IHR1" s="9" t="s">
        <v>8387</v>
      </c>
      <c r="IHS1" s="9" t="s">
        <v>8388</v>
      </c>
      <c r="IHT1" s="9" t="s">
        <v>8389</v>
      </c>
      <c r="IHU1" s="9" t="s">
        <v>8390</v>
      </c>
      <c r="IHV1" s="9" t="s">
        <v>8391</v>
      </c>
      <c r="IHW1" s="9" t="s">
        <v>8392</v>
      </c>
      <c r="IHX1" s="9" t="s">
        <v>8393</v>
      </c>
      <c r="IHY1" s="9" t="s">
        <v>8394</v>
      </c>
      <c r="IHZ1" s="9" t="s">
        <v>8395</v>
      </c>
      <c r="IIA1" s="9" t="s">
        <v>8396</v>
      </c>
      <c r="IIB1" s="9" t="s">
        <v>8397</v>
      </c>
      <c r="IIC1" s="9" t="s">
        <v>8398</v>
      </c>
      <c r="IID1" s="9" t="s">
        <v>8399</v>
      </c>
      <c r="IIE1" s="9" t="s">
        <v>8400</v>
      </c>
      <c r="IIF1" s="9" t="s">
        <v>8401</v>
      </c>
      <c r="IIG1" s="9" t="s">
        <v>8402</v>
      </c>
      <c r="IIH1" s="9" t="s">
        <v>8403</v>
      </c>
      <c r="III1" s="9" t="s">
        <v>8404</v>
      </c>
      <c r="IIJ1" s="9" t="s">
        <v>8405</v>
      </c>
      <c r="IIK1" s="9" t="s">
        <v>8406</v>
      </c>
      <c r="IIL1" s="9" t="s">
        <v>8407</v>
      </c>
      <c r="IIM1" s="9" t="s">
        <v>8408</v>
      </c>
      <c r="IIN1" s="9" t="s">
        <v>8409</v>
      </c>
      <c r="IIO1" s="9" t="s">
        <v>8410</v>
      </c>
      <c r="IIP1" s="9" t="s">
        <v>8411</v>
      </c>
      <c r="IIQ1" s="9" t="s">
        <v>8412</v>
      </c>
      <c r="IIR1" s="9" t="s">
        <v>8413</v>
      </c>
      <c r="IIS1" s="9" t="s">
        <v>8414</v>
      </c>
      <c r="IIT1" s="9" t="s">
        <v>8415</v>
      </c>
      <c r="IIU1" s="9" t="s">
        <v>8416</v>
      </c>
      <c r="IIV1" s="9" t="s">
        <v>8417</v>
      </c>
      <c r="IIW1" s="9" t="s">
        <v>8418</v>
      </c>
      <c r="IIX1" s="9" t="s">
        <v>8419</v>
      </c>
      <c r="IIY1" s="9" t="s">
        <v>8420</v>
      </c>
      <c r="IIZ1" s="9" t="s">
        <v>8421</v>
      </c>
      <c r="IJA1" s="9" t="s">
        <v>8422</v>
      </c>
      <c r="IJB1" s="9" t="s">
        <v>8423</v>
      </c>
      <c r="IJC1" s="9" t="s">
        <v>8424</v>
      </c>
      <c r="IJD1" s="9" t="s">
        <v>8425</v>
      </c>
      <c r="IJE1" s="9" t="s">
        <v>8426</v>
      </c>
      <c r="IJF1" s="9" t="s">
        <v>8427</v>
      </c>
      <c r="IJG1" s="9" t="s">
        <v>8428</v>
      </c>
      <c r="IJH1" s="9" t="s">
        <v>8429</v>
      </c>
      <c r="IJI1" s="9" t="s">
        <v>8430</v>
      </c>
      <c r="IJJ1" s="9" t="s">
        <v>8431</v>
      </c>
      <c r="IJK1" s="9" t="s">
        <v>8432</v>
      </c>
      <c r="IJL1" s="9" t="s">
        <v>8433</v>
      </c>
      <c r="IJM1" s="9" t="s">
        <v>8434</v>
      </c>
      <c r="IJN1" s="9" t="s">
        <v>8435</v>
      </c>
      <c r="IJO1" s="9" t="s">
        <v>8436</v>
      </c>
      <c r="IJP1" s="9" t="s">
        <v>8437</v>
      </c>
      <c r="IJQ1" s="9" t="s">
        <v>8438</v>
      </c>
      <c r="IJR1" s="9" t="s">
        <v>8439</v>
      </c>
      <c r="IJS1" s="9" t="s">
        <v>8440</v>
      </c>
      <c r="IJT1" s="9" t="s">
        <v>8441</v>
      </c>
      <c r="IJU1" s="9" t="s">
        <v>8442</v>
      </c>
      <c r="IJV1" s="9" t="s">
        <v>8443</v>
      </c>
      <c r="IJW1" s="9" t="s">
        <v>8444</v>
      </c>
      <c r="IJX1" s="9" t="s">
        <v>8445</v>
      </c>
      <c r="IJY1" s="9" t="s">
        <v>8446</v>
      </c>
      <c r="IJZ1" s="9" t="s">
        <v>8447</v>
      </c>
      <c r="IKA1" s="9" t="s">
        <v>8448</v>
      </c>
      <c r="IKB1" s="9" t="s">
        <v>8449</v>
      </c>
      <c r="IKC1" s="9" t="s">
        <v>8450</v>
      </c>
      <c r="IKD1" s="9" t="s">
        <v>8451</v>
      </c>
      <c r="IKE1" s="9" t="s">
        <v>8452</v>
      </c>
      <c r="IKF1" s="9" t="s">
        <v>8453</v>
      </c>
      <c r="IKG1" s="9" t="s">
        <v>8454</v>
      </c>
      <c r="IKH1" s="9" t="s">
        <v>8455</v>
      </c>
      <c r="IKI1" s="9" t="s">
        <v>8456</v>
      </c>
      <c r="IKJ1" s="9" t="s">
        <v>8457</v>
      </c>
      <c r="IKK1" s="9" t="s">
        <v>8458</v>
      </c>
      <c r="IKL1" s="9" t="s">
        <v>8459</v>
      </c>
      <c r="IKM1" s="9" t="s">
        <v>8460</v>
      </c>
      <c r="IKN1" s="9" t="s">
        <v>8461</v>
      </c>
      <c r="IKO1" s="9" t="s">
        <v>8462</v>
      </c>
      <c r="IKP1" s="9" t="s">
        <v>8463</v>
      </c>
      <c r="IKQ1" s="9" t="s">
        <v>8464</v>
      </c>
      <c r="IKR1" s="9" t="s">
        <v>8465</v>
      </c>
      <c r="IKS1" s="9" t="s">
        <v>8466</v>
      </c>
      <c r="IKT1" s="9" t="s">
        <v>8467</v>
      </c>
      <c r="IKU1" s="9" t="s">
        <v>8468</v>
      </c>
      <c r="IKV1" s="9" t="s">
        <v>8469</v>
      </c>
      <c r="IKW1" s="9" t="s">
        <v>8470</v>
      </c>
      <c r="IKX1" s="9" t="s">
        <v>8471</v>
      </c>
      <c r="IKY1" s="9" t="s">
        <v>8472</v>
      </c>
      <c r="IKZ1" s="9" t="s">
        <v>8473</v>
      </c>
      <c r="ILA1" s="9" t="s">
        <v>8474</v>
      </c>
      <c r="ILB1" s="9" t="s">
        <v>8475</v>
      </c>
      <c r="ILC1" s="9" t="s">
        <v>8476</v>
      </c>
      <c r="ILD1" s="9" t="s">
        <v>8477</v>
      </c>
      <c r="ILE1" s="9" t="s">
        <v>8478</v>
      </c>
      <c r="ILF1" s="9" t="s">
        <v>8479</v>
      </c>
      <c r="ILG1" s="9" t="s">
        <v>8480</v>
      </c>
      <c r="ILH1" s="9" t="s">
        <v>8481</v>
      </c>
      <c r="ILI1" s="9" t="s">
        <v>8482</v>
      </c>
      <c r="ILJ1" s="9" t="s">
        <v>8483</v>
      </c>
      <c r="ILK1" s="9" t="s">
        <v>8484</v>
      </c>
      <c r="ILL1" s="9" t="s">
        <v>8485</v>
      </c>
      <c r="ILM1" s="9" t="s">
        <v>8486</v>
      </c>
      <c r="ILN1" s="9" t="s">
        <v>8487</v>
      </c>
      <c r="ILO1" s="9" t="s">
        <v>8488</v>
      </c>
      <c r="ILP1" s="9" t="s">
        <v>8489</v>
      </c>
      <c r="ILQ1" s="9" t="s">
        <v>8490</v>
      </c>
      <c r="ILR1" s="9" t="s">
        <v>8491</v>
      </c>
      <c r="ILS1" s="9" t="s">
        <v>8492</v>
      </c>
      <c r="ILT1" s="9" t="s">
        <v>8493</v>
      </c>
      <c r="ILU1" s="9" t="s">
        <v>8494</v>
      </c>
      <c r="ILV1" s="9" t="s">
        <v>8495</v>
      </c>
      <c r="ILW1" s="9" t="s">
        <v>8496</v>
      </c>
      <c r="ILX1" s="9" t="s">
        <v>8497</v>
      </c>
      <c r="ILY1" s="9" t="s">
        <v>8498</v>
      </c>
      <c r="ILZ1" s="9" t="s">
        <v>8499</v>
      </c>
      <c r="IMA1" s="9" t="s">
        <v>8500</v>
      </c>
      <c r="IMB1" s="9" t="s">
        <v>8501</v>
      </c>
      <c r="IMC1" s="9" t="s">
        <v>8502</v>
      </c>
      <c r="IMD1" s="9" t="s">
        <v>8503</v>
      </c>
      <c r="IME1" s="9" t="s">
        <v>8504</v>
      </c>
      <c r="IMF1" s="9" t="s">
        <v>8505</v>
      </c>
      <c r="IMG1" s="9" t="s">
        <v>8506</v>
      </c>
      <c r="IMH1" s="9" t="s">
        <v>8507</v>
      </c>
      <c r="IMI1" s="9" t="s">
        <v>8508</v>
      </c>
      <c r="IMJ1" s="9" t="s">
        <v>8509</v>
      </c>
      <c r="IMK1" s="9" t="s">
        <v>8510</v>
      </c>
      <c r="IML1" s="9" t="s">
        <v>8511</v>
      </c>
      <c r="IMM1" s="9" t="s">
        <v>8512</v>
      </c>
      <c r="IMN1" s="9" t="s">
        <v>8513</v>
      </c>
      <c r="IMO1" s="9" t="s">
        <v>8514</v>
      </c>
      <c r="IMP1" s="9" t="s">
        <v>8515</v>
      </c>
      <c r="IMQ1" s="9" t="s">
        <v>8516</v>
      </c>
      <c r="IMR1" s="9" t="s">
        <v>8517</v>
      </c>
      <c r="IMS1" s="9" t="s">
        <v>8518</v>
      </c>
      <c r="IMT1" s="9" t="s">
        <v>8519</v>
      </c>
      <c r="IMU1" s="9" t="s">
        <v>8520</v>
      </c>
      <c r="IMV1" s="9" t="s">
        <v>8521</v>
      </c>
      <c r="IMW1" s="9" t="s">
        <v>8522</v>
      </c>
      <c r="IMX1" s="9" t="s">
        <v>8523</v>
      </c>
      <c r="IMY1" s="9" t="s">
        <v>8524</v>
      </c>
      <c r="IMZ1" s="9" t="s">
        <v>8525</v>
      </c>
      <c r="INA1" s="9" t="s">
        <v>8526</v>
      </c>
      <c r="INB1" s="9" t="s">
        <v>8527</v>
      </c>
      <c r="INC1" s="9" t="s">
        <v>8528</v>
      </c>
      <c r="IND1" s="9" t="s">
        <v>8529</v>
      </c>
      <c r="INE1" s="9" t="s">
        <v>8530</v>
      </c>
      <c r="INF1" s="9" t="s">
        <v>8531</v>
      </c>
      <c r="ING1" s="9" t="s">
        <v>8532</v>
      </c>
      <c r="INH1" s="9" t="s">
        <v>8533</v>
      </c>
      <c r="INI1" s="9" t="s">
        <v>8534</v>
      </c>
      <c r="INJ1" s="9" t="s">
        <v>8535</v>
      </c>
      <c r="INK1" s="9" t="s">
        <v>8536</v>
      </c>
      <c r="INL1" s="9" t="s">
        <v>8537</v>
      </c>
      <c r="INM1" s="9" t="s">
        <v>8538</v>
      </c>
      <c r="INN1" s="9" t="s">
        <v>8539</v>
      </c>
      <c r="INO1" s="9" t="s">
        <v>8540</v>
      </c>
      <c r="INP1" s="9" t="s">
        <v>8541</v>
      </c>
      <c r="INQ1" s="9" t="s">
        <v>8542</v>
      </c>
      <c r="INR1" s="9" t="s">
        <v>8543</v>
      </c>
      <c r="INS1" s="9" t="s">
        <v>8544</v>
      </c>
      <c r="INT1" s="9" t="s">
        <v>8545</v>
      </c>
      <c r="INU1" s="9" t="s">
        <v>8546</v>
      </c>
      <c r="INV1" s="9" t="s">
        <v>8547</v>
      </c>
      <c r="INW1" s="9" t="s">
        <v>8548</v>
      </c>
      <c r="INX1" s="9" t="s">
        <v>8549</v>
      </c>
      <c r="INY1" s="9" t="s">
        <v>8550</v>
      </c>
      <c r="INZ1" s="9" t="s">
        <v>8551</v>
      </c>
      <c r="IOA1" s="9" t="s">
        <v>8552</v>
      </c>
      <c r="IOB1" s="9" t="s">
        <v>8553</v>
      </c>
      <c r="IOC1" s="9" t="s">
        <v>8554</v>
      </c>
      <c r="IOD1" s="9" t="s">
        <v>8555</v>
      </c>
      <c r="IOE1" s="9" t="s">
        <v>8556</v>
      </c>
      <c r="IOF1" s="9" t="s">
        <v>8557</v>
      </c>
      <c r="IOG1" s="9" t="s">
        <v>8558</v>
      </c>
      <c r="IOH1" s="9" t="s">
        <v>8559</v>
      </c>
      <c r="IOI1" s="9" t="s">
        <v>8560</v>
      </c>
      <c r="IOJ1" s="9" t="s">
        <v>8561</v>
      </c>
      <c r="IOK1" s="9" t="s">
        <v>8562</v>
      </c>
      <c r="IOL1" s="9" t="s">
        <v>8563</v>
      </c>
      <c r="IOM1" s="9" t="s">
        <v>8564</v>
      </c>
      <c r="ION1" s="9" t="s">
        <v>8565</v>
      </c>
      <c r="IOO1" s="9" t="s">
        <v>8566</v>
      </c>
      <c r="IOP1" s="9" t="s">
        <v>8567</v>
      </c>
      <c r="IOQ1" s="9" t="s">
        <v>8568</v>
      </c>
      <c r="IOR1" s="9" t="s">
        <v>8569</v>
      </c>
      <c r="IOS1" s="9" t="s">
        <v>8570</v>
      </c>
      <c r="IOT1" s="9" t="s">
        <v>8571</v>
      </c>
      <c r="IOU1" s="9" t="s">
        <v>8572</v>
      </c>
      <c r="IOV1" s="9" t="s">
        <v>8573</v>
      </c>
      <c r="IOW1" s="9" t="s">
        <v>8574</v>
      </c>
      <c r="IOX1" s="9" t="s">
        <v>8575</v>
      </c>
      <c r="IOY1" s="9" t="s">
        <v>8576</v>
      </c>
      <c r="IOZ1" s="9" t="s">
        <v>8577</v>
      </c>
      <c r="IPA1" s="9" t="s">
        <v>8578</v>
      </c>
      <c r="IPB1" s="9" t="s">
        <v>8579</v>
      </c>
      <c r="IPC1" s="9" t="s">
        <v>8580</v>
      </c>
      <c r="IPD1" s="9" t="s">
        <v>8581</v>
      </c>
      <c r="IPE1" s="9" t="s">
        <v>8582</v>
      </c>
      <c r="IPF1" s="9" t="s">
        <v>8583</v>
      </c>
      <c r="IPG1" s="9" t="s">
        <v>8584</v>
      </c>
      <c r="IPH1" s="9" t="s">
        <v>8585</v>
      </c>
      <c r="IPI1" s="9" t="s">
        <v>8586</v>
      </c>
      <c r="IPJ1" s="9" t="s">
        <v>8587</v>
      </c>
      <c r="IPK1" s="9" t="s">
        <v>8588</v>
      </c>
      <c r="IPL1" s="9" t="s">
        <v>8589</v>
      </c>
      <c r="IPM1" s="9" t="s">
        <v>8590</v>
      </c>
      <c r="IPN1" s="9" t="s">
        <v>8591</v>
      </c>
      <c r="IPO1" s="9" t="s">
        <v>8592</v>
      </c>
      <c r="IPP1" s="9" t="s">
        <v>8593</v>
      </c>
      <c r="IPQ1" s="9" t="s">
        <v>8594</v>
      </c>
      <c r="IPR1" s="9" t="s">
        <v>8595</v>
      </c>
      <c r="IPS1" s="9" t="s">
        <v>8596</v>
      </c>
      <c r="IPT1" s="9" t="s">
        <v>8597</v>
      </c>
      <c r="IPU1" s="9" t="s">
        <v>8598</v>
      </c>
      <c r="IPV1" s="9" t="s">
        <v>8599</v>
      </c>
      <c r="IPW1" s="9" t="s">
        <v>8600</v>
      </c>
      <c r="IPX1" s="9" t="s">
        <v>8601</v>
      </c>
      <c r="IPY1" s="9" t="s">
        <v>8602</v>
      </c>
      <c r="IPZ1" s="9" t="s">
        <v>8603</v>
      </c>
      <c r="IQA1" s="9" t="s">
        <v>8604</v>
      </c>
      <c r="IQB1" s="9" t="s">
        <v>8605</v>
      </c>
      <c r="IQC1" s="9" t="s">
        <v>8606</v>
      </c>
      <c r="IQD1" s="9" t="s">
        <v>8607</v>
      </c>
      <c r="IQE1" s="9" t="s">
        <v>8608</v>
      </c>
      <c r="IQF1" s="9" t="s">
        <v>8609</v>
      </c>
      <c r="IQG1" s="9" t="s">
        <v>8610</v>
      </c>
      <c r="IQH1" s="9" t="s">
        <v>8611</v>
      </c>
      <c r="IQI1" s="9" t="s">
        <v>8612</v>
      </c>
      <c r="IQJ1" s="9" t="s">
        <v>8613</v>
      </c>
      <c r="IQK1" s="9" t="s">
        <v>8614</v>
      </c>
      <c r="IQL1" s="9" t="s">
        <v>8615</v>
      </c>
      <c r="IQM1" s="9" t="s">
        <v>8616</v>
      </c>
      <c r="IQN1" s="9" t="s">
        <v>8617</v>
      </c>
      <c r="IQO1" s="9" t="s">
        <v>8618</v>
      </c>
      <c r="IQP1" s="9" t="s">
        <v>8619</v>
      </c>
      <c r="IQQ1" s="9" t="s">
        <v>8620</v>
      </c>
      <c r="IQR1" s="9" t="s">
        <v>8621</v>
      </c>
      <c r="IQS1" s="9" t="s">
        <v>8622</v>
      </c>
      <c r="IQT1" s="9" t="s">
        <v>8623</v>
      </c>
      <c r="IQU1" s="9" t="s">
        <v>8624</v>
      </c>
      <c r="IQV1" s="9" t="s">
        <v>8625</v>
      </c>
      <c r="IQW1" s="9" t="s">
        <v>8626</v>
      </c>
      <c r="IQX1" s="9" t="s">
        <v>8627</v>
      </c>
      <c r="IQY1" s="9" t="s">
        <v>8628</v>
      </c>
      <c r="IQZ1" s="9" t="s">
        <v>8629</v>
      </c>
      <c r="IRA1" s="9" t="s">
        <v>8630</v>
      </c>
      <c r="IRB1" s="9" t="s">
        <v>8631</v>
      </c>
      <c r="IRC1" s="9" t="s">
        <v>8632</v>
      </c>
      <c r="IRD1" s="9" t="s">
        <v>8633</v>
      </c>
      <c r="IRE1" s="9" t="s">
        <v>8634</v>
      </c>
      <c r="IRF1" s="9" t="s">
        <v>8635</v>
      </c>
      <c r="IRG1" s="9" t="s">
        <v>8636</v>
      </c>
      <c r="IRH1" s="9" t="s">
        <v>8637</v>
      </c>
      <c r="IRI1" s="9" t="s">
        <v>8638</v>
      </c>
      <c r="IRJ1" s="9" t="s">
        <v>8639</v>
      </c>
      <c r="IRK1" s="9" t="s">
        <v>8640</v>
      </c>
      <c r="IRL1" s="9" t="s">
        <v>8641</v>
      </c>
      <c r="IRM1" s="9" t="s">
        <v>8642</v>
      </c>
      <c r="IRN1" s="9" t="s">
        <v>8643</v>
      </c>
      <c r="IRO1" s="9" t="s">
        <v>8644</v>
      </c>
      <c r="IRP1" s="9" t="s">
        <v>8645</v>
      </c>
      <c r="IRQ1" s="9" t="s">
        <v>8646</v>
      </c>
      <c r="IRR1" s="9" t="s">
        <v>8647</v>
      </c>
      <c r="IRS1" s="9" t="s">
        <v>8648</v>
      </c>
      <c r="IRT1" s="9" t="s">
        <v>8649</v>
      </c>
      <c r="IRU1" s="9" t="s">
        <v>8650</v>
      </c>
      <c r="IRV1" s="9" t="s">
        <v>8651</v>
      </c>
      <c r="IRW1" s="9" t="s">
        <v>8652</v>
      </c>
      <c r="IRX1" s="9" t="s">
        <v>8653</v>
      </c>
      <c r="IRY1" s="9" t="s">
        <v>8654</v>
      </c>
      <c r="IRZ1" s="9" t="s">
        <v>8655</v>
      </c>
      <c r="ISA1" s="9" t="s">
        <v>8656</v>
      </c>
      <c r="ISB1" s="9" t="s">
        <v>8657</v>
      </c>
      <c r="ISC1" s="9" t="s">
        <v>8658</v>
      </c>
      <c r="ISD1" s="9" t="s">
        <v>8659</v>
      </c>
      <c r="ISE1" s="9" t="s">
        <v>8660</v>
      </c>
      <c r="ISF1" s="9" t="s">
        <v>8661</v>
      </c>
      <c r="ISG1" s="9" t="s">
        <v>8662</v>
      </c>
      <c r="ISH1" s="9" t="s">
        <v>8663</v>
      </c>
      <c r="ISI1" s="9" t="s">
        <v>8664</v>
      </c>
      <c r="ISJ1" s="9" t="s">
        <v>8665</v>
      </c>
      <c r="ISK1" s="9" t="s">
        <v>8666</v>
      </c>
      <c r="ISL1" s="9" t="s">
        <v>8667</v>
      </c>
      <c r="ISM1" s="9" t="s">
        <v>8668</v>
      </c>
      <c r="ISN1" s="9" t="s">
        <v>8669</v>
      </c>
      <c r="ISO1" s="9" t="s">
        <v>8670</v>
      </c>
      <c r="ISP1" s="9" t="s">
        <v>8671</v>
      </c>
      <c r="ISQ1" s="9" t="s">
        <v>8672</v>
      </c>
      <c r="ISR1" s="9" t="s">
        <v>8673</v>
      </c>
      <c r="ISS1" s="9" t="s">
        <v>8674</v>
      </c>
      <c r="IST1" s="9" t="s">
        <v>8675</v>
      </c>
      <c r="ISU1" s="9" t="s">
        <v>8676</v>
      </c>
      <c r="ISV1" s="9" t="s">
        <v>8677</v>
      </c>
      <c r="ISW1" s="9" t="s">
        <v>8678</v>
      </c>
      <c r="ISX1" s="9" t="s">
        <v>8679</v>
      </c>
      <c r="ISY1" s="9" t="s">
        <v>8680</v>
      </c>
      <c r="ISZ1" s="9" t="s">
        <v>8681</v>
      </c>
      <c r="ITA1" s="9" t="s">
        <v>8682</v>
      </c>
      <c r="ITB1" s="9" t="s">
        <v>8683</v>
      </c>
      <c r="ITC1" s="9" t="s">
        <v>8684</v>
      </c>
      <c r="ITD1" s="9" t="s">
        <v>8685</v>
      </c>
      <c r="ITE1" s="9" t="s">
        <v>8686</v>
      </c>
      <c r="ITF1" s="9" t="s">
        <v>8687</v>
      </c>
      <c r="ITG1" s="9" t="s">
        <v>8688</v>
      </c>
      <c r="ITH1" s="9" t="s">
        <v>8689</v>
      </c>
      <c r="ITI1" s="9" t="s">
        <v>8690</v>
      </c>
      <c r="ITJ1" s="9" t="s">
        <v>8691</v>
      </c>
      <c r="ITK1" s="9" t="s">
        <v>8692</v>
      </c>
      <c r="ITL1" s="9" t="s">
        <v>8693</v>
      </c>
      <c r="ITM1" s="9" t="s">
        <v>8694</v>
      </c>
      <c r="ITN1" s="9" t="s">
        <v>8695</v>
      </c>
      <c r="ITO1" s="9" t="s">
        <v>8696</v>
      </c>
      <c r="ITP1" s="9" t="s">
        <v>8697</v>
      </c>
      <c r="ITQ1" s="9" t="s">
        <v>8698</v>
      </c>
      <c r="ITR1" s="9" t="s">
        <v>8699</v>
      </c>
      <c r="ITS1" s="9" t="s">
        <v>8700</v>
      </c>
      <c r="ITT1" s="9" t="s">
        <v>8701</v>
      </c>
      <c r="ITU1" s="9" t="s">
        <v>8702</v>
      </c>
      <c r="ITV1" s="9" t="s">
        <v>8703</v>
      </c>
      <c r="ITW1" s="9" t="s">
        <v>8704</v>
      </c>
      <c r="ITX1" s="9" t="s">
        <v>8705</v>
      </c>
      <c r="ITY1" s="9" t="s">
        <v>8706</v>
      </c>
      <c r="ITZ1" s="9" t="s">
        <v>8707</v>
      </c>
      <c r="IUA1" s="9" t="s">
        <v>8708</v>
      </c>
      <c r="IUB1" s="9" t="s">
        <v>8709</v>
      </c>
      <c r="IUC1" s="9" t="s">
        <v>8710</v>
      </c>
      <c r="IUD1" s="9" t="s">
        <v>8711</v>
      </c>
      <c r="IUE1" s="9" t="s">
        <v>8712</v>
      </c>
      <c r="IUF1" s="9" t="s">
        <v>8713</v>
      </c>
      <c r="IUG1" s="9" t="s">
        <v>8714</v>
      </c>
      <c r="IUH1" s="9" t="s">
        <v>8715</v>
      </c>
      <c r="IUI1" s="9" t="s">
        <v>8716</v>
      </c>
      <c r="IUJ1" s="9" t="s">
        <v>8717</v>
      </c>
      <c r="IUK1" s="9" t="s">
        <v>8718</v>
      </c>
      <c r="IUL1" s="9" t="s">
        <v>8719</v>
      </c>
      <c r="IUM1" s="9" t="s">
        <v>8720</v>
      </c>
      <c r="IUN1" s="9" t="s">
        <v>8721</v>
      </c>
      <c r="IUO1" s="9" t="s">
        <v>8722</v>
      </c>
      <c r="IUP1" s="9" t="s">
        <v>8723</v>
      </c>
      <c r="IUQ1" s="9" t="s">
        <v>8724</v>
      </c>
      <c r="IUR1" s="9" t="s">
        <v>8725</v>
      </c>
      <c r="IUS1" s="9" t="s">
        <v>8726</v>
      </c>
      <c r="IUT1" s="9" t="s">
        <v>8727</v>
      </c>
      <c r="IUU1" s="9" t="s">
        <v>8728</v>
      </c>
      <c r="IUV1" s="9" t="s">
        <v>8729</v>
      </c>
      <c r="IUW1" s="9" t="s">
        <v>8730</v>
      </c>
      <c r="IUX1" s="9" t="s">
        <v>8731</v>
      </c>
      <c r="IUY1" s="9" t="s">
        <v>8732</v>
      </c>
      <c r="IUZ1" s="9" t="s">
        <v>8733</v>
      </c>
      <c r="IVA1" s="9" t="s">
        <v>8734</v>
      </c>
      <c r="IVB1" s="9" t="s">
        <v>8735</v>
      </c>
      <c r="IVC1" s="9" t="s">
        <v>8736</v>
      </c>
      <c r="IVD1" s="9" t="s">
        <v>8737</v>
      </c>
      <c r="IVE1" s="9" t="s">
        <v>8738</v>
      </c>
      <c r="IVF1" s="9" t="s">
        <v>8739</v>
      </c>
      <c r="IVG1" s="9" t="s">
        <v>8740</v>
      </c>
      <c r="IVH1" s="9" t="s">
        <v>8741</v>
      </c>
      <c r="IVI1" s="9" t="s">
        <v>8742</v>
      </c>
      <c r="IVJ1" s="9" t="s">
        <v>8743</v>
      </c>
      <c r="IVK1" s="9" t="s">
        <v>8744</v>
      </c>
      <c r="IVL1" s="9" t="s">
        <v>8745</v>
      </c>
      <c r="IVM1" s="9" t="s">
        <v>8746</v>
      </c>
      <c r="IVN1" s="9" t="s">
        <v>8747</v>
      </c>
      <c r="IVO1" s="9" t="s">
        <v>8748</v>
      </c>
      <c r="IVP1" s="9" t="s">
        <v>8749</v>
      </c>
      <c r="IVQ1" s="9" t="s">
        <v>8750</v>
      </c>
      <c r="IVR1" s="9" t="s">
        <v>8751</v>
      </c>
      <c r="IVS1" s="9" t="s">
        <v>8752</v>
      </c>
      <c r="IVT1" s="9" t="s">
        <v>8753</v>
      </c>
      <c r="IVU1" s="9" t="s">
        <v>8754</v>
      </c>
      <c r="IVV1" s="9" t="s">
        <v>8755</v>
      </c>
      <c r="IVW1" s="9" t="s">
        <v>8756</v>
      </c>
      <c r="IVX1" s="9" t="s">
        <v>8757</v>
      </c>
      <c r="IVY1" s="9" t="s">
        <v>8758</v>
      </c>
      <c r="IVZ1" s="9" t="s">
        <v>8759</v>
      </c>
      <c r="IWA1" s="9" t="s">
        <v>8760</v>
      </c>
      <c r="IWB1" s="9" t="s">
        <v>8761</v>
      </c>
      <c r="IWC1" s="9" t="s">
        <v>8762</v>
      </c>
      <c r="IWD1" s="9" t="s">
        <v>8763</v>
      </c>
      <c r="IWE1" s="9" t="s">
        <v>8764</v>
      </c>
      <c r="IWF1" s="9" t="s">
        <v>8765</v>
      </c>
      <c r="IWG1" s="9" t="s">
        <v>8766</v>
      </c>
      <c r="IWH1" s="9" t="s">
        <v>8767</v>
      </c>
      <c r="IWI1" s="9" t="s">
        <v>8768</v>
      </c>
      <c r="IWJ1" s="9" t="s">
        <v>8769</v>
      </c>
      <c r="IWK1" s="9" t="s">
        <v>8770</v>
      </c>
      <c r="IWL1" s="9" t="s">
        <v>8771</v>
      </c>
      <c r="IWM1" s="9" t="s">
        <v>8772</v>
      </c>
      <c r="IWN1" s="9" t="s">
        <v>8773</v>
      </c>
      <c r="IWO1" s="9" t="s">
        <v>8774</v>
      </c>
      <c r="IWP1" s="9" t="s">
        <v>8775</v>
      </c>
      <c r="IWQ1" s="9" t="s">
        <v>8776</v>
      </c>
      <c r="IWR1" s="9" t="s">
        <v>8777</v>
      </c>
      <c r="IWS1" s="9" t="s">
        <v>8778</v>
      </c>
      <c r="IWT1" s="9" t="s">
        <v>8779</v>
      </c>
      <c r="IWU1" s="9" t="s">
        <v>8780</v>
      </c>
      <c r="IWV1" s="9" t="s">
        <v>8781</v>
      </c>
      <c r="IWW1" s="9" t="s">
        <v>8782</v>
      </c>
      <c r="IWX1" s="9" t="s">
        <v>8783</v>
      </c>
      <c r="IWY1" s="9" t="s">
        <v>8784</v>
      </c>
      <c r="IWZ1" s="9" t="s">
        <v>8785</v>
      </c>
      <c r="IXA1" s="9" t="s">
        <v>8786</v>
      </c>
      <c r="IXB1" s="9" t="s">
        <v>8787</v>
      </c>
      <c r="IXC1" s="9" t="s">
        <v>8788</v>
      </c>
      <c r="IXD1" s="9" t="s">
        <v>8789</v>
      </c>
      <c r="IXE1" s="9" t="s">
        <v>8790</v>
      </c>
      <c r="IXF1" s="9" t="s">
        <v>8791</v>
      </c>
      <c r="IXG1" s="9" t="s">
        <v>8792</v>
      </c>
      <c r="IXH1" s="9" t="s">
        <v>8793</v>
      </c>
      <c r="IXI1" s="9" t="s">
        <v>8794</v>
      </c>
      <c r="IXJ1" s="9" t="s">
        <v>8795</v>
      </c>
      <c r="IXK1" s="9" t="s">
        <v>8796</v>
      </c>
      <c r="IXL1" s="9" t="s">
        <v>8797</v>
      </c>
      <c r="IXM1" s="9" t="s">
        <v>8798</v>
      </c>
      <c r="IXN1" s="9" t="s">
        <v>8799</v>
      </c>
      <c r="IXO1" s="9" t="s">
        <v>8800</v>
      </c>
      <c r="IXP1" s="9" t="s">
        <v>8801</v>
      </c>
      <c r="IXQ1" s="9" t="s">
        <v>8802</v>
      </c>
      <c r="IXR1" s="9" t="s">
        <v>8803</v>
      </c>
      <c r="IXS1" s="9" t="s">
        <v>8804</v>
      </c>
      <c r="IXT1" s="9" t="s">
        <v>8805</v>
      </c>
      <c r="IXU1" s="9" t="s">
        <v>8806</v>
      </c>
      <c r="IXV1" s="9" t="s">
        <v>8807</v>
      </c>
      <c r="IXW1" s="9" t="s">
        <v>8808</v>
      </c>
      <c r="IXX1" s="9" t="s">
        <v>8809</v>
      </c>
      <c r="IXY1" s="9" t="s">
        <v>8810</v>
      </c>
      <c r="IXZ1" s="9" t="s">
        <v>8811</v>
      </c>
      <c r="IYA1" s="9" t="s">
        <v>8812</v>
      </c>
      <c r="IYB1" s="9" t="s">
        <v>8813</v>
      </c>
      <c r="IYC1" s="9" t="s">
        <v>8814</v>
      </c>
      <c r="IYD1" s="9" t="s">
        <v>8815</v>
      </c>
      <c r="IYE1" s="9" t="s">
        <v>8816</v>
      </c>
      <c r="IYF1" s="9" t="s">
        <v>8817</v>
      </c>
      <c r="IYG1" s="9" t="s">
        <v>8818</v>
      </c>
      <c r="IYH1" s="9" t="s">
        <v>8819</v>
      </c>
      <c r="IYI1" s="9" t="s">
        <v>8820</v>
      </c>
      <c r="IYJ1" s="9" t="s">
        <v>8821</v>
      </c>
      <c r="IYK1" s="9" t="s">
        <v>8822</v>
      </c>
      <c r="IYL1" s="9" t="s">
        <v>8823</v>
      </c>
      <c r="IYM1" s="9" t="s">
        <v>8824</v>
      </c>
      <c r="IYN1" s="9" t="s">
        <v>8825</v>
      </c>
      <c r="IYO1" s="9" t="s">
        <v>8826</v>
      </c>
      <c r="IYP1" s="9" t="s">
        <v>8827</v>
      </c>
      <c r="IYQ1" s="9" t="s">
        <v>8828</v>
      </c>
      <c r="IYR1" s="9" t="s">
        <v>8829</v>
      </c>
      <c r="IYS1" s="9" t="s">
        <v>8830</v>
      </c>
      <c r="IYT1" s="9" t="s">
        <v>8831</v>
      </c>
      <c r="IYU1" s="9" t="s">
        <v>8832</v>
      </c>
      <c r="IYV1" s="9" t="s">
        <v>8833</v>
      </c>
      <c r="IYW1" s="9" t="s">
        <v>8834</v>
      </c>
      <c r="IYX1" s="9" t="s">
        <v>8835</v>
      </c>
      <c r="IYY1" s="9" t="s">
        <v>8836</v>
      </c>
      <c r="IYZ1" s="9" t="s">
        <v>8837</v>
      </c>
      <c r="IZA1" s="9" t="s">
        <v>8838</v>
      </c>
      <c r="IZB1" s="9" t="s">
        <v>8839</v>
      </c>
      <c r="IZC1" s="9" t="s">
        <v>8840</v>
      </c>
      <c r="IZD1" s="9" t="s">
        <v>8841</v>
      </c>
      <c r="IZE1" s="9" t="s">
        <v>8842</v>
      </c>
      <c r="IZF1" s="9" t="s">
        <v>8843</v>
      </c>
      <c r="IZG1" s="9" t="s">
        <v>8844</v>
      </c>
      <c r="IZH1" s="9" t="s">
        <v>8845</v>
      </c>
      <c r="IZI1" s="9" t="s">
        <v>8846</v>
      </c>
      <c r="IZJ1" s="9" t="s">
        <v>8847</v>
      </c>
      <c r="IZK1" s="9" t="s">
        <v>8848</v>
      </c>
      <c r="IZL1" s="9" t="s">
        <v>8849</v>
      </c>
      <c r="IZM1" s="9" t="s">
        <v>8850</v>
      </c>
      <c r="IZN1" s="9" t="s">
        <v>8851</v>
      </c>
      <c r="IZO1" s="9" t="s">
        <v>8852</v>
      </c>
      <c r="IZP1" s="9" t="s">
        <v>8853</v>
      </c>
      <c r="IZQ1" s="9" t="s">
        <v>8854</v>
      </c>
      <c r="IZR1" s="9" t="s">
        <v>8855</v>
      </c>
      <c r="IZS1" s="9" t="s">
        <v>8856</v>
      </c>
      <c r="IZT1" s="9" t="s">
        <v>8857</v>
      </c>
      <c r="IZU1" s="9" t="s">
        <v>8858</v>
      </c>
      <c r="IZV1" s="9" t="s">
        <v>8859</v>
      </c>
      <c r="IZW1" s="9" t="s">
        <v>8860</v>
      </c>
      <c r="IZX1" s="9" t="s">
        <v>8861</v>
      </c>
      <c r="IZY1" s="9" t="s">
        <v>8862</v>
      </c>
      <c r="IZZ1" s="9" t="s">
        <v>8863</v>
      </c>
      <c r="JAA1" s="9" t="s">
        <v>8864</v>
      </c>
      <c r="JAB1" s="9" t="s">
        <v>8865</v>
      </c>
      <c r="JAC1" s="9" t="s">
        <v>8866</v>
      </c>
      <c r="JAD1" s="9" t="s">
        <v>8867</v>
      </c>
      <c r="JAE1" s="9" t="s">
        <v>8868</v>
      </c>
      <c r="JAF1" s="9" t="s">
        <v>8869</v>
      </c>
      <c r="JAG1" s="9" t="s">
        <v>8870</v>
      </c>
      <c r="JAH1" s="9" t="s">
        <v>8871</v>
      </c>
      <c r="JAI1" s="9" t="s">
        <v>8872</v>
      </c>
      <c r="JAJ1" s="9" t="s">
        <v>8873</v>
      </c>
      <c r="JAK1" s="9" t="s">
        <v>8874</v>
      </c>
      <c r="JAL1" s="9" t="s">
        <v>8875</v>
      </c>
      <c r="JAM1" s="9" t="s">
        <v>8876</v>
      </c>
      <c r="JAN1" s="9" t="s">
        <v>8877</v>
      </c>
      <c r="JAO1" s="9" t="s">
        <v>8878</v>
      </c>
      <c r="JAP1" s="9" t="s">
        <v>8879</v>
      </c>
      <c r="JAQ1" s="9" t="s">
        <v>8880</v>
      </c>
      <c r="JAR1" s="9" t="s">
        <v>8881</v>
      </c>
      <c r="JAS1" s="9" t="s">
        <v>8882</v>
      </c>
      <c r="JAT1" s="9" t="s">
        <v>8883</v>
      </c>
      <c r="JAU1" s="9" t="s">
        <v>8884</v>
      </c>
      <c r="JAV1" s="9" t="s">
        <v>8885</v>
      </c>
      <c r="JAW1" s="9" t="s">
        <v>8886</v>
      </c>
      <c r="JAX1" s="9" t="s">
        <v>8887</v>
      </c>
      <c r="JAY1" s="9" t="s">
        <v>8888</v>
      </c>
      <c r="JAZ1" s="9" t="s">
        <v>8889</v>
      </c>
      <c r="JBA1" s="9" t="s">
        <v>8890</v>
      </c>
      <c r="JBB1" s="9" t="s">
        <v>8891</v>
      </c>
      <c r="JBC1" s="9" t="s">
        <v>8892</v>
      </c>
      <c r="JBD1" s="9" t="s">
        <v>8893</v>
      </c>
      <c r="JBE1" s="9" t="s">
        <v>8894</v>
      </c>
      <c r="JBF1" s="9" t="s">
        <v>8895</v>
      </c>
      <c r="JBG1" s="9" t="s">
        <v>8896</v>
      </c>
      <c r="JBH1" s="9" t="s">
        <v>8897</v>
      </c>
      <c r="JBI1" s="9" t="s">
        <v>8898</v>
      </c>
      <c r="JBJ1" s="9" t="s">
        <v>8899</v>
      </c>
      <c r="JBK1" s="9" t="s">
        <v>8900</v>
      </c>
      <c r="JBL1" s="9" t="s">
        <v>8901</v>
      </c>
      <c r="JBM1" s="9" t="s">
        <v>8902</v>
      </c>
      <c r="JBN1" s="9" t="s">
        <v>8903</v>
      </c>
      <c r="JBO1" s="9" t="s">
        <v>8904</v>
      </c>
      <c r="JBP1" s="9" t="s">
        <v>8905</v>
      </c>
      <c r="JBQ1" s="9" t="s">
        <v>8906</v>
      </c>
      <c r="JBR1" s="9" t="s">
        <v>8907</v>
      </c>
      <c r="JBS1" s="9" t="s">
        <v>8908</v>
      </c>
      <c r="JBT1" s="9" t="s">
        <v>8909</v>
      </c>
      <c r="JBU1" s="9" t="s">
        <v>8910</v>
      </c>
      <c r="JBV1" s="9" t="s">
        <v>8911</v>
      </c>
      <c r="JBW1" s="9" t="s">
        <v>8912</v>
      </c>
      <c r="JBX1" s="9" t="s">
        <v>8913</v>
      </c>
      <c r="JBY1" s="9" t="s">
        <v>8914</v>
      </c>
      <c r="JBZ1" s="9" t="s">
        <v>8915</v>
      </c>
      <c r="JCA1" s="9" t="s">
        <v>8916</v>
      </c>
      <c r="JCB1" s="9" t="s">
        <v>8917</v>
      </c>
      <c r="JCC1" s="9" t="s">
        <v>8918</v>
      </c>
      <c r="JCD1" s="9" t="s">
        <v>8919</v>
      </c>
      <c r="JCE1" s="9" t="s">
        <v>8920</v>
      </c>
      <c r="JCF1" s="9" t="s">
        <v>8921</v>
      </c>
      <c r="JCG1" s="9" t="s">
        <v>8922</v>
      </c>
      <c r="JCH1" s="9" t="s">
        <v>8923</v>
      </c>
      <c r="JCI1" s="9" t="s">
        <v>8924</v>
      </c>
      <c r="JCJ1" s="9" t="s">
        <v>8925</v>
      </c>
      <c r="JCK1" s="9" t="s">
        <v>8926</v>
      </c>
      <c r="JCL1" s="9" t="s">
        <v>8927</v>
      </c>
      <c r="JCM1" s="9" t="s">
        <v>8928</v>
      </c>
      <c r="JCN1" s="9" t="s">
        <v>8929</v>
      </c>
      <c r="JCO1" s="9" t="s">
        <v>8930</v>
      </c>
      <c r="JCP1" s="9" t="s">
        <v>8931</v>
      </c>
      <c r="JCQ1" s="9" t="s">
        <v>8932</v>
      </c>
      <c r="JCR1" s="9" t="s">
        <v>8933</v>
      </c>
      <c r="JCS1" s="9" t="s">
        <v>8934</v>
      </c>
      <c r="JCT1" s="9" t="s">
        <v>8935</v>
      </c>
      <c r="JCU1" s="9" t="s">
        <v>8936</v>
      </c>
      <c r="JCV1" s="9" t="s">
        <v>8937</v>
      </c>
      <c r="JCW1" s="9" t="s">
        <v>8938</v>
      </c>
      <c r="JCX1" s="9" t="s">
        <v>8939</v>
      </c>
      <c r="JCY1" s="9" t="s">
        <v>8940</v>
      </c>
      <c r="JCZ1" s="9" t="s">
        <v>8941</v>
      </c>
      <c r="JDA1" s="9" t="s">
        <v>8942</v>
      </c>
      <c r="JDB1" s="9" t="s">
        <v>8943</v>
      </c>
      <c r="JDC1" s="9" t="s">
        <v>8944</v>
      </c>
      <c r="JDD1" s="9" t="s">
        <v>8945</v>
      </c>
      <c r="JDE1" s="9" t="s">
        <v>8946</v>
      </c>
      <c r="JDF1" s="9" t="s">
        <v>8947</v>
      </c>
      <c r="JDG1" s="9" t="s">
        <v>8948</v>
      </c>
      <c r="JDH1" s="9" t="s">
        <v>8949</v>
      </c>
      <c r="JDI1" s="9" t="s">
        <v>8950</v>
      </c>
      <c r="JDJ1" s="9" t="s">
        <v>8951</v>
      </c>
      <c r="JDK1" s="9" t="s">
        <v>8952</v>
      </c>
      <c r="JDL1" s="9" t="s">
        <v>8953</v>
      </c>
      <c r="JDM1" s="9" t="s">
        <v>8954</v>
      </c>
      <c r="JDN1" s="9" t="s">
        <v>8955</v>
      </c>
      <c r="JDO1" s="9" t="s">
        <v>8956</v>
      </c>
      <c r="JDP1" s="9" t="s">
        <v>8957</v>
      </c>
      <c r="JDQ1" s="9" t="s">
        <v>8958</v>
      </c>
      <c r="JDR1" s="9" t="s">
        <v>8959</v>
      </c>
      <c r="JDS1" s="9" t="s">
        <v>8960</v>
      </c>
      <c r="JDT1" s="9" t="s">
        <v>8961</v>
      </c>
      <c r="JDU1" s="9" t="s">
        <v>8962</v>
      </c>
      <c r="JDV1" s="9" t="s">
        <v>8963</v>
      </c>
      <c r="JDW1" s="9" t="s">
        <v>8964</v>
      </c>
      <c r="JDX1" s="9" t="s">
        <v>8965</v>
      </c>
      <c r="JDY1" s="9" t="s">
        <v>8966</v>
      </c>
      <c r="JDZ1" s="9" t="s">
        <v>8967</v>
      </c>
      <c r="JEA1" s="9" t="s">
        <v>8968</v>
      </c>
      <c r="JEB1" s="9" t="s">
        <v>8969</v>
      </c>
      <c r="JEC1" s="9" t="s">
        <v>8970</v>
      </c>
      <c r="JED1" s="9" t="s">
        <v>8971</v>
      </c>
      <c r="JEE1" s="9" t="s">
        <v>8972</v>
      </c>
      <c r="JEF1" s="9" t="s">
        <v>8973</v>
      </c>
      <c r="JEG1" s="9" t="s">
        <v>8974</v>
      </c>
      <c r="JEH1" s="9" t="s">
        <v>8975</v>
      </c>
      <c r="JEI1" s="9" t="s">
        <v>8976</v>
      </c>
      <c r="JEJ1" s="9" t="s">
        <v>8977</v>
      </c>
      <c r="JEK1" s="9" t="s">
        <v>8978</v>
      </c>
      <c r="JEL1" s="9" t="s">
        <v>8979</v>
      </c>
      <c r="JEM1" s="9" t="s">
        <v>8980</v>
      </c>
      <c r="JEN1" s="9" t="s">
        <v>8981</v>
      </c>
      <c r="JEO1" s="9" t="s">
        <v>8982</v>
      </c>
      <c r="JEP1" s="9" t="s">
        <v>8983</v>
      </c>
      <c r="JEQ1" s="9" t="s">
        <v>8984</v>
      </c>
      <c r="JER1" s="9" t="s">
        <v>8985</v>
      </c>
      <c r="JES1" s="9" t="s">
        <v>8986</v>
      </c>
      <c r="JET1" s="9" t="s">
        <v>8987</v>
      </c>
      <c r="JEU1" s="9" t="s">
        <v>8988</v>
      </c>
      <c r="JEV1" s="9" t="s">
        <v>8989</v>
      </c>
      <c r="JEW1" s="9" t="s">
        <v>8990</v>
      </c>
      <c r="JEX1" s="9" t="s">
        <v>8991</v>
      </c>
      <c r="JEY1" s="9" t="s">
        <v>8992</v>
      </c>
      <c r="JEZ1" s="9" t="s">
        <v>8993</v>
      </c>
      <c r="JFA1" s="9" t="s">
        <v>8994</v>
      </c>
      <c r="JFB1" s="9" t="s">
        <v>8995</v>
      </c>
      <c r="JFC1" s="9" t="s">
        <v>8996</v>
      </c>
      <c r="JFD1" s="9" t="s">
        <v>8997</v>
      </c>
      <c r="JFE1" s="9" t="s">
        <v>8998</v>
      </c>
      <c r="JFF1" s="9" t="s">
        <v>8999</v>
      </c>
      <c r="JFG1" s="9" t="s">
        <v>9000</v>
      </c>
      <c r="JFH1" s="9" t="s">
        <v>9001</v>
      </c>
      <c r="JFI1" s="9" t="s">
        <v>9002</v>
      </c>
      <c r="JFJ1" s="9" t="s">
        <v>9003</v>
      </c>
      <c r="JFK1" s="9" t="s">
        <v>9004</v>
      </c>
      <c r="JFL1" s="9" t="s">
        <v>9005</v>
      </c>
      <c r="JFM1" s="9" t="s">
        <v>9006</v>
      </c>
      <c r="JFN1" s="9" t="s">
        <v>9007</v>
      </c>
      <c r="JFO1" s="9" t="s">
        <v>9008</v>
      </c>
      <c r="JFP1" s="9" t="s">
        <v>9009</v>
      </c>
      <c r="JFQ1" s="9" t="s">
        <v>9010</v>
      </c>
      <c r="JFR1" s="9" t="s">
        <v>9011</v>
      </c>
      <c r="JFS1" s="9" t="s">
        <v>9012</v>
      </c>
      <c r="JFT1" s="9" t="s">
        <v>9013</v>
      </c>
      <c r="JFU1" s="9" t="s">
        <v>9014</v>
      </c>
      <c r="JFV1" s="9" t="s">
        <v>9015</v>
      </c>
      <c r="JFW1" s="9" t="s">
        <v>9016</v>
      </c>
      <c r="JFX1" s="9" t="s">
        <v>9017</v>
      </c>
      <c r="JFY1" s="9" t="s">
        <v>9018</v>
      </c>
      <c r="JFZ1" s="9" t="s">
        <v>9019</v>
      </c>
      <c r="JGA1" s="9" t="s">
        <v>9020</v>
      </c>
      <c r="JGB1" s="9" t="s">
        <v>9021</v>
      </c>
      <c r="JGC1" s="9" t="s">
        <v>9022</v>
      </c>
      <c r="JGD1" s="9" t="s">
        <v>9023</v>
      </c>
      <c r="JGE1" s="9" t="s">
        <v>9024</v>
      </c>
      <c r="JGF1" s="9" t="s">
        <v>9025</v>
      </c>
      <c r="JGG1" s="9" t="s">
        <v>9026</v>
      </c>
      <c r="JGH1" s="9" t="s">
        <v>9027</v>
      </c>
      <c r="JGI1" s="9" t="s">
        <v>9028</v>
      </c>
      <c r="JGJ1" s="9" t="s">
        <v>9029</v>
      </c>
      <c r="JGK1" s="9" t="s">
        <v>9030</v>
      </c>
      <c r="JGL1" s="9" t="s">
        <v>9031</v>
      </c>
      <c r="JGM1" s="9" t="s">
        <v>9032</v>
      </c>
      <c r="JGN1" s="9" t="s">
        <v>9033</v>
      </c>
      <c r="JGO1" s="9" t="s">
        <v>9034</v>
      </c>
      <c r="JGP1" s="9" t="s">
        <v>9035</v>
      </c>
      <c r="JGQ1" s="9" t="s">
        <v>9036</v>
      </c>
      <c r="JGR1" s="9" t="s">
        <v>9037</v>
      </c>
      <c r="JGS1" s="9" t="s">
        <v>9038</v>
      </c>
      <c r="JGT1" s="9" t="s">
        <v>9039</v>
      </c>
      <c r="JGU1" s="9" t="s">
        <v>9040</v>
      </c>
      <c r="JGV1" s="9" t="s">
        <v>9041</v>
      </c>
      <c r="JGW1" s="9" t="s">
        <v>9042</v>
      </c>
      <c r="JGX1" s="9" t="s">
        <v>9043</v>
      </c>
      <c r="JGY1" s="9" t="s">
        <v>9044</v>
      </c>
      <c r="JGZ1" s="9" t="s">
        <v>9045</v>
      </c>
      <c r="JHA1" s="9" t="s">
        <v>9046</v>
      </c>
      <c r="JHB1" s="9" t="s">
        <v>9047</v>
      </c>
      <c r="JHC1" s="9" t="s">
        <v>9048</v>
      </c>
      <c r="JHD1" s="9" t="s">
        <v>9049</v>
      </c>
      <c r="JHE1" s="9" t="s">
        <v>9050</v>
      </c>
      <c r="JHF1" s="9" t="s">
        <v>9051</v>
      </c>
      <c r="JHG1" s="9" t="s">
        <v>9052</v>
      </c>
      <c r="JHH1" s="9" t="s">
        <v>9053</v>
      </c>
      <c r="JHI1" s="9" t="s">
        <v>9054</v>
      </c>
      <c r="JHJ1" s="9" t="s">
        <v>9055</v>
      </c>
      <c r="JHK1" s="9" t="s">
        <v>9056</v>
      </c>
      <c r="JHL1" s="9" t="s">
        <v>9057</v>
      </c>
      <c r="JHM1" s="9" t="s">
        <v>9058</v>
      </c>
      <c r="JHN1" s="9" t="s">
        <v>9059</v>
      </c>
      <c r="JHO1" s="9" t="s">
        <v>9060</v>
      </c>
      <c r="JHP1" s="9" t="s">
        <v>9061</v>
      </c>
      <c r="JHQ1" s="9" t="s">
        <v>9062</v>
      </c>
      <c r="JHR1" s="9" t="s">
        <v>9063</v>
      </c>
      <c r="JHS1" s="9" t="s">
        <v>9064</v>
      </c>
      <c r="JHT1" s="9" t="s">
        <v>9065</v>
      </c>
      <c r="JHU1" s="9" t="s">
        <v>9066</v>
      </c>
      <c r="JHV1" s="9" t="s">
        <v>9067</v>
      </c>
      <c r="JHW1" s="9" t="s">
        <v>9068</v>
      </c>
      <c r="JHX1" s="9" t="s">
        <v>9069</v>
      </c>
      <c r="JHY1" s="9" t="s">
        <v>9070</v>
      </c>
      <c r="JHZ1" s="9" t="s">
        <v>9071</v>
      </c>
      <c r="JIA1" s="9" t="s">
        <v>9072</v>
      </c>
      <c r="JIB1" s="9" t="s">
        <v>9073</v>
      </c>
      <c r="JIC1" s="9" t="s">
        <v>9074</v>
      </c>
      <c r="JID1" s="9" t="s">
        <v>9075</v>
      </c>
      <c r="JIE1" s="9" t="s">
        <v>9076</v>
      </c>
      <c r="JIF1" s="9" t="s">
        <v>9077</v>
      </c>
      <c r="JIG1" s="9" t="s">
        <v>9078</v>
      </c>
      <c r="JIH1" s="9" t="s">
        <v>9079</v>
      </c>
      <c r="JII1" s="9" t="s">
        <v>9080</v>
      </c>
      <c r="JIJ1" s="9" t="s">
        <v>9081</v>
      </c>
      <c r="JIK1" s="9" t="s">
        <v>9082</v>
      </c>
      <c r="JIL1" s="9" t="s">
        <v>9083</v>
      </c>
      <c r="JIM1" s="9" t="s">
        <v>9084</v>
      </c>
      <c r="JIN1" s="9" t="s">
        <v>9085</v>
      </c>
      <c r="JIO1" s="9" t="s">
        <v>9086</v>
      </c>
      <c r="JIP1" s="9" t="s">
        <v>9087</v>
      </c>
      <c r="JIQ1" s="9" t="s">
        <v>9088</v>
      </c>
      <c r="JIR1" s="9" t="s">
        <v>9089</v>
      </c>
      <c r="JIS1" s="9" t="s">
        <v>9090</v>
      </c>
      <c r="JIT1" s="9" t="s">
        <v>9091</v>
      </c>
      <c r="JIU1" s="9" t="s">
        <v>9092</v>
      </c>
      <c r="JIV1" s="9" t="s">
        <v>9093</v>
      </c>
      <c r="JIW1" s="9" t="s">
        <v>9094</v>
      </c>
      <c r="JIX1" s="9" t="s">
        <v>9095</v>
      </c>
      <c r="JIY1" s="9" t="s">
        <v>9096</v>
      </c>
      <c r="JIZ1" s="9" t="s">
        <v>9097</v>
      </c>
      <c r="JJA1" s="9" t="s">
        <v>9098</v>
      </c>
      <c r="JJB1" s="9" t="s">
        <v>9099</v>
      </c>
      <c r="JJC1" s="9" t="s">
        <v>9100</v>
      </c>
      <c r="JJD1" s="9" t="s">
        <v>9101</v>
      </c>
      <c r="JJE1" s="9" t="s">
        <v>9102</v>
      </c>
      <c r="JJF1" s="9" t="s">
        <v>9103</v>
      </c>
      <c r="JJG1" s="9" t="s">
        <v>9104</v>
      </c>
      <c r="JJH1" s="9" t="s">
        <v>9105</v>
      </c>
      <c r="JJI1" s="9" t="s">
        <v>9106</v>
      </c>
      <c r="JJJ1" s="9" t="s">
        <v>9107</v>
      </c>
      <c r="JJK1" s="9" t="s">
        <v>9108</v>
      </c>
      <c r="JJL1" s="9" t="s">
        <v>9109</v>
      </c>
      <c r="JJM1" s="9" t="s">
        <v>9110</v>
      </c>
      <c r="JJN1" s="9" t="s">
        <v>9111</v>
      </c>
      <c r="JJO1" s="9" t="s">
        <v>9112</v>
      </c>
      <c r="JJP1" s="9" t="s">
        <v>9113</v>
      </c>
      <c r="JJQ1" s="9" t="s">
        <v>9114</v>
      </c>
      <c r="JJR1" s="9" t="s">
        <v>9115</v>
      </c>
      <c r="JJS1" s="9" t="s">
        <v>9116</v>
      </c>
      <c r="JJT1" s="9" t="s">
        <v>9117</v>
      </c>
      <c r="JJU1" s="9" t="s">
        <v>9118</v>
      </c>
      <c r="JJV1" s="9" t="s">
        <v>9119</v>
      </c>
      <c r="JJW1" s="9" t="s">
        <v>9120</v>
      </c>
      <c r="JJX1" s="9" t="s">
        <v>9121</v>
      </c>
      <c r="JJY1" s="9" t="s">
        <v>9122</v>
      </c>
      <c r="JJZ1" s="9" t="s">
        <v>9123</v>
      </c>
      <c r="JKA1" s="9" t="s">
        <v>9124</v>
      </c>
      <c r="JKB1" s="9" t="s">
        <v>9125</v>
      </c>
      <c r="JKC1" s="9" t="s">
        <v>9126</v>
      </c>
      <c r="JKD1" s="9" t="s">
        <v>9127</v>
      </c>
      <c r="JKE1" s="9" t="s">
        <v>9128</v>
      </c>
      <c r="JKF1" s="9" t="s">
        <v>9129</v>
      </c>
      <c r="JKG1" s="9" t="s">
        <v>9130</v>
      </c>
      <c r="JKH1" s="9" t="s">
        <v>9131</v>
      </c>
      <c r="JKI1" s="9" t="s">
        <v>9132</v>
      </c>
      <c r="JKJ1" s="9" t="s">
        <v>9133</v>
      </c>
      <c r="JKK1" s="9" t="s">
        <v>9134</v>
      </c>
      <c r="JKL1" s="9" t="s">
        <v>9135</v>
      </c>
      <c r="JKM1" s="9" t="s">
        <v>9136</v>
      </c>
      <c r="JKN1" s="9" t="s">
        <v>9137</v>
      </c>
      <c r="JKO1" s="9" t="s">
        <v>9138</v>
      </c>
      <c r="JKP1" s="9" t="s">
        <v>9139</v>
      </c>
      <c r="JKQ1" s="9" t="s">
        <v>9140</v>
      </c>
      <c r="JKR1" s="9" t="s">
        <v>9141</v>
      </c>
      <c r="JKS1" s="9" t="s">
        <v>9142</v>
      </c>
      <c r="JKT1" s="9" t="s">
        <v>9143</v>
      </c>
      <c r="JKU1" s="9" t="s">
        <v>9144</v>
      </c>
      <c r="JKV1" s="9" t="s">
        <v>9145</v>
      </c>
      <c r="JKW1" s="9" t="s">
        <v>9146</v>
      </c>
      <c r="JKX1" s="9" t="s">
        <v>9147</v>
      </c>
      <c r="JKY1" s="9" t="s">
        <v>9148</v>
      </c>
      <c r="JKZ1" s="9" t="s">
        <v>9149</v>
      </c>
      <c r="JLA1" s="9" t="s">
        <v>9150</v>
      </c>
      <c r="JLB1" s="9" t="s">
        <v>9151</v>
      </c>
      <c r="JLC1" s="9" t="s">
        <v>9152</v>
      </c>
      <c r="JLD1" s="9" t="s">
        <v>9153</v>
      </c>
      <c r="JLE1" s="9" t="s">
        <v>9154</v>
      </c>
      <c r="JLF1" s="9" t="s">
        <v>9155</v>
      </c>
      <c r="JLG1" s="9" t="s">
        <v>9156</v>
      </c>
      <c r="JLH1" s="9" t="s">
        <v>9157</v>
      </c>
      <c r="JLI1" s="9" t="s">
        <v>9158</v>
      </c>
      <c r="JLJ1" s="9" t="s">
        <v>9159</v>
      </c>
      <c r="JLK1" s="9" t="s">
        <v>9160</v>
      </c>
      <c r="JLL1" s="9" t="s">
        <v>9161</v>
      </c>
      <c r="JLM1" s="9" t="s">
        <v>9162</v>
      </c>
      <c r="JLN1" s="9" t="s">
        <v>9163</v>
      </c>
      <c r="JLO1" s="9" t="s">
        <v>9164</v>
      </c>
      <c r="JLP1" s="9" t="s">
        <v>9165</v>
      </c>
      <c r="JLQ1" s="9" t="s">
        <v>9166</v>
      </c>
      <c r="JLR1" s="9" t="s">
        <v>9167</v>
      </c>
      <c r="JLS1" s="9" t="s">
        <v>9168</v>
      </c>
      <c r="JLT1" s="9" t="s">
        <v>9169</v>
      </c>
      <c r="JLU1" s="9" t="s">
        <v>9170</v>
      </c>
      <c r="JLV1" s="9" t="s">
        <v>9171</v>
      </c>
      <c r="JLW1" s="9" t="s">
        <v>9172</v>
      </c>
      <c r="JLX1" s="9" t="s">
        <v>9173</v>
      </c>
      <c r="JLY1" s="9" t="s">
        <v>9174</v>
      </c>
      <c r="JLZ1" s="9" t="s">
        <v>9175</v>
      </c>
      <c r="JMA1" s="9" t="s">
        <v>9176</v>
      </c>
      <c r="JMB1" s="9" t="s">
        <v>9177</v>
      </c>
      <c r="JMC1" s="9" t="s">
        <v>9178</v>
      </c>
      <c r="JMD1" s="9" t="s">
        <v>9179</v>
      </c>
      <c r="JME1" s="9" t="s">
        <v>9180</v>
      </c>
      <c r="JMF1" s="9" t="s">
        <v>9181</v>
      </c>
      <c r="JMG1" s="9" t="s">
        <v>9182</v>
      </c>
      <c r="JMH1" s="9" t="s">
        <v>9183</v>
      </c>
      <c r="JMI1" s="9" t="s">
        <v>9184</v>
      </c>
      <c r="JMJ1" s="9" t="s">
        <v>9185</v>
      </c>
      <c r="JMK1" s="9" t="s">
        <v>9186</v>
      </c>
      <c r="JML1" s="9" t="s">
        <v>9187</v>
      </c>
      <c r="JMM1" s="9" t="s">
        <v>9188</v>
      </c>
      <c r="JMN1" s="9" t="s">
        <v>9189</v>
      </c>
      <c r="JMO1" s="9" t="s">
        <v>9190</v>
      </c>
      <c r="JMP1" s="9" t="s">
        <v>9191</v>
      </c>
      <c r="JMQ1" s="9" t="s">
        <v>9192</v>
      </c>
      <c r="JMR1" s="9" t="s">
        <v>9193</v>
      </c>
      <c r="JMS1" s="9" t="s">
        <v>9194</v>
      </c>
      <c r="JMT1" s="9" t="s">
        <v>9195</v>
      </c>
      <c r="JMU1" s="9" t="s">
        <v>9196</v>
      </c>
      <c r="JMV1" s="9" t="s">
        <v>9197</v>
      </c>
      <c r="JMW1" s="9" t="s">
        <v>9198</v>
      </c>
      <c r="JMX1" s="9" t="s">
        <v>9199</v>
      </c>
      <c r="JMY1" s="9" t="s">
        <v>9200</v>
      </c>
      <c r="JMZ1" s="9" t="s">
        <v>9201</v>
      </c>
      <c r="JNA1" s="9" t="s">
        <v>9202</v>
      </c>
      <c r="JNB1" s="9" t="s">
        <v>9203</v>
      </c>
      <c r="JNC1" s="9" t="s">
        <v>9204</v>
      </c>
      <c r="JND1" s="9" t="s">
        <v>9205</v>
      </c>
      <c r="JNE1" s="9" t="s">
        <v>9206</v>
      </c>
      <c r="JNF1" s="9" t="s">
        <v>9207</v>
      </c>
      <c r="JNG1" s="9" t="s">
        <v>9208</v>
      </c>
      <c r="JNH1" s="9" t="s">
        <v>9209</v>
      </c>
      <c r="JNI1" s="9" t="s">
        <v>9210</v>
      </c>
      <c r="JNJ1" s="9" t="s">
        <v>9211</v>
      </c>
      <c r="JNK1" s="9" t="s">
        <v>9212</v>
      </c>
      <c r="JNL1" s="9" t="s">
        <v>9213</v>
      </c>
      <c r="JNM1" s="9" t="s">
        <v>9214</v>
      </c>
      <c r="JNN1" s="9" t="s">
        <v>9215</v>
      </c>
      <c r="JNO1" s="9" t="s">
        <v>9216</v>
      </c>
      <c r="JNP1" s="9" t="s">
        <v>9217</v>
      </c>
      <c r="JNQ1" s="9" t="s">
        <v>9218</v>
      </c>
      <c r="JNR1" s="9" t="s">
        <v>9219</v>
      </c>
      <c r="JNS1" s="9" t="s">
        <v>9220</v>
      </c>
      <c r="JNT1" s="9" t="s">
        <v>9221</v>
      </c>
      <c r="JNU1" s="9" t="s">
        <v>9222</v>
      </c>
      <c r="JNV1" s="9" t="s">
        <v>9223</v>
      </c>
      <c r="JNW1" s="9" t="s">
        <v>9224</v>
      </c>
      <c r="JNX1" s="9" t="s">
        <v>9225</v>
      </c>
      <c r="JNY1" s="9" t="s">
        <v>9226</v>
      </c>
      <c r="JNZ1" s="9" t="s">
        <v>9227</v>
      </c>
      <c r="JOA1" s="9" t="s">
        <v>9228</v>
      </c>
      <c r="JOB1" s="9" t="s">
        <v>9229</v>
      </c>
      <c r="JOC1" s="9" t="s">
        <v>9230</v>
      </c>
      <c r="JOD1" s="9" t="s">
        <v>9231</v>
      </c>
      <c r="JOE1" s="9" t="s">
        <v>9232</v>
      </c>
      <c r="JOF1" s="9" t="s">
        <v>9233</v>
      </c>
      <c r="JOG1" s="9" t="s">
        <v>9234</v>
      </c>
      <c r="JOH1" s="9" t="s">
        <v>9235</v>
      </c>
      <c r="JOI1" s="9" t="s">
        <v>9236</v>
      </c>
      <c r="JOJ1" s="9" t="s">
        <v>9237</v>
      </c>
      <c r="JOK1" s="9" t="s">
        <v>9238</v>
      </c>
      <c r="JOL1" s="9" t="s">
        <v>9239</v>
      </c>
      <c r="JOM1" s="9" t="s">
        <v>9240</v>
      </c>
      <c r="JON1" s="9" t="s">
        <v>9241</v>
      </c>
      <c r="JOO1" s="9" t="s">
        <v>9242</v>
      </c>
      <c r="JOP1" s="9" t="s">
        <v>9243</v>
      </c>
      <c r="JOQ1" s="9" t="s">
        <v>9244</v>
      </c>
      <c r="JOR1" s="9" t="s">
        <v>9245</v>
      </c>
      <c r="JOS1" s="9" t="s">
        <v>9246</v>
      </c>
      <c r="JOT1" s="9" t="s">
        <v>9247</v>
      </c>
      <c r="JOU1" s="9" t="s">
        <v>9248</v>
      </c>
      <c r="JOV1" s="9" t="s">
        <v>9249</v>
      </c>
      <c r="JOW1" s="9" t="s">
        <v>9250</v>
      </c>
      <c r="JOX1" s="9" t="s">
        <v>9251</v>
      </c>
      <c r="JOY1" s="9" t="s">
        <v>9252</v>
      </c>
      <c r="JOZ1" s="9" t="s">
        <v>9253</v>
      </c>
      <c r="JPA1" s="9" t="s">
        <v>9254</v>
      </c>
      <c r="JPB1" s="9" t="s">
        <v>9255</v>
      </c>
      <c r="JPC1" s="9" t="s">
        <v>9256</v>
      </c>
      <c r="JPD1" s="9" t="s">
        <v>9257</v>
      </c>
      <c r="JPE1" s="9" t="s">
        <v>9258</v>
      </c>
      <c r="JPF1" s="9" t="s">
        <v>9259</v>
      </c>
      <c r="JPG1" s="9" t="s">
        <v>9260</v>
      </c>
      <c r="JPH1" s="9" t="s">
        <v>9261</v>
      </c>
      <c r="JPI1" s="9" t="s">
        <v>9262</v>
      </c>
      <c r="JPJ1" s="9" t="s">
        <v>9263</v>
      </c>
      <c r="JPK1" s="9" t="s">
        <v>9264</v>
      </c>
      <c r="JPL1" s="9" t="s">
        <v>9265</v>
      </c>
      <c r="JPM1" s="9" t="s">
        <v>9266</v>
      </c>
      <c r="JPN1" s="9" t="s">
        <v>9267</v>
      </c>
      <c r="JPO1" s="9" t="s">
        <v>9268</v>
      </c>
      <c r="JPP1" s="9" t="s">
        <v>9269</v>
      </c>
      <c r="JPQ1" s="9" t="s">
        <v>9270</v>
      </c>
      <c r="JPR1" s="9" t="s">
        <v>9271</v>
      </c>
      <c r="JPS1" s="9" t="s">
        <v>9272</v>
      </c>
      <c r="JPT1" s="9" t="s">
        <v>9273</v>
      </c>
      <c r="JPU1" s="9" t="s">
        <v>9274</v>
      </c>
      <c r="JPV1" s="9" t="s">
        <v>9275</v>
      </c>
      <c r="JPW1" s="9" t="s">
        <v>9276</v>
      </c>
      <c r="JPX1" s="9" t="s">
        <v>9277</v>
      </c>
      <c r="JPY1" s="9" t="s">
        <v>9278</v>
      </c>
      <c r="JPZ1" s="9" t="s">
        <v>9279</v>
      </c>
      <c r="JQA1" s="9" t="s">
        <v>9280</v>
      </c>
      <c r="JQB1" s="9" t="s">
        <v>9281</v>
      </c>
      <c r="JQC1" s="9" t="s">
        <v>9282</v>
      </c>
      <c r="JQD1" s="9" t="s">
        <v>9283</v>
      </c>
      <c r="JQE1" s="9" t="s">
        <v>9284</v>
      </c>
      <c r="JQF1" s="9" t="s">
        <v>9285</v>
      </c>
      <c r="JQG1" s="9" t="s">
        <v>9286</v>
      </c>
      <c r="JQH1" s="9" t="s">
        <v>9287</v>
      </c>
      <c r="JQI1" s="9" t="s">
        <v>9288</v>
      </c>
      <c r="JQJ1" s="9" t="s">
        <v>9289</v>
      </c>
      <c r="JQK1" s="9" t="s">
        <v>9290</v>
      </c>
      <c r="JQL1" s="9" t="s">
        <v>9291</v>
      </c>
      <c r="JQM1" s="9" t="s">
        <v>9292</v>
      </c>
      <c r="JQN1" s="9" t="s">
        <v>9293</v>
      </c>
      <c r="JQO1" s="9" t="s">
        <v>9294</v>
      </c>
      <c r="JQP1" s="9" t="s">
        <v>9295</v>
      </c>
      <c r="JQQ1" s="9" t="s">
        <v>9296</v>
      </c>
      <c r="JQR1" s="9" t="s">
        <v>9297</v>
      </c>
      <c r="JQS1" s="9" t="s">
        <v>9298</v>
      </c>
      <c r="JQT1" s="9" t="s">
        <v>9299</v>
      </c>
      <c r="JQU1" s="9" t="s">
        <v>9300</v>
      </c>
      <c r="JQV1" s="9" t="s">
        <v>9301</v>
      </c>
      <c r="JQW1" s="9" t="s">
        <v>9302</v>
      </c>
      <c r="JQX1" s="9" t="s">
        <v>9303</v>
      </c>
      <c r="JQY1" s="9" t="s">
        <v>9304</v>
      </c>
      <c r="JQZ1" s="9" t="s">
        <v>9305</v>
      </c>
      <c r="JRA1" s="9" t="s">
        <v>9306</v>
      </c>
      <c r="JRB1" s="9" t="s">
        <v>9307</v>
      </c>
      <c r="JRC1" s="9" t="s">
        <v>9308</v>
      </c>
      <c r="JRD1" s="9" t="s">
        <v>9309</v>
      </c>
      <c r="JRE1" s="9" t="s">
        <v>9310</v>
      </c>
      <c r="JRF1" s="9" t="s">
        <v>9311</v>
      </c>
      <c r="JRG1" s="9" t="s">
        <v>9312</v>
      </c>
      <c r="JRH1" s="9" t="s">
        <v>9313</v>
      </c>
      <c r="JRI1" s="9" t="s">
        <v>9314</v>
      </c>
      <c r="JRJ1" s="9" t="s">
        <v>9315</v>
      </c>
      <c r="JRK1" s="9" t="s">
        <v>9316</v>
      </c>
      <c r="JRL1" s="9" t="s">
        <v>9317</v>
      </c>
      <c r="JRM1" s="9" t="s">
        <v>9318</v>
      </c>
      <c r="JRN1" s="9" t="s">
        <v>9319</v>
      </c>
      <c r="JRO1" s="9" t="s">
        <v>9320</v>
      </c>
      <c r="JRP1" s="9" t="s">
        <v>9321</v>
      </c>
      <c r="JRQ1" s="9" t="s">
        <v>9322</v>
      </c>
      <c r="JRR1" s="9" t="s">
        <v>9323</v>
      </c>
      <c r="JRS1" s="9" t="s">
        <v>9324</v>
      </c>
      <c r="JRT1" s="9" t="s">
        <v>9325</v>
      </c>
      <c r="JRU1" s="9" t="s">
        <v>9326</v>
      </c>
      <c r="JRV1" s="9" t="s">
        <v>9327</v>
      </c>
      <c r="JRW1" s="9" t="s">
        <v>9328</v>
      </c>
      <c r="JRX1" s="9" t="s">
        <v>9329</v>
      </c>
      <c r="JRY1" s="9" t="s">
        <v>9330</v>
      </c>
      <c r="JRZ1" s="9" t="s">
        <v>9331</v>
      </c>
      <c r="JSA1" s="9" t="s">
        <v>9332</v>
      </c>
      <c r="JSB1" s="9" t="s">
        <v>9333</v>
      </c>
      <c r="JSC1" s="9" t="s">
        <v>9334</v>
      </c>
      <c r="JSD1" s="9" t="s">
        <v>9335</v>
      </c>
      <c r="JSE1" s="9" t="s">
        <v>9336</v>
      </c>
      <c r="JSF1" s="9" t="s">
        <v>9337</v>
      </c>
      <c r="JSG1" s="9" t="s">
        <v>9338</v>
      </c>
      <c r="JSH1" s="9" t="s">
        <v>9339</v>
      </c>
      <c r="JSI1" s="9" t="s">
        <v>9340</v>
      </c>
      <c r="JSJ1" s="9" t="s">
        <v>9341</v>
      </c>
      <c r="JSK1" s="9" t="s">
        <v>9342</v>
      </c>
      <c r="JSL1" s="9" t="s">
        <v>9343</v>
      </c>
      <c r="JSM1" s="9" t="s">
        <v>9344</v>
      </c>
      <c r="JSN1" s="9" t="s">
        <v>9345</v>
      </c>
      <c r="JSO1" s="9" t="s">
        <v>9346</v>
      </c>
      <c r="JSP1" s="9" t="s">
        <v>9347</v>
      </c>
      <c r="JSQ1" s="9" t="s">
        <v>9348</v>
      </c>
      <c r="JSR1" s="9" t="s">
        <v>9349</v>
      </c>
      <c r="JSS1" s="9" t="s">
        <v>9350</v>
      </c>
      <c r="JST1" s="9" t="s">
        <v>9351</v>
      </c>
      <c r="JSU1" s="9" t="s">
        <v>9352</v>
      </c>
      <c r="JSV1" s="9" t="s">
        <v>9353</v>
      </c>
      <c r="JSW1" s="9" t="s">
        <v>9354</v>
      </c>
      <c r="JSX1" s="9" t="s">
        <v>9355</v>
      </c>
      <c r="JSY1" s="9" t="s">
        <v>9356</v>
      </c>
      <c r="JSZ1" s="9" t="s">
        <v>9357</v>
      </c>
      <c r="JTA1" s="9" t="s">
        <v>9358</v>
      </c>
      <c r="JTB1" s="9" t="s">
        <v>9359</v>
      </c>
      <c r="JTC1" s="9" t="s">
        <v>9360</v>
      </c>
      <c r="JTD1" s="9" t="s">
        <v>9361</v>
      </c>
      <c r="JTE1" s="9" t="s">
        <v>9362</v>
      </c>
      <c r="JTF1" s="9" t="s">
        <v>9363</v>
      </c>
      <c r="JTG1" s="9" t="s">
        <v>9364</v>
      </c>
      <c r="JTH1" s="9" t="s">
        <v>9365</v>
      </c>
      <c r="JTI1" s="9" t="s">
        <v>9366</v>
      </c>
      <c r="JTJ1" s="9" t="s">
        <v>9367</v>
      </c>
      <c r="JTK1" s="9" t="s">
        <v>9368</v>
      </c>
      <c r="JTL1" s="9" t="s">
        <v>9369</v>
      </c>
      <c r="JTM1" s="9" t="s">
        <v>9370</v>
      </c>
      <c r="JTN1" s="9" t="s">
        <v>9371</v>
      </c>
      <c r="JTO1" s="9" t="s">
        <v>9372</v>
      </c>
      <c r="JTP1" s="9" t="s">
        <v>9373</v>
      </c>
      <c r="JTQ1" s="9" t="s">
        <v>9374</v>
      </c>
      <c r="JTR1" s="9" t="s">
        <v>9375</v>
      </c>
      <c r="JTS1" s="9" t="s">
        <v>9376</v>
      </c>
      <c r="JTT1" s="9" t="s">
        <v>9377</v>
      </c>
      <c r="JTU1" s="9" t="s">
        <v>9378</v>
      </c>
      <c r="JTV1" s="9" t="s">
        <v>9379</v>
      </c>
      <c r="JTW1" s="9" t="s">
        <v>9380</v>
      </c>
      <c r="JTX1" s="9" t="s">
        <v>9381</v>
      </c>
      <c r="JTY1" s="9" t="s">
        <v>9382</v>
      </c>
      <c r="JTZ1" s="9" t="s">
        <v>9383</v>
      </c>
      <c r="JUA1" s="9" t="s">
        <v>9384</v>
      </c>
      <c r="JUB1" s="9" t="s">
        <v>9385</v>
      </c>
      <c r="JUC1" s="9" t="s">
        <v>9386</v>
      </c>
      <c r="JUD1" s="9" t="s">
        <v>9387</v>
      </c>
      <c r="JUE1" s="9" t="s">
        <v>9388</v>
      </c>
      <c r="JUF1" s="9" t="s">
        <v>9389</v>
      </c>
      <c r="JUG1" s="9" t="s">
        <v>9390</v>
      </c>
      <c r="JUH1" s="9" t="s">
        <v>9391</v>
      </c>
      <c r="JUI1" s="9" t="s">
        <v>9392</v>
      </c>
      <c r="JUJ1" s="9" t="s">
        <v>9393</v>
      </c>
      <c r="JUK1" s="9" t="s">
        <v>9394</v>
      </c>
      <c r="JUL1" s="9" t="s">
        <v>9395</v>
      </c>
      <c r="JUM1" s="9" t="s">
        <v>9396</v>
      </c>
      <c r="JUN1" s="9" t="s">
        <v>9397</v>
      </c>
      <c r="JUO1" s="9" t="s">
        <v>9398</v>
      </c>
      <c r="JUP1" s="9" t="s">
        <v>9399</v>
      </c>
      <c r="JUQ1" s="9" t="s">
        <v>9400</v>
      </c>
      <c r="JUR1" s="9" t="s">
        <v>9401</v>
      </c>
      <c r="JUS1" s="9" t="s">
        <v>9402</v>
      </c>
      <c r="JUT1" s="9" t="s">
        <v>9403</v>
      </c>
      <c r="JUU1" s="9" t="s">
        <v>9404</v>
      </c>
      <c r="JUV1" s="9" t="s">
        <v>9405</v>
      </c>
      <c r="JUW1" s="9" t="s">
        <v>9406</v>
      </c>
      <c r="JUX1" s="9" t="s">
        <v>9407</v>
      </c>
      <c r="JUY1" s="9" t="s">
        <v>9408</v>
      </c>
      <c r="JUZ1" s="9" t="s">
        <v>9409</v>
      </c>
      <c r="JVA1" s="9" t="s">
        <v>9410</v>
      </c>
      <c r="JVB1" s="9" t="s">
        <v>9411</v>
      </c>
      <c r="JVC1" s="9" t="s">
        <v>9412</v>
      </c>
      <c r="JVD1" s="9" t="s">
        <v>9413</v>
      </c>
      <c r="JVE1" s="9" t="s">
        <v>9414</v>
      </c>
      <c r="JVF1" s="9" t="s">
        <v>9415</v>
      </c>
      <c r="JVG1" s="9" t="s">
        <v>9416</v>
      </c>
      <c r="JVH1" s="9" t="s">
        <v>9417</v>
      </c>
      <c r="JVI1" s="9" t="s">
        <v>9418</v>
      </c>
      <c r="JVJ1" s="9" t="s">
        <v>9419</v>
      </c>
      <c r="JVK1" s="9" t="s">
        <v>9420</v>
      </c>
      <c r="JVL1" s="9" t="s">
        <v>9421</v>
      </c>
      <c r="JVM1" s="9" t="s">
        <v>9422</v>
      </c>
      <c r="JVN1" s="9" t="s">
        <v>9423</v>
      </c>
      <c r="JVO1" s="9" t="s">
        <v>9424</v>
      </c>
      <c r="JVP1" s="9" t="s">
        <v>9425</v>
      </c>
      <c r="JVQ1" s="9" t="s">
        <v>9426</v>
      </c>
      <c r="JVR1" s="9" t="s">
        <v>9427</v>
      </c>
      <c r="JVS1" s="9" t="s">
        <v>9428</v>
      </c>
      <c r="JVT1" s="9" t="s">
        <v>9429</v>
      </c>
      <c r="JVU1" s="9" t="s">
        <v>9430</v>
      </c>
      <c r="JVV1" s="9" t="s">
        <v>9431</v>
      </c>
      <c r="JVW1" s="9" t="s">
        <v>9432</v>
      </c>
      <c r="JVX1" s="9" t="s">
        <v>9433</v>
      </c>
      <c r="JVY1" s="9" t="s">
        <v>9434</v>
      </c>
      <c r="JVZ1" s="9" t="s">
        <v>9435</v>
      </c>
      <c r="JWA1" s="9" t="s">
        <v>9436</v>
      </c>
      <c r="JWB1" s="9" t="s">
        <v>9437</v>
      </c>
      <c r="JWC1" s="9" t="s">
        <v>9438</v>
      </c>
      <c r="JWD1" s="9" t="s">
        <v>9439</v>
      </c>
      <c r="JWE1" s="9" t="s">
        <v>9440</v>
      </c>
      <c r="JWF1" s="9" t="s">
        <v>9441</v>
      </c>
      <c r="JWG1" s="9" t="s">
        <v>9442</v>
      </c>
      <c r="JWH1" s="9" t="s">
        <v>9443</v>
      </c>
      <c r="JWI1" s="9" t="s">
        <v>9444</v>
      </c>
      <c r="JWJ1" s="9" t="s">
        <v>9445</v>
      </c>
      <c r="JWK1" s="9" t="s">
        <v>9446</v>
      </c>
      <c r="JWL1" s="9" t="s">
        <v>9447</v>
      </c>
      <c r="JWM1" s="9" t="s">
        <v>9448</v>
      </c>
      <c r="JWN1" s="9" t="s">
        <v>9449</v>
      </c>
      <c r="JWO1" s="9" t="s">
        <v>9450</v>
      </c>
      <c r="JWP1" s="9" t="s">
        <v>9451</v>
      </c>
      <c r="JWQ1" s="9" t="s">
        <v>9452</v>
      </c>
      <c r="JWR1" s="9" t="s">
        <v>9453</v>
      </c>
      <c r="JWS1" s="9" t="s">
        <v>9454</v>
      </c>
      <c r="JWT1" s="9" t="s">
        <v>9455</v>
      </c>
      <c r="JWU1" s="9" t="s">
        <v>9456</v>
      </c>
      <c r="JWV1" s="9" t="s">
        <v>9457</v>
      </c>
      <c r="JWW1" s="9" t="s">
        <v>9458</v>
      </c>
      <c r="JWX1" s="9" t="s">
        <v>9459</v>
      </c>
      <c r="JWY1" s="9" t="s">
        <v>9460</v>
      </c>
      <c r="JWZ1" s="9" t="s">
        <v>9461</v>
      </c>
      <c r="JXA1" s="9" t="s">
        <v>9462</v>
      </c>
      <c r="JXB1" s="9" t="s">
        <v>9463</v>
      </c>
      <c r="JXC1" s="9" t="s">
        <v>9464</v>
      </c>
      <c r="JXD1" s="9" t="s">
        <v>9465</v>
      </c>
      <c r="JXE1" s="9" t="s">
        <v>9466</v>
      </c>
      <c r="JXF1" s="9" t="s">
        <v>9467</v>
      </c>
      <c r="JXG1" s="9" t="s">
        <v>9468</v>
      </c>
      <c r="JXH1" s="9" t="s">
        <v>9469</v>
      </c>
      <c r="JXI1" s="9" t="s">
        <v>9470</v>
      </c>
      <c r="JXJ1" s="9" t="s">
        <v>9471</v>
      </c>
      <c r="JXK1" s="9" t="s">
        <v>9472</v>
      </c>
      <c r="JXL1" s="9" t="s">
        <v>9473</v>
      </c>
      <c r="JXM1" s="9" t="s">
        <v>9474</v>
      </c>
      <c r="JXN1" s="9" t="s">
        <v>9475</v>
      </c>
      <c r="JXO1" s="9" t="s">
        <v>9476</v>
      </c>
      <c r="JXP1" s="9" t="s">
        <v>9477</v>
      </c>
      <c r="JXQ1" s="9" t="s">
        <v>9478</v>
      </c>
      <c r="JXR1" s="9" t="s">
        <v>9479</v>
      </c>
      <c r="JXS1" s="9" t="s">
        <v>9480</v>
      </c>
      <c r="JXT1" s="9" t="s">
        <v>9481</v>
      </c>
      <c r="JXU1" s="9" t="s">
        <v>9482</v>
      </c>
      <c r="JXV1" s="9" t="s">
        <v>9483</v>
      </c>
      <c r="JXW1" s="9" t="s">
        <v>9484</v>
      </c>
      <c r="JXX1" s="9" t="s">
        <v>9485</v>
      </c>
      <c r="JXY1" s="9" t="s">
        <v>9486</v>
      </c>
      <c r="JXZ1" s="9" t="s">
        <v>9487</v>
      </c>
      <c r="JYA1" s="9" t="s">
        <v>9488</v>
      </c>
      <c r="JYB1" s="9" t="s">
        <v>9489</v>
      </c>
      <c r="JYC1" s="9" t="s">
        <v>9490</v>
      </c>
      <c r="JYD1" s="9" t="s">
        <v>9491</v>
      </c>
      <c r="JYE1" s="9" t="s">
        <v>9492</v>
      </c>
      <c r="JYF1" s="9" t="s">
        <v>9493</v>
      </c>
      <c r="JYG1" s="9" t="s">
        <v>9494</v>
      </c>
      <c r="JYH1" s="9" t="s">
        <v>9495</v>
      </c>
      <c r="JYI1" s="9" t="s">
        <v>9496</v>
      </c>
      <c r="JYJ1" s="9" t="s">
        <v>9497</v>
      </c>
      <c r="JYK1" s="9" t="s">
        <v>9498</v>
      </c>
      <c r="JYL1" s="9" t="s">
        <v>9499</v>
      </c>
      <c r="JYM1" s="9" t="s">
        <v>9500</v>
      </c>
      <c r="JYN1" s="9" t="s">
        <v>9501</v>
      </c>
      <c r="JYO1" s="9" t="s">
        <v>9502</v>
      </c>
      <c r="JYP1" s="9" t="s">
        <v>9503</v>
      </c>
      <c r="JYQ1" s="9" t="s">
        <v>9504</v>
      </c>
      <c r="JYR1" s="9" t="s">
        <v>9505</v>
      </c>
      <c r="JYS1" s="9" t="s">
        <v>9506</v>
      </c>
      <c r="JYT1" s="9" t="s">
        <v>9507</v>
      </c>
      <c r="JYU1" s="9" t="s">
        <v>9508</v>
      </c>
      <c r="JYV1" s="9" t="s">
        <v>9509</v>
      </c>
      <c r="JYW1" s="9" t="s">
        <v>9510</v>
      </c>
      <c r="JYX1" s="9" t="s">
        <v>9511</v>
      </c>
      <c r="JYY1" s="9" t="s">
        <v>9512</v>
      </c>
      <c r="JYZ1" s="9" t="s">
        <v>9513</v>
      </c>
      <c r="JZA1" s="9" t="s">
        <v>9514</v>
      </c>
      <c r="JZB1" s="9" t="s">
        <v>9515</v>
      </c>
      <c r="JZC1" s="9" t="s">
        <v>9516</v>
      </c>
      <c r="JZD1" s="9" t="s">
        <v>9517</v>
      </c>
      <c r="JZE1" s="9" t="s">
        <v>9518</v>
      </c>
      <c r="JZF1" s="9" t="s">
        <v>9519</v>
      </c>
      <c r="JZG1" s="9" t="s">
        <v>9520</v>
      </c>
      <c r="JZH1" s="9" t="s">
        <v>9521</v>
      </c>
      <c r="JZI1" s="9" t="s">
        <v>9522</v>
      </c>
      <c r="JZJ1" s="9" t="s">
        <v>9523</v>
      </c>
      <c r="JZK1" s="9" t="s">
        <v>9524</v>
      </c>
      <c r="JZL1" s="9" t="s">
        <v>9525</v>
      </c>
      <c r="JZM1" s="9" t="s">
        <v>9526</v>
      </c>
      <c r="JZN1" s="9" t="s">
        <v>9527</v>
      </c>
      <c r="JZO1" s="9" t="s">
        <v>9528</v>
      </c>
      <c r="JZP1" s="9" t="s">
        <v>9529</v>
      </c>
      <c r="JZQ1" s="9" t="s">
        <v>9530</v>
      </c>
      <c r="JZR1" s="9" t="s">
        <v>9531</v>
      </c>
      <c r="JZS1" s="9" t="s">
        <v>9532</v>
      </c>
      <c r="JZT1" s="9" t="s">
        <v>9533</v>
      </c>
      <c r="JZU1" s="9" t="s">
        <v>9534</v>
      </c>
      <c r="JZV1" s="9" t="s">
        <v>9535</v>
      </c>
      <c r="JZW1" s="9" t="s">
        <v>9536</v>
      </c>
      <c r="JZX1" s="9" t="s">
        <v>9537</v>
      </c>
      <c r="JZY1" s="9" t="s">
        <v>9538</v>
      </c>
      <c r="JZZ1" s="9" t="s">
        <v>9539</v>
      </c>
      <c r="KAA1" s="9" t="s">
        <v>9540</v>
      </c>
      <c r="KAB1" s="9" t="s">
        <v>9541</v>
      </c>
      <c r="KAC1" s="9" t="s">
        <v>9542</v>
      </c>
      <c r="KAD1" s="9" t="s">
        <v>9543</v>
      </c>
      <c r="KAE1" s="9" t="s">
        <v>9544</v>
      </c>
      <c r="KAF1" s="9" t="s">
        <v>9545</v>
      </c>
      <c r="KAG1" s="9" t="s">
        <v>9546</v>
      </c>
      <c r="KAH1" s="9" t="s">
        <v>9547</v>
      </c>
      <c r="KAI1" s="9" t="s">
        <v>9548</v>
      </c>
      <c r="KAJ1" s="9" t="s">
        <v>9549</v>
      </c>
      <c r="KAK1" s="9" t="s">
        <v>9550</v>
      </c>
      <c r="KAL1" s="9" t="s">
        <v>9551</v>
      </c>
      <c r="KAM1" s="9" t="s">
        <v>9552</v>
      </c>
      <c r="KAN1" s="9" t="s">
        <v>9553</v>
      </c>
      <c r="KAO1" s="9" t="s">
        <v>9554</v>
      </c>
      <c r="KAP1" s="9" t="s">
        <v>9555</v>
      </c>
      <c r="KAQ1" s="9" t="s">
        <v>9556</v>
      </c>
      <c r="KAR1" s="9" t="s">
        <v>9557</v>
      </c>
      <c r="KAS1" s="9" t="s">
        <v>9558</v>
      </c>
      <c r="KAT1" s="9" t="s">
        <v>9559</v>
      </c>
      <c r="KAU1" s="9" t="s">
        <v>9560</v>
      </c>
      <c r="KAV1" s="9" t="s">
        <v>9561</v>
      </c>
      <c r="KAW1" s="9" t="s">
        <v>9562</v>
      </c>
      <c r="KAX1" s="9" t="s">
        <v>9563</v>
      </c>
      <c r="KAY1" s="9" t="s">
        <v>9564</v>
      </c>
      <c r="KAZ1" s="9" t="s">
        <v>9565</v>
      </c>
      <c r="KBA1" s="9" t="s">
        <v>9566</v>
      </c>
      <c r="KBB1" s="9" t="s">
        <v>9567</v>
      </c>
      <c r="KBC1" s="9" t="s">
        <v>9568</v>
      </c>
      <c r="KBD1" s="9" t="s">
        <v>9569</v>
      </c>
      <c r="KBE1" s="9" t="s">
        <v>9570</v>
      </c>
      <c r="KBF1" s="9" t="s">
        <v>9571</v>
      </c>
      <c r="KBG1" s="9" t="s">
        <v>9572</v>
      </c>
      <c r="KBH1" s="9" t="s">
        <v>9573</v>
      </c>
      <c r="KBI1" s="9" t="s">
        <v>9574</v>
      </c>
      <c r="KBJ1" s="9" t="s">
        <v>9575</v>
      </c>
      <c r="KBK1" s="9" t="s">
        <v>9576</v>
      </c>
      <c r="KBL1" s="9" t="s">
        <v>9577</v>
      </c>
      <c r="KBM1" s="9" t="s">
        <v>9578</v>
      </c>
      <c r="KBN1" s="9" t="s">
        <v>9579</v>
      </c>
      <c r="KBO1" s="9" t="s">
        <v>9580</v>
      </c>
      <c r="KBP1" s="9" t="s">
        <v>9581</v>
      </c>
      <c r="KBQ1" s="9" t="s">
        <v>9582</v>
      </c>
      <c r="KBR1" s="9" t="s">
        <v>9583</v>
      </c>
      <c r="KBS1" s="9" t="s">
        <v>9584</v>
      </c>
      <c r="KBT1" s="9" t="s">
        <v>9585</v>
      </c>
      <c r="KBU1" s="9" t="s">
        <v>9586</v>
      </c>
      <c r="KBV1" s="9" t="s">
        <v>9587</v>
      </c>
      <c r="KBW1" s="9" t="s">
        <v>9588</v>
      </c>
      <c r="KBX1" s="9" t="s">
        <v>9589</v>
      </c>
      <c r="KBY1" s="9" t="s">
        <v>9590</v>
      </c>
      <c r="KBZ1" s="9" t="s">
        <v>9591</v>
      </c>
      <c r="KCA1" s="9" t="s">
        <v>9592</v>
      </c>
      <c r="KCB1" s="9" t="s">
        <v>9593</v>
      </c>
      <c r="KCC1" s="9" t="s">
        <v>9594</v>
      </c>
      <c r="KCD1" s="9" t="s">
        <v>9595</v>
      </c>
      <c r="KCE1" s="9" t="s">
        <v>9596</v>
      </c>
      <c r="KCF1" s="9" t="s">
        <v>9597</v>
      </c>
      <c r="KCG1" s="9" t="s">
        <v>9598</v>
      </c>
      <c r="KCH1" s="9" t="s">
        <v>9599</v>
      </c>
      <c r="KCI1" s="9" t="s">
        <v>9600</v>
      </c>
      <c r="KCJ1" s="9" t="s">
        <v>9601</v>
      </c>
      <c r="KCK1" s="9" t="s">
        <v>9602</v>
      </c>
      <c r="KCL1" s="9" t="s">
        <v>9603</v>
      </c>
      <c r="KCM1" s="9" t="s">
        <v>9604</v>
      </c>
      <c r="KCN1" s="9" t="s">
        <v>9605</v>
      </c>
      <c r="KCO1" s="9" t="s">
        <v>9606</v>
      </c>
      <c r="KCP1" s="9" t="s">
        <v>9607</v>
      </c>
      <c r="KCQ1" s="9" t="s">
        <v>9608</v>
      </c>
      <c r="KCR1" s="9" t="s">
        <v>9609</v>
      </c>
      <c r="KCS1" s="9" t="s">
        <v>9610</v>
      </c>
      <c r="KCT1" s="9" t="s">
        <v>9611</v>
      </c>
      <c r="KCU1" s="9" t="s">
        <v>9612</v>
      </c>
      <c r="KCV1" s="9" t="s">
        <v>9613</v>
      </c>
      <c r="KCW1" s="9" t="s">
        <v>9614</v>
      </c>
      <c r="KCX1" s="9" t="s">
        <v>9615</v>
      </c>
      <c r="KCY1" s="9" t="s">
        <v>9616</v>
      </c>
      <c r="KCZ1" s="9" t="s">
        <v>9617</v>
      </c>
      <c r="KDA1" s="9" t="s">
        <v>9618</v>
      </c>
      <c r="KDB1" s="9" t="s">
        <v>9619</v>
      </c>
      <c r="KDC1" s="9" t="s">
        <v>9620</v>
      </c>
      <c r="KDD1" s="9" t="s">
        <v>9621</v>
      </c>
      <c r="KDE1" s="9" t="s">
        <v>9622</v>
      </c>
      <c r="KDF1" s="9" t="s">
        <v>9623</v>
      </c>
      <c r="KDG1" s="9" t="s">
        <v>9624</v>
      </c>
      <c r="KDH1" s="9" t="s">
        <v>9625</v>
      </c>
      <c r="KDI1" s="9" t="s">
        <v>9626</v>
      </c>
      <c r="KDJ1" s="9" t="s">
        <v>9627</v>
      </c>
      <c r="KDK1" s="9" t="s">
        <v>9628</v>
      </c>
      <c r="KDL1" s="9" t="s">
        <v>9629</v>
      </c>
      <c r="KDM1" s="9" t="s">
        <v>9630</v>
      </c>
      <c r="KDN1" s="9" t="s">
        <v>9631</v>
      </c>
      <c r="KDO1" s="9" t="s">
        <v>9632</v>
      </c>
      <c r="KDP1" s="9" t="s">
        <v>9633</v>
      </c>
      <c r="KDQ1" s="9" t="s">
        <v>9634</v>
      </c>
      <c r="KDR1" s="9" t="s">
        <v>9635</v>
      </c>
      <c r="KDS1" s="9" t="s">
        <v>9636</v>
      </c>
      <c r="KDT1" s="9" t="s">
        <v>9637</v>
      </c>
      <c r="KDU1" s="9" t="s">
        <v>9638</v>
      </c>
      <c r="KDV1" s="9" t="s">
        <v>9639</v>
      </c>
      <c r="KDW1" s="9" t="s">
        <v>9640</v>
      </c>
      <c r="KDX1" s="9" t="s">
        <v>9641</v>
      </c>
      <c r="KDY1" s="9" t="s">
        <v>9642</v>
      </c>
      <c r="KDZ1" s="9" t="s">
        <v>9643</v>
      </c>
      <c r="KEA1" s="9" t="s">
        <v>9644</v>
      </c>
      <c r="KEB1" s="9" t="s">
        <v>9645</v>
      </c>
      <c r="KEC1" s="9" t="s">
        <v>9646</v>
      </c>
      <c r="KED1" s="9" t="s">
        <v>9647</v>
      </c>
      <c r="KEE1" s="9" t="s">
        <v>9648</v>
      </c>
      <c r="KEF1" s="9" t="s">
        <v>9649</v>
      </c>
      <c r="KEG1" s="9" t="s">
        <v>9650</v>
      </c>
      <c r="KEH1" s="9" t="s">
        <v>9651</v>
      </c>
      <c r="KEI1" s="9" t="s">
        <v>9652</v>
      </c>
      <c r="KEJ1" s="9" t="s">
        <v>9653</v>
      </c>
      <c r="KEK1" s="9" t="s">
        <v>9654</v>
      </c>
      <c r="KEL1" s="9" t="s">
        <v>9655</v>
      </c>
      <c r="KEM1" s="9" t="s">
        <v>9656</v>
      </c>
      <c r="KEN1" s="9" t="s">
        <v>9657</v>
      </c>
      <c r="KEO1" s="9" t="s">
        <v>9658</v>
      </c>
      <c r="KEP1" s="9" t="s">
        <v>9659</v>
      </c>
      <c r="KEQ1" s="9" t="s">
        <v>9660</v>
      </c>
      <c r="KER1" s="9" t="s">
        <v>9661</v>
      </c>
      <c r="KES1" s="9" t="s">
        <v>9662</v>
      </c>
      <c r="KET1" s="9" t="s">
        <v>9663</v>
      </c>
      <c r="KEU1" s="9" t="s">
        <v>9664</v>
      </c>
      <c r="KEV1" s="9" t="s">
        <v>9665</v>
      </c>
      <c r="KEW1" s="9" t="s">
        <v>9666</v>
      </c>
      <c r="KEX1" s="9" t="s">
        <v>9667</v>
      </c>
      <c r="KEY1" s="9" t="s">
        <v>9668</v>
      </c>
      <c r="KEZ1" s="9" t="s">
        <v>9669</v>
      </c>
      <c r="KFA1" s="9" t="s">
        <v>9670</v>
      </c>
      <c r="KFB1" s="9" t="s">
        <v>9671</v>
      </c>
      <c r="KFC1" s="9" t="s">
        <v>9672</v>
      </c>
      <c r="KFD1" s="9" t="s">
        <v>9673</v>
      </c>
      <c r="KFE1" s="9" t="s">
        <v>9674</v>
      </c>
      <c r="KFF1" s="9" t="s">
        <v>9675</v>
      </c>
      <c r="KFG1" s="9" t="s">
        <v>9676</v>
      </c>
      <c r="KFH1" s="9" t="s">
        <v>9677</v>
      </c>
      <c r="KFI1" s="9" t="s">
        <v>9678</v>
      </c>
      <c r="KFJ1" s="9" t="s">
        <v>9679</v>
      </c>
      <c r="KFK1" s="9" t="s">
        <v>9680</v>
      </c>
      <c r="KFL1" s="9" t="s">
        <v>9681</v>
      </c>
      <c r="KFM1" s="9" t="s">
        <v>9682</v>
      </c>
      <c r="KFN1" s="9" t="s">
        <v>9683</v>
      </c>
      <c r="KFO1" s="9" t="s">
        <v>9684</v>
      </c>
      <c r="KFP1" s="9" t="s">
        <v>9685</v>
      </c>
      <c r="KFQ1" s="9" t="s">
        <v>9686</v>
      </c>
      <c r="KFR1" s="9" t="s">
        <v>9687</v>
      </c>
      <c r="KFS1" s="9" t="s">
        <v>9688</v>
      </c>
      <c r="KFT1" s="9" t="s">
        <v>9689</v>
      </c>
      <c r="KFU1" s="9" t="s">
        <v>9690</v>
      </c>
      <c r="KFV1" s="9" t="s">
        <v>9691</v>
      </c>
      <c r="KFW1" s="9" t="s">
        <v>9692</v>
      </c>
      <c r="KFX1" s="9" t="s">
        <v>9693</v>
      </c>
      <c r="KFY1" s="9" t="s">
        <v>9694</v>
      </c>
      <c r="KFZ1" s="9" t="s">
        <v>9695</v>
      </c>
      <c r="KGA1" s="9" t="s">
        <v>9696</v>
      </c>
      <c r="KGB1" s="9" t="s">
        <v>9697</v>
      </c>
      <c r="KGC1" s="9" t="s">
        <v>9698</v>
      </c>
      <c r="KGD1" s="9" t="s">
        <v>9699</v>
      </c>
      <c r="KGE1" s="9" t="s">
        <v>9700</v>
      </c>
      <c r="KGF1" s="9" t="s">
        <v>9701</v>
      </c>
      <c r="KGG1" s="9" t="s">
        <v>9702</v>
      </c>
      <c r="KGH1" s="9" t="s">
        <v>9703</v>
      </c>
      <c r="KGI1" s="9" t="s">
        <v>9704</v>
      </c>
      <c r="KGJ1" s="9" t="s">
        <v>9705</v>
      </c>
      <c r="KGK1" s="9" t="s">
        <v>9706</v>
      </c>
      <c r="KGL1" s="9" t="s">
        <v>9707</v>
      </c>
      <c r="KGM1" s="9" t="s">
        <v>9708</v>
      </c>
      <c r="KGN1" s="9" t="s">
        <v>9709</v>
      </c>
      <c r="KGO1" s="9" t="s">
        <v>9710</v>
      </c>
      <c r="KGP1" s="9" t="s">
        <v>9711</v>
      </c>
      <c r="KGQ1" s="9" t="s">
        <v>9712</v>
      </c>
      <c r="KGR1" s="9" t="s">
        <v>9713</v>
      </c>
      <c r="KGS1" s="9" t="s">
        <v>9714</v>
      </c>
      <c r="KGT1" s="9" t="s">
        <v>9715</v>
      </c>
      <c r="KGU1" s="9" t="s">
        <v>9716</v>
      </c>
      <c r="KGV1" s="9" t="s">
        <v>9717</v>
      </c>
      <c r="KGW1" s="9" t="s">
        <v>9718</v>
      </c>
      <c r="KGX1" s="9" t="s">
        <v>9719</v>
      </c>
      <c r="KGY1" s="9" t="s">
        <v>9720</v>
      </c>
      <c r="KGZ1" s="9" t="s">
        <v>9721</v>
      </c>
      <c r="KHA1" s="9" t="s">
        <v>9722</v>
      </c>
      <c r="KHB1" s="9" t="s">
        <v>9723</v>
      </c>
      <c r="KHC1" s="9" t="s">
        <v>9724</v>
      </c>
      <c r="KHD1" s="9" t="s">
        <v>9725</v>
      </c>
      <c r="KHE1" s="9" t="s">
        <v>9726</v>
      </c>
      <c r="KHF1" s="9" t="s">
        <v>9727</v>
      </c>
      <c r="KHG1" s="9" t="s">
        <v>9728</v>
      </c>
      <c r="KHH1" s="9" t="s">
        <v>9729</v>
      </c>
      <c r="KHI1" s="9" t="s">
        <v>9730</v>
      </c>
      <c r="KHJ1" s="9" t="s">
        <v>9731</v>
      </c>
      <c r="KHK1" s="9" t="s">
        <v>9732</v>
      </c>
      <c r="KHL1" s="9" t="s">
        <v>9733</v>
      </c>
      <c r="KHM1" s="9" t="s">
        <v>9734</v>
      </c>
      <c r="KHN1" s="9" t="s">
        <v>9735</v>
      </c>
      <c r="KHO1" s="9" t="s">
        <v>9736</v>
      </c>
      <c r="KHP1" s="9" t="s">
        <v>9737</v>
      </c>
      <c r="KHQ1" s="9" t="s">
        <v>9738</v>
      </c>
      <c r="KHR1" s="9" t="s">
        <v>9739</v>
      </c>
      <c r="KHS1" s="9" t="s">
        <v>9740</v>
      </c>
      <c r="KHT1" s="9" t="s">
        <v>9741</v>
      </c>
      <c r="KHU1" s="9" t="s">
        <v>9742</v>
      </c>
      <c r="KHV1" s="9" t="s">
        <v>9743</v>
      </c>
      <c r="KHW1" s="9" t="s">
        <v>9744</v>
      </c>
      <c r="KHX1" s="9" t="s">
        <v>9745</v>
      </c>
      <c r="KHY1" s="9" t="s">
        <v>9746</v>
      </c>
      <c r="KHZ1" s="9" t="s">
        <v>9747</v>
      </c>
      <c r="KIA1" s="9" t="s">
        <v>9748</v>
      </c>
      <c r="KIB1" s="9" t="s">
        <v>9749</v>
      </c>
      <c r="KIC1" s="9" t="s">
        <v>9750</v>
      </c>
      <c r="KID1" s="9" t="s">
        <v>9751</v>
      </c>
      <c r="KIE1" s="9" t="s">
        <v>9752</v>
      </c>
      <c r="KIF1" s="9" t="s">
        <v>9753</v>
      </c>
      <c r="KIG1" s="9" t="s">
        <v>9754</v>
      </c>
      <c r="KIH1" s="9" t="s">
        <v>9755</v>
      </c>
      <c r="KII1" s="9" t="s">
        <v>9756</v>
      </c>
      <c r="KIJ1" s="9" t="s">
        <v>9757</v>
      </c>
      <c r="KIK1" s="9" t="s">
        <v>9758</v>
      </c>
      <c r="KIL1" s="9" t="s">
        <v>9759</v>
      </c>
      <c r="KIM1" s="9" t="s">
        <v>9760</v>
      </c>
      <c r="KIN1" s="9" t="s">
        <v>9761</v>
      </c>
      <c r="KIO1" s="9" t="s">
        <v>9762</v>
      </c>
      <c r="KIP1" s="9" t="s">
        <v>9763</v>
      </c>
      <c r="KIQ1" s="9" t="s">
        <v>9764</v>
      </c>
      <c r="KIR1" s="9" t="s">
        <v>9765</v>
      </c>
      <c r="KIS1" s="9" t="s">
        <v>9766</v>
      </c>
      <c r="KIT1" s="9" t="s">
        <v>9767</v>
      </c>
      <c r="KIU1" s="9" t="s">
        <v>9768</v>
      </c>
      <c r="KIV1" s="9" t="s">
        <v>9769</v>
      </c>
      <c r="KIW1" s="9" t="s">
        <v>9770</v>
      </c>
      <c r="KIX1" s="9" t="s">
        <v>9771</v>
      </c>
      <c r="KIY1" s="9" t="s">
        <v>9772</v>
      </c>
      <c r="KIZ1" s="9" t="s">
        <v>9773</v>
      </c>
      <c r="KJA1" s="9" t="s">
        <v>9774</v>
      </c>
      <c r="KJB1" s="9" t="s">
        <v>9775</v>
      </c>
      <c r="KJC1" s="9" t="s">
        <v>9776</v>
      </c>
      <c r="KJD1" s="9" t="s">
        <v>9777</v>
      </c>
      <c r="KJE1" s="9" t="s">
        <v>9778</v>
      </c>
      <c r="KJF1" s="9" t="s">
        <v>9779</v>
      </c>
      <c r="KJG1" s="9" t="s">
        <v>9780</v>
      </c>
      <c r="KJH1" s="9" t="s">
        <v>9781</v>
      </c>
      <c r="KJI1" s="9" t="s">
        <v>9782</v>
      </c>
      <c r="KJJ1" s="9" t="s">
        <v>9783</v>
      </c>
      <c r="KJK1" s="9" t="s">
        <v>9784</v>
      </c>
      <c r="KJL1" s="9" t="s">
        <v>9785</v>
      </c>
      <c r="KJM1" s="9" t="s">
        <v>9786</v>
      </c>
      <c r="KJN1" s="9" t="s">
        <v>9787</v>
      </c>
      <c r="KJO1" s="9" t="s">
        <v>9788</v>
      </c>
      <c r="KJP1" s="9" t="s">
        <v>9789</v>
      </c>
      <c r="KJQ1" s="9" t="s">
        <v>9790</v>
      </c>
      <c r="KJR1" s="9" t="s">
        <v>9791</v>
      </c>
      <c r="KJS1" s="9" t="s">
        <v>9792</v>
      </c>
      <c r="KJT1" s="9" t="s">
        <v>9793</v>
      </c>
      <c r="KJU1" s="9" t="s">
        <v>9794</v>
      </c>
      <c r="KJV1" s="9" t="s">
        <v>9795</v>
      </c>
      <c r="KJW1" s="9" t="s">
        <v>9796</v>
      </c>
      <c r="KJX1" s="9" t="s">
        <v>9797</v>
      </c>
      <c r="KJY1" s="9" t="s">
        <v>9798</v>
      </c>
      <c r="KJZ1" s="9" t="s">
        <v>9799</v>
      </c>
      <c r="KKA1" s="9" t="s">
        <v>9800</v>
      </c>
      <c r="KKB1" s="9" t="s">
        <v>9801</v>
      </c>
      <c r="KKC1" s="9" t="s">
        <v>9802</v>
      </c>
      <c r="KKD1" s="9" t="s">
        <v>9803</v>
      </c>
      <c r="KKE1" s="9" t="s">
        <v>9804</v>
      </c>
      <c r="KKF1" s="9" t="s">
        <v>9805</v>
      </c>
      <c r="KKG1" s="9" t="s">
        <v>9806</v>
      </c>
      <c r="KKH1" s="9" t="s">
        <v>9807</v>
      </c>
      <c r="KKI1" s="9" t="s">
        <v>9808</v>
      </c>
      <c r="KKJ1" s="9" t="s">
        <v>9809</v>
      </c>
      <c r="KKK1" s="9" t="s">
        <v>9810</v>
      </c>
      <c r="KKL1" s="9" t="s">
        <v>9811</v>
      </c>
      <c r="KKM1" s="9" t="s">
        <v>9812</v>
      </c>
      <c r="KKN1" s="9" t="s">
        <v>9813</v>
      </c>
      <c r="KKO1" s="9" t="s">
        <v>9814</v>
      </c>
      <c r="KKP1" s="9" t="s">
        <v>9815</v>
      </c>
      <c r="KKQ1" s="9" t="s">
        <v>9816</v>
      </c>
      <c r="KKR1" s="9" t="s">
        <v>9817</v>
      </c>
      <c r="KKS1" s="9" t="s">
        <v>9818</v>
      </c>
      <c r="KKT1" s="9" t="s">
        <v>9819</v>
      </c>
      <c r="KKU1" s="9" t="s">
        <v>9820</v>
      </c>
      <c r="KKV1" s="9" t="s">
        <v>9821</v>
      </c>
      <c r="KKW1" s="9" t="s">
        <v>9822</v>
      </c>
      <c r="KKX1" s="9" t="s">
        <v>9823</v>
      </c>
      <c r="KKY1" s="9" t="s">
        <v>9824</v>
      </c>
      <c r="KKZ1" s="9" t="s">
        <v>9825</v>
      </c>
      <c r="KLA1" s="9" t="s">
        <v>9826</v>
      </c>
      <c r="KLB1" s="9" t="s">
        <v>9827</v>
      </c>
      <c r="KLC1" s="9" t="s">
        <v>9828</v>
      </c>
      <c r="KLD1" s="9" t="s">
        <v>9829</v>
      </c>
      <c r="KLE1" s="9" t="s">
        <v>9830</v>
      </c>
      <c r="KLF1" s="9" t="s">
        <v>9831</v>
      </c>
      <c r="KLG1" s="9" t="s">
        <v>9832</v>
      </c>
      <c r="KLH1" s="9" t="s">
        <v>9833</v>
      </c>
      <c r="KLI1" s="9" t="s">
        <v>9834</v>
      </c>
      <c r="KLJ1" s="9" t="s">
        <v>9835</v>
      </c>
      <c r="KLK1" s="9" t="s">
        <v>9836</v>
      </c>
      <c r="KLL1" s="9" t="s">
        <v>9837</v>
      </c>
      <c r="KLM1" s="9" t="s">
        <v>9838</v>
      </c>
      <c r="KLN1" s="9" t="s">
        <v>9839</v>
      </c>
      <c r="KLO1" s="9" t="s">
        <v>9840</v>
      </c>
      <c r="KLP1" s="9" t="s">
        <v>9841</v>
      </c>
      <c r="KLQ1" s="9" t="s">
        <v>9842</v>
      </c>
      <c r="KLR1" s="9" t="s">
        <v>9843</v>
      </c>
      <c r="KLS1" s="9" t="s">
        <v>9844</v>
      </c>
      <c r="KLT1" s="9" t="s">
        <v>9845</v>
      </c>
      <c r="KLU1" s="9" t="s">
        <v>9846</v>
      </c>
      <c r="KLV1" s="9" t="s">
        <v>9847</v>
      </c>
      <c r="KLW1" s="9" t="s">
        <v>9848</v>
      </c>
      <c r="KLX1" s="9" t="s">
        <v>9849</v>
      </c>
      <c r="KLY1" s="9" t="s">
        <v>9850</v>
      </c>
      <c r="KLZ1" s="9" t="s">
        <v>9851</v>
      </c>
      <c r="KMA1" s="9" t="s">
        <v>9852</v>
      </c>
      <c r="KMB1" s="9" t="s">
        <v>9853</v>
      </c>
      <c r="KMC1" s="9" t="s">
        <v>9854</v>
      </c>
      <c r="KMD1" s="9" t="s">
        <v>9855</v>
      </c>
      <c r="KME1" s="9" t="s">
        <v>9856</v>
      </c>
      <c r="KMF1" s="9" t="s">
        <v>9857</v>
      </c>
      <c r="KMG1" s="9" t="s">
        <v>9858</v>
      </c>
      <c r="KMH1" s="9" t="s">
        <v>9859</v>
      </c>
      <c r="KMI1" s="9" t="s">
        <v>9860</v>
      </c>
      <c r="KMJ1" s="9" t="s">
        <v>9861</v>
      </c>
      <c r="KMK1" s="9" t="s">
        <v>9862</v>
      </c>
      <c r="KML1" s="9" t="s">
        <v>9863</v>
      </c>
      <c r="KMM1" s="9" t="s">
        <v>9864</v>
      </c>
      <c r="KMN1" s="9" t="s">
        <v>9865</v>
      </c>
      <c r="KMO1" s="9" t="s">
        <v>9866</v>
      </c>
      <c r="KMP1" s="9" t="s">
        <v>9867</v>
      </c>
      <c r="KMQ1" s="9" t="s">
        <v>9868</v>
      </c>
      <c r="KMR1" s="9" t="s">
        <v>9869</v>
      </c>
      <c r="KMS1" s="9" t="s">
        <v>9870</v>
      </c>
      <c r="KMT1" s="9" t="s">
        <v>9871</v>
      </c>
      <c r="KMU1" s="9" t="s">
        <v>9872</v>
      </c>
      <c r="KMV1" s="9" t="s">
        <v>9873</v>
      </c>
      <c r="KMW1" s="9" t="s">
        <v>9874</v>
      </c>
      <c r="KMX1" s="9" t="s">
        <v>9875</v>
      </c>
      <c r="KMY1" s="9" t="s">
        <v>9876</v>
      </c>
      <c r="KMZ1" s="9" t="s">
        <v>9877</v>
      </c>
      <c r="KNA1" s="9" t="s">
        <v>9878</v>
      </c>
      <c r="KNB1" s="9" t="s">
        <v>9879</v>
      </c>
      <c r="KNC1" s="9" t="s">
        <v>9880</v>
      </c>
      <c r="KND1" s="9" t="s">
        <v>9881</v>
      </c>
      <c r="KNE1" s="9" t="s">
        <v>9882</v>
      </c>
      <c r="KNF1" s="9" t="s">
        <v>9883</v>
      </c>
      <c r="KNG1" s="9" t="s">
        <v>9884</v>
      </c>
      <c r="KNH1" s="9" t="s">
        <v>9885</v>
      </c>
      <c r="KNI1" s="9" t="s">
        <v>9886</v>
      </c>
      <c r="KNJ1" s="9" t="s">
        <v>9887</v>
      </c>
      <c r="KNK1" s="9" t="s">
        <v>9888</v>
      </c>
      <c r="KNL1" s="9" t="s">
        <v>9889</v>
      </c>
      <c r="KNM1" s="9" t="s">
        <v>9890</v>
      </c>
      <c r="KNN1" s="9" t="s">
        <v>9891</v>
      </c>
      <c r="KNO1" s="9" t="s">
        <v>9892</v>
      </c>
      <c r="KNP1" s="9" t="s">
        <v>9893</v>
      </c>
      <c r="KNQ1" s="9" t="s">
        <v>9894</v>
      </c>
      <c r="KNR1" s="9" t="s">
        <v>9895</v>
      </c>
      <c r="KNS1" s="9" t="s">
        <v>9896</v>
      </c>
      <c r="KNT1" s="9" t="s">
        <v>9897</v>
      </c>
      <c r="KNU1" s="9" t="s">
        <v>9898</v>
      </c>
      <c r="KNV1" s="9" t="s">
        <v>9899</v>
      </c>
      <c r="KNW1" s="9" t="s">
        <v>9900</v>
      </c>
      <c r="KNX1" s="9" t="s">
        <v>9901</v>
      </c>
      <c r="KNY1" s="9" t="s">
        <v>9902</v>
      </c>
      <c r="KNZ1" s="9" t="s">
        <v>9903</v>
      </c>
      <c r="KOA1" s="9" t="s">
        <v>9904</v>
      </c>
      <c r="KOB1" s="9" t="s">
        <v>9905</v>
      </c>
      <c r="KOC1" s="9" t="s">
        <v>9906</v>
      </c>
      <c r="KOD1" s="9" t="s">
        <v>9907</v>
      </c>
      <c r="KOE1" s="9" t="s">
        <v>9908</v>
      </c>
      <c r="KOF1" s="9" t="s">
        <v>9909</v>
      </c>
      <c r="KOG1" s="9" t="s">
        <v>9910</v>
      </c>
      <c r="KOH1" s="9" t="s">
        <v>9911</v>
      </c>
      <c r="KOI1" s="9" t="s">
        <v>9912</v>
      </c>
      <c r="KOJ1" s="9" t="s">
        <v>9913</v>
      </c>
      <c r="KOK1" s="9" t="s">
        <v>9914</v>
      </c>
      <c r="KOL1" s="9" t="s">
        <v>9915</v>
      </c>
      <c r="KOM1" s="9" t="s">
        <v>9916</v>
      </c>
      <c r="KON1" s="9" t="s">
        <v>9917</v>
      </c>
      <c r="KOO1" s="9" t="s">
        <v>9918</v>
      </c>
      <c r="KOP1" s="9" t="s">
        <v>9919</v>
      </c>
      <c r="KOQ1" s="9" t="s">
        <v>9920</v>
      </c>
      <c r="KOR1" s="9" t="s">
        <v>9921</v>
      </c>
      <c r="KOS1" s="9" t="s">
        <v>9922</v>
      </c>
      <c r="KOT1" s="9" t="s">
        <v>9923</v>
      </c>
      <c r="KOU1" s="9" t="s">
        <v>9924</v>
      </c>
      <c r="KOV1" s="9" t="s">
        <v>9925</v>
      </c>
      <c r="KOW1" s="9" t="s">
        <v>9926</v>
      </c>
      <c r="KOX1" s="9" t="s">
        <v>9927</v>
      </c>
      <c r="KOY1" s="9" t="s">
        <v>9928</v>
      </c>
      <c r="KOZ1" s="9" t="s">
        <v>9929</v>
      </c>
      <c r="KPA1" s="9" t="s">
        <v>9930</v>
      </c>
      <c r="KPB1" s="9" t="s">
        <v>9931</v>
      </c>
      <c r="KPC1" s="9" t="s">
        <v>9932</v>
      </c>
      <c r="KPD1" s="9" t="s">
        <v>9933</v>
      </c>
      <c r="KPE1" s="9" t="s">
        <v>9934</v>
      </c>
      <c r="KPF1" s="9" t="s">
        <v>9935</v>
      </c>
      <c r="KPG1" s="9" t="s">
        <v>9936</v>
      </c>
      <c r="KPH1" s="9" t="s">
        <v>9937</v>
      </c>
      <c r="KPI1" s="9" t="s">
        <v>9938</v>
      </c>
      <c r="KPJ1" s="9" t="s">
        <v>9939</v>
      </c>
      <c r="KPK1" s="9" t="s">
        <v>9940</v>
      </c>
      <c r="KPL1" s="9" t="s">
        <v>9941</v>
      </c>
      <c r="KPM1" s="9" t="s">
        <v>9942</v>
      </c>
      <c r="KPN1" s="9" t="s">
        <v>9943</v>
      </c>
      <c r="KPO1" s="9" t="s">
        <v>9944</v>
      </c>
      <c r="KPP1" s="9" t="s">
        <v>9945</v>
      </c>
      <c r="KPQ1" s="9" t="s">
        <v>9946</v>
      </c>
      <c r="KPR1" s="9" t="s">
        <v>9947</v>
      </c>
      <c r="KPS1" s="9" t="s">
        <v>9948</v>
      </c>
      <c r="KPT1" s="9" t="s">
        <v>9949</v>
      </c>
      <c r="KPU1" s="9" t="s">
        <v>9950</v>
      </c>
      <c r="KPV1" s="9" t="s">
        <v>9951</v>
      </c>
      <c r="KPW1" s="9" t="s">
        <v>9952</v>
      </c>
      <c r="KPX1" s="9" t="s">
        <v>9953</v>
      </c>
      <c r="KPY1" s="9" t="s">
        <v>9954</v>
      </c>
      <c r="KPZ1" s="9" t="s">
        <v>9955</v>
      </c>
      <c r="KQA1" s="9" t="s">
        <v>9956</v>
      </c>
      <c r="KQB1" s="9" t="s">
        <v>9957</v>
      </c>
      <c r="KQC1" s="9" t="s">
        <v>9958</v>
      </c>
      <c r="KQD1" s="9" t="s">
        <v>9959</v>
      </c>
      <c r="KQE1" s="9" t="s">
        <v>9960</v>
      </c>
      <c r="KQF1" s="9" t="s">
        <v>9961</v>
      </c>
      <c r="KQG1" s="9" t="s">
        <v>9962</v>
      </c>
      <c r="KQH1" s="9" t="s">
        <v>9963</v>
      </c>
      <c r="KQI1" s="9" t="s">
        <v>9964</v>
      </c>
      <c r="KQJ1" s="9" t="s">
        <v>9965</v>
      </c>
      <c r="KQK1" s="9" t="s">
        <v>9966</v>
      </c>
      <c r="KQL1" s="9" t="s">
        <v>9967</v>
      </c>
      <c r="KQM1" s="9" t="s">
        <v>9968</v>
      </c>
      <c r="KQN1" s="9" t="s">
        <v>9969</v>
      </c>
      <c r="KQO1" s="9" t="s">
        <v>9970</v>
      </c>
      <c r="KQP1" s="9" t="s">
        <v>9971</v>
      </c>
      <c r="KQQ1" s="9" t="s">
        <v>9972</v>
      </c>
      <c r="KQR1" s="9" t="s">
        <v>9973</v>
      </c>
      <c r="KQS1" s="9" t="s">
        <v>9974</v>
      </c>
      <c r="KQT1" s="9" t="s">
        <v>9975</v>
      </c>
      <c r="KQU1" s="9" t="s">
        <v>9976</v>
      </c>
      <c r="KQV1" s="9" t="s">
        <v>9977</v>
      </c>
      <c r="KQW1" s="9" t="s">
        <v>9978</v>
      </c>
      <c r="KQX1" s="9" t="s">
        <v>9979</v>
      </c>
      <c r="KQY1" s="9" t="s">
        <v>9980</v>
      </c>
      <c r="KQZ1" s="9" t="s">
        <v>9981</v>
      </c>
      <c r="KRA1" s="9" t="s">
        <v>9982</v>
      </c>
      <c r="KRB1" s="9" t="s">
        <v>9983</v>
      </c>
      <c r="KRC1" s="9" t="s">
        <v>9984</v>
      </c>
      <c r="KRD1" s="9" t="s">
        <v>9985</v>
      </c>
      <c r="KRE1" s="9" t="s">
        <v>9986</v>
      </c>
      <c r="KRF1" s="9" t="s">
        <v>9987</v>
      </c>
      <c r="KRG1" s="9" t="s">
        <v>9988</v>
      </c>
      <c r="KRH1" s="9" t="s">
        <v>9989</v>
      </c>
      <c r="KRI1" s="9" t="s">
        <v>9990</v>
      </c>
      <c r="KRJ1" s="9" t="s">
        <v>9991</v>
      </c>
      <c r="KRK1" s="9" t="s">
        <v>9992</v>
      </c>
      <c r="KRL1" s="9" t="s">
        <v>9993</v>
      </c>
      <c r="KRM1" s="9" t="s">
        <v>9994</v>
      </c>
      <c r="KRN1" s="9" t="s">
        <v>9995</v>
      </c>
      <c r="KRO1" s="9" t="s">
        <v>9996</v>
      </c>
      <c r="KRP1" s="9" t="s">
        <v>9997</v>
      </c>
      <c r="KRQ1" s="9" t="s">
        <v>9998</v>
      </c>
      <c r="KRR1" s="9" t="s">
        <v>9999</v>
      </c>
      <c r="KRS1" s="9" t="s">
        <v>10000</v>
      </c>
      <c r="KRT1" s="9" t="s">
        <v>10001</v>
      </c>
      <c r="KRU1" s="9" t="s">
        <v>10002</v>
      </c>
      <c r="KRV1" s="9" t="s">
        <v>10003</v>
      </c>
      <c r="KRW1" s="9" t="s">
        <v>10004</v>
      </c>
      <c r="KRX1" s="9" t="s">
        <v>10005</v>
      </c>
      <c r="KRY1" s="9" t="s">
        <v>10006</v>
      </c>
      <c r="KRZ1" s="9" t="s">
        <v>10007</v>
      </c>
      <c r="KSA1" s="9" t="s">
        <v>10008</v>
      </c>
      <c r="KSB1" s="9" t="s">
        <v>10009</v>
      </c>
      <c r="KSC1" s="9" t="s">
        <v>10010</v>
      </c>
      <c r="KSD1" s="9" t="s">
        <v>10011</v>
      </c>
      <c r="KSE1" s="9" t="s">
        <v>10012</v>
      </c>
      <c r="KSF1" s="9" t="s">
        <v>10013</v>
      </c>
      <c r="KSG1" s="9" t="s">
        <v>10014</v>
      </c>
      <c r="KSH1" s="9" t="s">
        <v>10015</v>
      </c>
      <c r="KSI1" s="9" t="s">
        <v>10016</v>
      </c>
      <c r="KSJ1" s="9" t="s">
        <v>10017</v>
      </c>
      <c r="KSK1" s="9" t="s">
        <v>10018</v>
      </c>
      <c r="KSL1" s="9" t="s">
        <v>10019</v>
      </c>
      <c r="KSM1" s="9" t="s">
        <v>10020</v>
      </c>
      <c r="KSN1" s="9" t="s">
        <v>10021</v>
      </c>
      <c r="KSO1" s="9" t="s">
        <v>10022</v>
      </c>
      <c r="KSP1" s="9" t="s">
        <v>10023</v>
      </c>
      <c r="KSQ1" s="9" t="s">
        <v>10024</v>
      </c>
      <c r="KSR1" s="9" t="s">
        <v>10025</v>
      </c>
      <c r="KSS1" s="9" t="s">
        <v>10026</v>
      </c>
      <c r="KST1" s="9" t="s">
        <v>10027</v>
      </c>
      <c r="KSU1" s="9" t="s">
        <v>10028</v>
      </c>
      <c r="KSV1" s="9" t="s">
        <v>10029</v>
      </c>
      <c r="KSW1" s="9" t="s">
        <v>10030</v>
      </c>
      <c r="KSX1" s="9" t="s">
        <v>10031</v>
      </c>
      <c r="KSY1" s="9" t="s">
        <v>10032</v>
      </c>
      <c r="KSZ1" s="9" t="s">
        <v>10033</v>
      </c>
      <c r="KTA1" s="9" t="s">
        <v>10034</v>
      </c>
      <c r="KTB1" s="9" t="s">
        <v>10035</v>
      </c>
      <c r="KTC1" s="9" t="s">
        <v>10036</v>
      </c>
      <c r="KTD1" s="9" t="s">
        <v>10037</v>
      </c>
      <c r="KTE1" s="9" t="s">
        <v>10038</v>
      </c>
      <c r="KTF1" s="9" t="s">
        <v>10039</v>
      </c>
      <c r="KTG1" s="9" t="s">
        <v>10040</v>
      </c>
      <c r="KTH1" s="9" t="s">
        <v>10041</v>
      </c>
      <c r="KTI1" s="9" t="s">
        <v>10042</v>
      </c>
      <c r="KTJ1" s="9" t="s">
        <v>10043</v>
      </c>
      <c r="KTK1" s="9" t="s">
        <v>10044</v>
      </c>
      <c r="KTL1" s="9" t="s">
        <v>10045</v>
      </c>
      <c r="KTM1" s="9" t="s">
        <v>10046</v>
      </c>
      <c r="KTN1" s="9" t="s">
        <v>10047</v>
      </c>
      <c r="KTO1" s="9" t="s">
        <v>10048</v>
      </c>
      <c r="KTP1" s="9" t="s">
        <v>10049</v>
      </c>
      <c r="KTQ1" s="9" t="s">
        <v>10050</v>
      </c>
      <c r="KTR1" s="9" t="s">
        <v>10051</v>
      </c>
      <c r="KTS1" s="9" t="s">
        <v>10052</v>
      </c>
      <c r="KTT1" s="9" t="s">
        <v>10053</v>
      </c>
      <c r="KTU1" s="9" t="s">
        <v>10054</v>
      </c>
      <c r="KTV1" s="9" t="s">
        <v>10055</v>
      </c>
      <c r="KTW1" s="9" t="s">
        <v>10056</v>
      </c>
      <c r="KTX1" s="9" t="s">
        <v>10057</v>
      </c>
      <c r="KTY1" s="9" t="s">
        <v>10058</v>
      </c>
      <c r="KTZ1" s="9" t="s">
        <v>10059</v>
      </c>
      <c r="KUA1" s="9" t="s">
        <v>10060</v>
      </c>
      <c r="KUB1" s="9" t="s">
        <v>10061</v>
      </c>
      <c r="KUC1" s="9" t="s">
        <v>10062</v>
      </c>
      <c r="KUD1" s="9" t="s">
        <v>10063</v>
      </c>
      <c r="KUE1" s="9" t="s">
        <v>10064</v>
      </c>
      <c r="KUF1" s="9" t="s">
        <v>10065</v>
      </c>
      <c r="KUG1" s="9" t="s">
        <v>10066</v>
      </c>
      <c r="KUH1" s="9" t="s">
        <v>10067</v>
      </c>
      <c r="KUI1" s="9" t="s">
        <v>10068</v>
      </c>
      <c r="KUJ1" s="9" t="s">
        <v>10069</v>
      </c>
      <c r="KUK1" s="9" t="s">
        <v>10070</v>
      </c>
      <c r="KUL1" s="9" t="s">
        <v>10071</v>
      </c>
      <c r="KUM1" s="9" t="s">
        <v>10072</v>
      </c>
      <c r="KUN1" s="9" t="s">
        <v>10073</v>
      </c>
      <c r="KUO1" s="9" t="s">
        <v>10074</v>
      </c>
      <c r="KUP1" s="9" t="s">
        <v>10075</v>
      </c>
      <c r="KUQ1" s="9" t="s">
        <v>10076</v>
      </c>
      <c r="KUR1" s="9" t="s">
        <v>10077</v>
      </c>
      <c r="KUS1" s="9" t="s">
        <v>10078</v>
      </c>
      <c r="KUT1" s="9" t="s">
        <v>10079</v>
      </c>
      <c r="KUU1" s="9" t="s">
        <v>10080</v>
      </c>
      <c r="KUV1" s="9" t="s">
        <v>10081</v>
      </c>
      <c r="KUW1" s="9" t="s">
        <v>10082</v>
      </c>
      <c r="KUX1" s="9" t="s">
        <v>10083</v>
      </c>
      <c r="KUY1" s="9" t="s">
        <v>10084</v>
      </c>
      <c r="KUZ1" s="9" t="s">
        <v>10085</v>
      </c>
      <c r="KVA1" s="9" t="s">
        <v>10086</v>
      </c>
      <c r="KVB1" s="9" t="s">
        <v>10087</v>
      </c>
      <c r="KVC1" s="9" t="s">
        <v>10088</v>
      </c>
      <c r="KVD1" s="9" t="s">
        <v>10089</v>
      </c>
      <c r="KVE1" s="9" t="s">
        <v>10090</v>
      </c>
      <c r="KVF1" s="9" t="s">
        <v>10091</v>
      </c>
      <c r="KVG1" s="9" t="s">
        <v>10092</v>
      </c>
      <c r="KVH1" s="9" t="s">
        <v>10093</v>
      </c>
      <c r="KVI1" s="9" t="s">
        <v>10094</v>
      </c>
      <c r="KVJ1" s="9" t="s">
        <v>10095</v>
      </c>
      <c r="KVK1" s="9" t="s">
        <v>10096</v>
      </c>
      <c r="KVL1" s="9" t="s">
        <v>10097</v>
      </c>
      <c r="KVM1" s="9" t="s">
        <v>10098</v>
      </c>
      <c r="KVN1" s="9" t="s">
        <v>10099</v>
      </c>
      <c r="KVO1" s="9" t="s">
        <v>10100</v>
      </c>
      <c r="KVP1" s="9" t="s">
        <v>10101</v>
      </c>
      <c r="KVQ1" s="9" t="s">
        <v>10102</v>
      </c>
      <c r="KVR1" s="9" t="s">
        <v>10103</v>
      </c>
      <c r="KVS1" s="9" t="s">
        <v>10104</v>
      </c>
      <c r="KVT1" s="9" t="s">
        <v>10105</v>
      </c>
      <c r="KVU1" s="9" t="s">
        <v>10106</v>
      </c>
      <c r="KVV1" s="9" t="s">
        <v>10107</v>
      </c>
      <c r="KVW1" s="9" t="s">
        <v>10108</v>
      </c>
      <c r="KVX1" s="9" t="s">
        <v>10109</v>
      </c>
      <c r="KVY1" s="9" t="s">
        <v>10110</v>
      </c>
      <c r="KVZ1" s="9" t="s">
        <v>10111</v>
      </c>
      <c r="KWA1" s="9" t="s">
        <v>10112</v>
      </c>
      <c r="KWB1" s="9" t="s">
        <v>10113</v>
      </c>
      <c r="KWC1" s="9" t="s">
        <v>10114</v>
      </c>
      <c r="KWD1" s="9" t="s">
        <v>10115</v>
      </c>
      <c r="KWE1" s="9" t="s">
        <v>10116</v>
      </c>
      <c r="KWF1" s="9" t="s">
        <v>10117</v>
      </c>
      <c r="KWG1" s="9" t="s">
        <v>10118</v>
      </c>
      <c r="KWH1" s="9" t="s">
        <v>10119</v>
      </c>
      <c r="KWI1" s="9" t="s">
        <v>10120</v>
      </c>
      <c r="KWJ1" s="9" t="s">
        <v>10121</v>
      </c>
      <c r="KWK1" s="9" t="s">
        <v>10122</v>
      </c>
      <c r="KWL1" s="9" t="s">
        <v>10123</v>
      </c>
      <c r="KWM1" s="9" t="s">
        <v>10124</v>
      </c>
      <c r="KWN1" s="9" t="s">
        <v>10125</v>
      </c>
      <c r="KWO1" s="9" t="s">
        <v>10126</v>
      </c>
      <c r="KWP1" s="9" t="s">
        <v>10127</v>
      </c>
      <c r="KWQ1" s="9" t="s">
        <v>10128</v>
      </c>
      <c r="KWR1" s="9" t="s">
        <v>10129</v>
      </c>
      <c r="KWS1" s="9" t="s">
        <v>10130</v>
      </c>
      <c r="KWT1" s="9" t="s">
        <v>10131</v>
      </c>
      <c r="KWU1" s="9" t="s">
        <v>10132</v>
      </c>
      <c r="KWV1" s="9" t="s">
        <v>10133</v>
      </c>
      <c r="KWW1" s="9" t="s">
        <v>10134</v>
      </c>
      <c r="KWX1" s="9" t="s">
        <v>10135</v>
      </c>
      <c r="KWY1" s="9" t="s">
        <v>10136</v>
      </c>
      <c r="KWZ1" s="9" t="s">
        <v>10137</v>
      </c>
      <c r="KXA1" s="9" t="s">
        <v>10138</v>
      </c>
      <c r="KXB1" s="9" t="s">
        <v>10139</v>
      </c>
      <c r="KXC1" s="9" t="s">
        <v>10140</v>
      </c>
      <c r="KXD1" s="9" t="s">
        <v>10141</v>
      </c>
      <c r="KXE1" s="9" t="s">
        <v>10142</v>
      </c>
      <c r="KXF1" s="9" t="s">
        <v>10143</v>
      </c>
      <c r="KXG1" s="9" t="s">
        <v>10144</v>
      </c>
      <c r="KXH1" s="9" t="s">
        <v>10145</v>
      </c>
      <c r="KXI1" s="9" t="s">
        <v>10146</v>
      </c>
      <c r="KXJ1" s="9" t="s">
        <v>10147</v>
      </c>
      <c r="KXK1" s="9" t="s">
        <v>10148</v>
      </c>
      <c r="KXL1" s="9" t="s">
        <v>10149</v>
      </c>
      <c r="KXM1" s="9" t="s">
        <v>10150</v>
      </c>
      <c r="KXN1" s="9" t="s">
        <v>10151</v>
      </c>
      <c r="KXO1" s="9" t="s">
        <v>10152</v>
      </c>
      <c r="KXP1" s="9" t="s">
        <v>10153</v>
      </c>
      <c r="KXQ1" s="9" t="s">
        <v>10154</v>
      </c>
      <c r="KXR1" s="9" t="s">
        <v>10155</v>
      </c>
      <c r="KXS1" s="9" t="s">
        <v>10156</v>
      </c>
      <c r="KXT1" s="9" t="s">
        <v>10157</v>
      </c>
      <c r="KXU1" s="9" t="s">
        <v>10158</v>
      </c>
      <c r="KXV1" s="9" t="s">
        <v>10159</v>
      </c>
      <c r="KXW1" s="9" t="s">
        <v>10160</v>
      </c>
      <c r="KXX1" s="9" t="s">
        <v>10161</v>
      </c>
      <c r="KXY1" s="9" t="s">
        <v>10162</v>
      </c>
      <c r="KXZ1" s="9" t="s">
        <v>10163</v>
      </c>
      <c r="KYA1" s="9" t="s">
        <v>10164</v>
      </c>
      <c r="KYB1" s="9" t="s">
        <v>10165</v>
      </c>
      <c r="KYC1" s="9" t="s">
        <v>10166</v>
      </c>
      <c r="KYD1" s="9" t="s">
        <v>10167</v>
      </c>
      <c r="KYE1" s="9" t="s">
        <v>10168</v>
      </c>
      <c r="KYF1" s="9" t="s">
        <v>10169</v>
      </c>
      <c r="KYG1" s="9" t="s">
        <v>10170</v>
      </c>
      <c r="KYH1" s="9" t="s">
        <v>10171</v>
      </c>
      <c r="KYI1" s="9" t="s">
        <v>10172</v>
      </c>
      <c r="KYJ1" s="9" t="s">
        <v>10173</v>
      </c>
      <c r="KYK1" s="9" t="s">
        <v>10174</v>
      </c>
      <c r="KYL1" s="9" t="s">
        <v>10175</v>
      </c>
      <c r="KYM1" s="9" t="s">
        <v>10176</v>
      </c>
      <c r="KYN1" s="9" t="s">
        <v>10177</v>
      </c>
      <c r="KYO1" s="9" t="s">
        <v>10178</v>
      </c>
      <c r="KYP1" s="9" t="s">
        <v>10179</v>
      </c>
      <c r="KYQ1" s="9" t="s">
        <v>10180</v>
      </c>
      <c r="KYR1" s="9" t="s">
        <v>10181</v>
      </c>
      <c r="KYS1" s="9" t="s">
        <v>10182</v>
      </c>
      <c r="KYT1" s="9" t="s">
        <v>10183</v>
      </c>
      <c r="KYU1" s="9" t="s">
        <v>10184</v>
      </c>
      <c r="KYV1" s="9" t="s">
        <v>10185</v>
      </c>
      <c r="KYW1" s="9" t="s">
        <v>10186</v>
      </c>
      <c r="KYX1" s="9" t="s">
        <v>10187</v>
      </c>
      <c r="KYY1" s="9" t="s">
        <v>10188</v>
      </c>
      <c r="KYZ1" s="9" t="s">
        <v>10189</v>
      </c>
      <c r="KZA1" s="9" t="s">
        <v>10190</v>
      </c>
      <c r="KZB1" s="9" t="s">
        <v>10191</v>
      </c>
      <c r="KZC1" s="9" t="s">
        <v>10192</v>
      </c>
      <c r="KZD1" s="9" t="s">
        <v>10193</v>
      </c>
      <c r="KZE1" s="9" t="s">
        <v>10194</v>
      </c>
      <c r="KZF1" s="9" t="s">
        <v>10195</v>
      </c>
      <c r="KZG1" s="9" t="s">
        <v>10196</v>
      </c>
      <c r="KZH1" s="9" t="s">
        <v>10197</v>
      </c>
      <c r="KZI1" s="9" t="s">
        <v>10198</v>
      </c>
      <c r="KZJ1" s="9" t="s">
        <v>10199</v>
      </c>
      <c r="KZK1" s="9" t="s">
        <v>10200</v>
      </c>
      <c r="KZL1" s="9" t="s">
        <v>10201</v>
      </c>
      <c r="KZM1" s="9" t="s">
        <v>10202</v>
      </c>
      <c r="KZN1" s="9" t="s">
        <v>10203</v>
      </c>
      <c r="KZO1" s="9" t="s">
        <v>10204</v>
      </c>
      <c r="KZP1" s="9" t="s">
        <v>10205</v>
      </c>
      <c r="KZQ1" s="9" t="s">
        <v>10206</v>
      </c>
      <c r="KZR1" s="9" t="s">
        <v>10207</v>
      </c>
      <c r="KZS1" s="9" t="s">
        <v>10208</v>
      </c>
      <c r="KZT1" s="9" t="s">
        <v>10209</v>
      </c>
      <c r="KZU1" s="9" t="s">
        <v>10210</v>
      </c>
      <c r="KZV1" s="9" t="s">
        <v>10211</v>
      </c>
      <c r="KZW1" s="9" t="s">
        <v>10212</v>
      </c>
      <c r="KZX1" s="9" t="s">
        <v>10213</v>
      </c>
      <c r="KZY1" s="9" t="s">
        <v>10214</v>
      </c>
      <c r="KZZ1" s="9" t="s">
        <v>10215</v>
      </c>
      <c r="LAA1" s="9" t="s">
        <v>10216</v>
      </c>
      <c r="LAB1" s="9" t="s">
        <v>10217</v>
      </c>
      <c r="LAC1" s="9" t="s">
        <v>10218</v>
      </c>
      <c r="LAD1" s="9" t="s">
        <v>10219</v>
      </c>
      <c r="LAE1" s="9" t="s">
        <v>10220</v>
      </c>
      <c r="LAF1" s="9" t="s">
        <v>10221</v>
      </c>
      <c r="LAG1" s="9" t="s">
        <v>10222</v>
      </c>
      <c r="LAH1" s="9" t="s">
        <v>10223</v>
      </c>
      <c r="LAI1" s="9" t="s">
        <v>10224</v>
      </c>
      <c r="LAJ1" s="9" t="s">
        <v>10225</v>
      </c>
      <c r="LAK1" s="9" t="s">
        <v>10226</v>
      </c>
      <c r="LAL1" s="9" t="s">
        <v>10227</v>
      </c>
      <c r="LAM1" s="9" t="s">
        <v>10228</v>
      </c>
      <c r="LAN1" s="9" t="s">
        <v>10229</v>
      </c>
      <c r="LAO1" s="9" t="s">
        <v>10230</v>
      </c>
      <c r="LAP1" s="9" t="s">
        <v>10231</v>
      </c>
      <c r="LAQ1" s="9" t="s">
        <v>10232</v>
      </c>
      <c r="LAR1" s="9" t="s">
        <v>10233</v>
      </c>
      <c r="LAS1" s="9" t="s">
        <v>10234</v>
      </c>
      <c r="LAT1" s="9" t="s">
        <v>10235</v>
      </c>
      <c r="LAU1" s="9" t="s">
        <v>10236</v>
      </c>
      <c r="LAV1" s="9" t="s">
        <v>10237</v>
      </c>
      <c r="LAW1" s="9" t="s">
        <v>10238</v>
      </c>
      <c r="LAX1" s="9" t="s">
        <v>10239</v>
      </c>
      <c r="LAY1" s="9" t="s">
        <v>10240</v>
      </c>
      <c r="LAZ1" s="9" t="s">
        <v>10241</v>
      </c>
      <c r="LBA1" s="9" t="s">
        <v>10242</v>
      </c>
      <c r="LBB1" s="9" t="s">
        <v>10243</v>
      </c>
      <c r="LBC1" s="9" t="s">
        <v>10244</v>
      </c>
      <c r="LBD1" s="9" t="s">
        <v>10245</v>
      </c>
      <c r="LBE1" s="9" t="s">
        <v>10246</v>
      </c>
      <c r="LBF1" s="9" t="s">
        <v>10247</v>
      </c>
      <c r="LBG1" s="9" t="s">
        <v>10248</v>
      </c>
      <c r="LBH1" s="9" t="s">
        <v>10249</v>
      </c>
      <c r="LBI1" s="9" t="s">
        <v>10250</v>
      </c>
      <c r="LBJ1" s="9" t="s">
        <v>10251</v>
      </c>
      <c r="LBK1" s="9" t="s">
        <v>10252</v>
      </c>
      <c r="LBL1" s="9" t="s">
        <v>10253</v>
      </c>
      <c r="LBM1" s="9" t="s">
        <v>10254</v>
      </c>
      <c r="LBN1" s="9" t="s">
        <v>10255</v>
      </c>
      <c r="LBO1" s="9" t="s">
        <v>10256</v>
      </c>
      <c r="LBP1" s="9" t="s">
        <v>10257</v>
      </c>
      <c r="LBQ1" s="9" t="s">
        <v>10258</v>
      </c>
      <c r="LBR1" s="9" t="s">
        <v>10259</v>
      </c>
      <c r="LBS1" s="9" t="s">
        <v>10260</v>
      </c>
      <c r="LBT1" s="9" t="s">
        <v>10261</v>
      </c>
      <c r="LBU1" s="9" t="s">
        <v>10262</v>
      </c>
      <c r="LBV1" s="9" t="s">
        <v>10263</v>
      </c>
      <c r="LBW1" s="9" t="s">
        <v>10264</v>
      </c>
      <c r="LBX1" s="9" t="s">
        <v>10265</v>
      </c>
      <c r="LBY1" s="9" t="s">
        <v>10266</v>
      </c>
      <c r="LBZ1" s="9" t="s">
        <v>10267</v>
      </c>
      <c r="LCA1" s="9" t="s">
        <v>10268</v>
      </c>
      <c r="LCB1" s="9" t="s">
        <v>10269</v>
      </c>
      <c r="LCC1" s="9" t="s">
        <v>10270</v>
      </c>
      <c r="LCD1" s="9" t="s">
        <v>10271</v>
      </c>
      <c r="LCE1" s="9" t="s">
        <v>10272</v>
      </c>
      <c r="LCF1" s="9" t="s">
        <v>10273</v>
      </c>
      <c r="LCG1" s="9" t="s">
        <v>10274</v>
      </c>
      <c r="LCH1" s="9" t="s">
        <v>10275</v>
      </c>
      <c r="LCI1" s="9" t="s">
        <v>10276</v>
      </c>
      <c r="LCJ1" s="9" t="s">
        <v>10277</v>
      </c>
      <c r="LCK1" s="9" t="s">
        <v>10278</v>
      </c>
      <c r="LCL1" s="9" t="s">
        <v>10279</v>
      </c>
      <c r="LCM1" s="9" t="s">
        <v>10280</v>
      </c>
      <c r="LCN1" s="9" t="s">
        <v>10281</v>
      </c>
      <c r="LCO1" s="9" t="s">
        <v>10282</v>
      </c>
      <c r="LCP1" s="9" t="s">
        <v>10283</v>
      </c>
      <c r="LCQ1" s="9" t="s">
        <v>10284</v>
      </c>
      <c r="LCR1" s="9" t="s">
        <v>10285</v>
      </c>
      <c r="LCS1" s="9" t="s">
        <v>10286</v>
      </c>
      <c r="LCT1" s="9" t="s">
        <v>10287</v>
      </c>
      <c r="LCU1" s="9" t="s">
        <v>10288</v>
      </c>
      <c r="LCV1" s="9" t="s">
        <v>10289</v>
      </c>
      <c r="LCW1" s="9" t="s">
        <v>10290</v>
      </c>
      <c r="LCX1" s="9" t="s">
        <v>10291</v>
      </c>
      <c r="LCY1" s="9" t="s">
        <v>10292</v>
      </c>
      <c r="LCZ1" s="9" t="s">
        <v>10293</v>
      </c>
      <c r="LDA1" s="9" t="s">
        <v>10294</v>
      </c>
      <c r="LDB1" s="9" t="s">
        <v>10295</v>
      </c>
      <c r="LDC1" s="9" t="s">
        <v>10296</v>
      </c>
      <c r="LDD1" s="9" t="s">
        <v>10297</v>
      </c>
      <c r="LDE1" s="9" t="s">
        <v>10298</v>
      </c>
      <c r="LDF1" s="9" t="s">
        <v>10299</v>
      </c>
      <c r="LDG1" s="9" t="s">
        <v>10300</v>
      </c>
      <c r="LDH1" s="9" t="s">
        <v>10301</v>
      </c>
      <c r="LDI1" s="9" t="s">
        <v>10302</v>
      </c>
      <c r="LDJ1" s="9" t="s">
        <v>10303</v>
      </c>
      <c r="LDK1" s="9" t="s">
        <v>10304</v>
      </c>
      <c r="LDL1" s="9" t="s">
        <v>10305</v>
      </c>
      <c r="LDM1" s="9" t="s">
        <v>10306</v>
      </c>
      <c r="LDN1" s="9" t="s">
        <v>10307</v>
      </c>
      <c r="LDO1" s="9" t="s">
        <v>10308</v>
      </c>
      <c r="LDP1" s="9" t="s">
        <v>10309</v>
      </c>
      <c r="LDQ1" s="9" t="s">
        <v>10310</v>
      </c>
      <c r="LDR1" s="9" t="s">
        <v>10311</v>
      </c>
      <c r="LDS1" s="9" t="s">
        <v>10312</v>
      </c>
      <c r="LDT1" s="9" t="s">
        <v>10313</v>
      </c>
      <c r="LDU1" s="9" t="s">
        <v>10314</v>
      </c>
      <c r="LDV1" s="9" t="s">
        <v>10315</v>
      </c>
      <c r="LDW1" s="9" t="s">
        <v>10316</v>
      </c>
      <c r="LDX1" s="9" t="s">
        <v>10317</v>
      </c>
      <c r="LDY1" s="9" t="s">
        <v>10318</v>
      </c>
      <c r="LDZ1" s="9" t="s">
        <v>10319</v>
      </c>
      <c r="LEA1" s="9" t="s">
        <v>10320</v>
      </c>
      <c r="LEB1" s="9" t="s">
        <v>10321</v>
      </c>
      <c r="LEC1" s="9" t="s">
        <v>10322</v>
      </c>
      <c r="LED1" s="9" t="s">
        <v>10323</v>
      </c>
      <c r="LEE1" s="9" t="s">
        <v>10324</v>
      </c>
      <c r="LEF1" s="9" t="s">
        <v>10325</v>
      </c>
      <c r="LEG1" s="9" t="s">
        <v>10326</v>
      </c>
      <c r="LEH1" s="9" t="s">
        <v>10327</v>
      </c>
      <c r="LEI1" s="9" t="s">
        <v>10328</v>
      </c>
      <c r="LEJ1" s="9" t="s">
        <v>10329</v>
      </c>
      <c r="LEK1" s="9" t="s">
        <v>10330</v>
      </c>
      <c r="LEL1" s="9" t="s">
        <v>10331</v>
      </c>
      <c r="LEM1" s="9" t="s">
        <v>10332</v>
      </c>
      <c r="LEN1" s="9" t="s">
        <v>10333</v>
      </c>
      <c r="LEO1" s="9" t="s">
        <v>10334</v>
      </c>
      <c r="LEP1" s="9" t="s">
        <v>10335</v>
      </c>
      <c r="LEQ1" s="9" t="s">
        <v>10336</v>
      </c>
      <c r="LER1" s="9" t="s">
        <v>10337</v>
      </c>
      <c r="LES1" s="9" t="s">
        <v>10338</v>
      </c>
      <c r="LET1" s="9" t="s">
        <v>10339</v>
      </c>
      <c r="LEU1" s="9" t="s">
        <v>10340</v>
      </c>
      <c r="LEV1" s="9" t="s">
        <v>10341</v>
      </c>
      <c r="LEW1" s="9" t="s">
        <v>10342</v>
      </c>
      <c r="LEX1" s="9" t="s">
        <v>10343</v>
      </c>
      <c r="LEY1" s="9" t="s">
        <v>10344</v>
      </c>
      <c r="LEZ1" s="9" t="s">
        <v>10345</v>
      </c>
      <c r="LFA1" s="9" t="s">
        <v>10346</v>
      </c>
      <c r="LFB1" s="9" t="s">
        <v>10347</v>
      </c>
      <c r="LFC1" s="9" t="s">
        <v>10348</v>
      </c>
      <c r="LFD1" s="9" t="s">
        <v>10349</v>
      </c>
      <c r="LFE1" s="9" t="s">
        <v>10350</v>
      </c>
      <c r="LFF1" s="9" t="s">
        <v>10351</v>
      </c>
      <c r="LFG1" s="9" t="s">
        <v>10352</v>
      </c>
      <c r="LFH1" s="9" t="s">
        <v>10353</v>
      </c>
      <c r="LFI1" s="9" t="s">
        <v>10354</v>
      </c>
      <c r="LFJ1" s="9" t="s">
        <v>10355</v>
      </c>
      <c r="LFK1" s="9" t="s">
        <v>10356</v>
      </c>
      <c r="LFL1" s="9" t="s">
        <v>10357</v>
      </c>
      <c r="LFM1" s="9" t="s">
        <v>10358</v>
      </c>
      <c r="LFN1" s="9" t="s">
        <v>10359</v>
      </c>
      <c r="LFO1" s="9" t="s">
        <v>10360</v>
      </c>
      <c r="LFP1" s="9" t="s">
        <v>10361</v>
      </c>
      <c r="LFQ1" s="9" t="s">
        <v>10362</v>
      </c>
      <c r="LFR1" s="9" t="s">
        <v>10363</v>
      </c>
      <c r="LFS1" s="9" t="s">
        <v>10364</v>
      </c>
      <c r="LFT1" s="9" t="s">
        <v>10365</v>
      </c>
      <c r="LFU1" s="9" t="s">
        <v>10366</v>
      </c>
      <c r="LFV1" s="9" t="s">
        <v>10367</v>
      </c>
      <c r="LFW1" s="9" t="s">
        <v>10368</v>
      </c>
      <c r="LFX1" s="9" t="s">
        <v>10369</v>
      </c>
      <c r="LFY1" s="9" t="s">
        <v>10370</v>
      </c>
      <c r="LFZ1" s="9" t="s">
        <v>10371</v>
      </c>
      <c r="LGA1" s="9" t="s">
        <v>10372</v>
      </c>
      <c r="LGB1" s="9" t="s">
        <v>10373</v>
      </c>
      <c r="LGC1" s="9" t="s">
        <v>10374</v>
      </c>
      <c r="LGD1" s="9" t="s">
        <v>10375</v>
      </c>
      <c r="LGE1" s="9" t="s">
        <v>10376</v>
      </c>
      <c r="LGF1" s="9" t="s">
        <v>10377</v>
      </c>
      <c r="LGG1" s="9" t="s">
        <v>10378</v>
      </c>
      <c r="LGH1" s="9" t="s">
        <v>10379</v>
      </c>
      <c r="LGI1" s="9" t="s">
        <v>10380</v>
      </c>
      <c r="LGJ1" s="9" t="s">
        <v>10381</v>
      </c>
      <c r="LGK1" s="9" t="s">
        <v>10382</v>
      </c>
      <c r="LGL1" s="9" t="s">
        <v>10383</v>
      </c>
      <c r="LGM1" s="9" t="s">
        <v>10384</v>
      </c>
      <c r="LGN1" s="9" t="s">
        <v>10385</v>
      </c>
      <c r="LGO1" s="9" t="s">
        <v>10386</v>
      </c>
      <c r="LGP1" s="9" t="s">
        <v>10387</v>
      </c>
      <c r="LGQ1" s="9" t="s">
        <v>10388</v>
      </c>
      <c r="LGR1" s="9" t="s">
        <v>10389</v>
      </c>
      <c r="LGS1" s="9" t="s">
        <v>10390</v>
      </c>
      <c r="LGT1" s="9" t="s">
        <v>10391</v>
      </c>
      <c r="LGU1" s="9" t="s">
        <v>10392</v>
      </c>
      <c r="LGV1" s="9" t="s">
        <v>10393</v>
      </c>
      <c r="LGW1" s="9" t="s">
        <v>10394</v>
      </c>
      <c r="LGX1" s="9" t="s">
        <v>10395</v>
      </c>
      <c r="LGY1" s="9" t="s">
        <v>10396</v>
      </c>
      <c r="LGZ1" s="9" t="s">
        <v>10397</v>
      </c>
      <c r="LHA1" s="9" t="s">
        <v>10398</v>
      </c>
      <c r="LHB1" s="9" t="s">
        <v>10399</v>
      </c>
      <c r="LHC1" s="9" t="s">
        <v>10400</v>
      </c>
      <c r="LHD1" s="9" t="s">
        <v>10401</v>
      </c>
      <c r="LHE1" s="9" t="s">
        <v>10402</v>
      </c>
      <c r="LHF1" s="9" t="s">
        <v>10403</v>
      </c>
      <c r="LHG1" s="9" t="s">
        <v>10404</v>
      </c>
      <c r="LHH1" s="9" t="s">
        <v>10405</v>
      </c>
      <c r="LHI1" s="9" t="s">
        <v>10406</v>
      </c>
      <c r="LHJ1" s="9" t="s">
        <v>10407</v>
      </c>
      <c r="LHK1" s="9" t="s">
        <v>10408</v>
      </c>
      <c r="LHL1" s="9" t="s">
        <v>10409</v>
      </c>
      <c r="LHM1" s="9" t="s">
        <v>10410</v>
      </c>
      <c r="LHN1" s="9" t="s">
        <v>10411</v>
      </c>
      <c r="LHO1" s="9" t="s">
        <v>10412</v>
      </c>
      <c r="LHP1" s="9" t="s">
        <v>10413</v>
      </c>
      <c r="LHQ1" s="9" t="s">
        <v>10414</v>
      </c>
      <c r="LHR1" s="9" t="s">
        <v>10415</v>
      </c>
      <c r="LHS1" s="9" t="s">
        <v>10416</v>
      </c>
      <c r="LHT1" s="9" t="s">
        <v>10417</v>
      </c>
      <c r="LHU1" s="9" t="s">
        <v>10418</v>
      </c>
      <c r="LHV1" s="9" t="s">
        <v>10419</v>
      </c>
      <c r="LHW1" s="9" t="s">
        <v>10420</v>
      </c>
      <c r="LHX1" s="9" t="s">
        <v>10421</v>
      </c>
      <c r="LHY1" s="9" t="s">
        <v>10422</v>
      </c>
      <c r="LHZ1" s="9" t="s">
        <v>10423</v>
      </c>
      <c r="LIA1" s="9" t="s">
        <v>10424</v>
      </c>
      <c r="LIB1" s="9" t="s">
        <v>10425</v>
      </c>
      <c r="LIC1" s="9" t="s">
        <v>10426</v>
      </c>
      <c r="LID1" s="9" t="s">
        <v>10427</v>
      </c>
      <c r="LIE1" s="9" t="s">
        <v>10428</v>
      </c>
      <c r="LIF1" s="9" t="s">
        <v>10429</v>
      </c>
      <c r="LIG1" s="9" t="s">
        <v>10430</v>
      </c>
      <c r="LIH1" s="9" t="s">
        <v>10431</v>
      </c>
      <c r="LII1" s="9" t="s">
        <v>10432</v>
      </c>
      <c r="LIJ1" s="9" t="s">
        <v>10433</v>
      </c>
      <c r="LIK1" s="9" t="s">
        <v>10434</v>
      </c>
      <c r="LIL1" s="9" t="s">
        <v>10435</v>
      </c>
      <c r="LIM1" s="9" t="s">
        <v>10436</v>
      </c>
      <c r="LIN1" s="9" t="s">
        <v>10437</v>
      </c>
      <c r="LIO1" s="9" t="s">
        <v>10438</v>
      </c>
      <c r="LIP1" s="9" t="s">
        <v>10439</v>
      </c>
      <c r="LIQ1" s="9" t="s">
        <v>10440</v>
      </c>
      <c r="LIR1" s="9" t="s">
        <v>10441</v>
      </c>
      <c r="LIS1" s="9" t="s">
        <v>10442</v>
      </c>
      <c r="LIT1" s="9" t="s">
        <v>10443</v>
      </c>
      <c r="LIU1" s="9" t="s">
        <v>10444</v>
      </c>
      <c r="LIV1" s="9" t="s">
        <v>10445</v>
      </c>
      <c r="LIW1" s="9" t="s">
        <v>10446</v>
      </c>
      <c r="LIX1" s="9" t="s">
        <v>10447</v>
      </c>
      <c r="LIY1" s="9" t="s">
        <v>10448</v>
      </c>
      <c r="LIZ1" s="9" t="s">
        <v>10449</v>
      </c>
      <c r="LJA1" s="9" t="s">
        <v>10450</v>
      </c>
      <c r="LJB1" s="9" t="s">
        <v>10451</v>
      </c>
      <c r="LJC1" s="9" t="s">
        <v>10452</v>
      </c>
      <c r="LJD1" s="9" t="s">
        <v>10453</v>
      </c>
      <c r="LJE1" s="9" t="s">
        <v>10454</v>
      </c>
      <c r="LJF1" s="9" t="s">
        <v>10455</v>
      </c>
      <c r="LJG1" s="9" t="s">
        <v>10456</v>
      </c>
      <c r="LJH1" s="9" t="s">
        <v>10457</v>
      </c>
      <c r="LJI1" s="9" t="s">
        <v>10458</v>
      </c>
      <c r="LJJ1" s="9" t="s">
        <v>10459</v>
      </c>
      <c r="LJK1" s="9" t="s">
        <v>10460</v>
      </c>
      <c r="LJL1" s="9" t="s">
        <v>10461</v>
      </c>
      <c r="LJM1" s="9" t="s">
        <v>10462</v>
      </c>
      <c r="LJN1" s="9" t="s">
        <v>10463</v>
      </c>
      <c r="LJO1" s="9" t="s">
        <v>10464</v>
      </c>
      <c r="LJP1" s="9" t="s">
        <v>10465</v>
      </c>
      <c r="LJQ1" s="9" t="s">
        <v>10466</v>
      </c>
      <c r="LJR1" s="9" t="s">
        <v>10467</v>
      </c>
      <c r="LJS1" s="9" t="s">
        <v>10468</v>
      </c>
      <c r="LJT1" s="9" t="s">
        <v>10469</v>
      </c>
      <c r="LJU1" s="9" t="s">
        <v>10470</v>
      </c>
      <c r="LJV1" s="9" t="s">
        <v>10471</v>
      </c>
      <c r="LJW1" s="9" t="s">
        <v>10472</v>
      </c>
      <c r="LJX1" s="9" t="s">
        <v>10473</v>
      </c>
      <c r="LJY1" s="9" t="s">
        <v>10474</v>
      </c>
      <c r="LJZ1" s="9" t="s">
        <v>10475</v>
      </c>
      <c r="LKA1" s="9" t="s">
        <v>10476</v>
      </c>
      <c r="LKB1" s="9" t="s">
        <v>10477</v>
      </c>
      <c r="LKC1" s="9" t="s">
        <v>10478</v>
      </c>
      <c r="LKD1" s="9" t="s">
        <v>10479</v>
      </c>
      <c r="LKE1" s="9" t="s">
        <v>10480</v>
      </c>
      <c r="LKF1" s="9" t="s">
        <v>10481</v>
      </c>
      <c r="LKG1" s="9" t="s">
        <v>10482</v>
      </c>
      <c r="LKH1" s="9" t="s">
        <v>10483</v>
      </c>
      <c r="LKI1" s="9" t="s">
        <v>10484</v>
      </c>
      <c r="LKJ1" s="9" t="s">
        <v>10485</v>
      </c>
      <c r="LKK1" s="9" t="s">
        <v>10486</v>
      </c>
      <c r="LKL1" s="9" t="s">
        <v>10487</v>
      </c>
      <c r="LKM1" s="9" t="s">
        <v>10488</v>
      </c>
      <c r="LKN1" s="9" t="s">
        <v>10489</v>
      </c>
      <c r="LKO1" s="9" t="s">
        <v>10490</v>
      </c>
      <c r="LKP1" s="9" t="s">
        <v>10491</v>
      </c>
      <c r="LKQ1" s="9" t="s">
        <v>10492</v>
      </c>
      <c r="LKR1" s="9" t="s">
        <v>10493</v>
      </c>
      <c r="LKS1" s="9" t="s">
        <v>10494</v>
      </c>
      <c r="LKT1" s="9" t="s">
        <v>10495</v>
      </c>
      <c r="LKU1" s="9" t="s">
        <v>10496</v>
      </c>
      <c r="LKV1" s="9" t="s">
        <v>10497</v>
      </c>
      <c r="LKW1" s="9" t="s">
        <v>10498</v>
      </c>
      <c r="LKX1" s="9" t="s">
        <v>10499</v>
      </c>
      <c r="LKY1" s="9" t="s">
        <v>10500</v>
      </c>
      <c r="LKZ1" s="9" t="s">
        <v>10501</v>
      </c>
      <c r="LLA1" s="9" t="s">
        <v>10502</v>
      </c>
      <c r="LLB1" s="9" t="s">
        <v>10503</v>
      </c>
      <c r="LLC1" s="9" t="s">
        <v>10504</v>
      </c>
      <c r="LLD1" s="9" t="s">
        <v>10505</v>
      </c>
      <c r="LLE1" s="9" t="s">
        <v>10506</v>
      </c>
      <c r="LLF1" s="9" t="s">
        <v>10507</v>
      </c>
      <c r="LLG1" s="9" t="s">
        <v>10508</v>
      </c>
      <c r="LLH1" s="9" t="s">
        <v>10509</v>
      </c>
      <c r="LLI1" s="9" t="s">
        <v>10510</v>
      </c>
      <c r="LLJ1" s="9" t="s">
        <v>10511</v>
      </c>
      <c r="LLK1" s="9" t="s">
        <v>10512</v>
      </c>
      <c r="LLL1" s="9" t="s">
        <v>10513</v>
      </c>
      <c r="LLM1" s="9" t="s">
        <v>10514</v>
      </c>
      <c r="LLN1" s="9" t="s">
        <v>10515</v>
      </c>
      <c r="LLO1" s="9" t="s">
        <v>10516</v>
      </c>
      <c r="LLP1" s="9" t="s">
        <v>10517</v>
      </c>
      <c r="LLQ1" s="9" t="s">
        <v>10518</v>
      </c>
      <c r="LLR1" s="9" t="s">
        <v>10519</v>
      </c>
      <c r="LLS1" s="9" t="s">
        <v>10520</v>
      </c>
      <c r="LLT1" s="9" t="s">
        <v>10521</v>
      </c>
      <c r="LLU1" s="9" t="s">
        <v>10522</v>
      </c>
      <c r="LLV1" s="9" t="s">
        <v>10523</v>
      </c>
      <c r="LLW1" s="9" t="s">
        <v>10524</v>
      </c>
      <c r="LLX1" s="9" t="s">
        <v>10525</v>
      </c>
      <c r="LLY1" s="9" t="s">
        <v>10526</v>
      </c>
      <c r="LLZ1" s="9" t="s">
        <v>10527</v>
      </c>
      <c r="LMA1" s="9" t="s">
        <v>10528</v>
      </c>
      <c r="LMB1" s="9" t="s">
        <v>10529</v>
      </c>
      <c r="LMC1" s="9" t="s">
        <v>10530</v>
      </c>
      <c r="LMD1" s="9" t="s">
        <v>10531</v>
      </c>
      <c r="LME1" s="9" t="s">
        <v>10532</v>
      </c>
      <c r="LMF1" s="9" t="s">
        <v>10533</v>
      </c>
      <c r="LMG1" s="9" t="s">
        <v>10534</v>
      </c>
      <c r="LMH1" s="9" t="s">
        <v>10535</v>
      </c>
      <c r="LMI1" s="9" t="s">
        <v>10536</v>
      </c>
      <c r="LMJ1" s="9" t="s">
        <v>10537</v>
      </c>
      <c r="LMK1" s="9" t="s">
        <v>10538</v>
      </c>
      <c r="LML1" s="9" t="s">
        <v>10539</v>
      </c>
      <c r="LMM1" s="9" t="s">
        <v>10540</v>
      </c>
      <c r="LMN1" s="9" t="s">
        <v>10541</v>
      </c>
      <c r="LMO1" s="9" t="s">
        <v>10542</v>
      </c>
      <c r="LMP1" s="9" t="s">
        <v>10543</v>
      </c>
      <c r="LMQ1" s="9" t="s">
        <v>10544</v>
      </c>
      <c r="LMR1" s="9" t="s">
        <v>10545</v>
      </c>
      <c r="LMS1" s="9" t="s">
        <v>10546</v>
      </c>
      <c r="LMT1" s="9" t="s">
        <v>10547</v>
      </c>
      <c r="LMU1" s="9" t="s">
        <v>10548</v>
      </c>
      <c r="LMV1" s="9" t="s">
        <v>10549</v>
      </c>
      <c r="LMW1" s="9" t="s">
        <v>10550</v>
      </c>
      <c r="LMX1" s="9" t="s">
        <v>10551</v>
      </c>
      <c r="LMY1" s="9" t="s">
        <v>10552</v>
      </c>
      <c r="LMZ1" s="9" t="s">
        <v>10553</v>
      </c>
      <c r="LNA1" s="9" t="s">
        <v>10554</v>
      </c>
      <c r="LNB1" s="9" t="s">
        <v>10555</v>
      </c>
      <c r="LNC1" s="9" t="s">
        <v>10556</v>
      </c>
      <c r="LND1" s="9" t="s">
        <v>10557</v>
      </c>
      <c r="LNE1" s="9" t="s">
        <v>10558</v>
      </c>
      <c r="LNF1" s="9" t="s">
        <v>10559</v>
      </c>
      <c r="LNG1" s="9" t="s">
        <v>10560</v>
      </c>
      <c r="LNH1" s="9" t="s">
        <v>10561</v>
      </c>
      <c r="LNI1" s="9" t="s">
        <v>10562</v>
      </c>
      <c r="LNJ1" s="9" t="s">
        <v>10563</v>
      </c>
      <c r="LNK1" s="9" t="s">
        <v>10564</v>
      </c>
      <c r="LNL1" s="9" t="s">
        <v>10565</v>
      </c>
      <c r="LNM1" s="9" t="s">
        <v>10566</v>
      </c>
      <c r="LNN1" s="9" t="s">
        <v>10567</v>
      </c>
      <c r="LNO1" s="9" t="s">
        <v>10568</v>
      </c>
      <c r="LNP1" s="9" t="s">
        <v>10569</v>
      </c>
      <c r="LNQ1" s="9" t="s">
        <v>10570</v>
      </c>
      <c r="LNR1" s="9" t="s">
        <v>10571</v>
      </c>
      <c r="LNS1" s="9" t="s">
        <v>10572</v>
      </c>
      <c r="LNT1" s="9" t="s">
        <v>10573</v>
      </c>
      <c r="LNU1" s="9" t="s">
        <v>10574</v>
      </c>
      <c r="LNV1" s="9" t="s">
        <v>10575</v>
      </c>
      <c r="LNW1" s="9" t="s">
        <v>10576</v>
      </c>
      <c r="LNX1" s="9" t="s">
        <v>10577</v>
      </c>
      <c r="LNY1" s="9" t="s">
        <v>10578</v>
      </c>
      <c r="LNZ1" s="9" t="s">
        <v>10579</v>
      </c>
      <c r="LOA1" s="9" t="s">
        <v>10580</v>
      </c>
      <c r="LOB1" s="9" t="s">
        <v>10581</v>
      </c>
      <c r="LOC1" s="9" t="s">
        <v>10582</v>
      </c>
      <c r="LOD1" s="9" t="s">
        <v>10583</v>
      </c>
      <c r="LOE1" s="9" t="s">
        <v>10584</v>
      </c>
      <c r="LOF1" s="9" t="s">
        <v>10585</v>
      </c>
      <c r="LOG1" s="9" t="s">
        <v>10586</v>
      </c>
      <c r="LOH1" s="9" t="s">
        <v>10587</v>
      </c>
      <c r="LOI1" s="9" t="s">
        <v>10588</v>
      </c>
      <c r="LOJ1" s="9" t="s">
        <v>10589</v>
      </c>
      <c r="LOK1" s="9" t="s">
        <v>10590</v>
      </c>
      <c r="LOL1" s="9" t="s">
        <v>10591</v>
      </c>
      <c r="LOM1" s="9" t="s">
        <v>10592</v>
      </c>
      <c r="LON1" s="9" t="s">
        <v>10593</v>
      </c>
      <c r="LOO1" s="9" t="s">
        <v>10594</v>
      </c>
      <c r="LOP1" s="9" t="s">
        <v>10595</v>
      </c>
      <c r="LOQ1" s="9" t="s">
        <v>10596</v>
      </c>
      <c r="LOR1" s="9" t="s">
        <v>10597</v>
      </c>
      <c r="LOS1" s="9" t="s">
        <v>10598</v>
      </c>
      <c r="LOT1" s="9" t="s">
        <v>10599</v>
      </c>
      <c r="LOU1" s="9" t="s">
        <v>10600</v>
      </c>
      <c r="LOV1" s="9" t="s">
        <v>10601</v>
      </c>
      <c r="LOW1" s="9" t="s">
        <v>10602</v>
      </c>
      <c r="LOX1" s="9" t="s">
        <v>10603</v>
      </c>
      <c r="LOY1" s="9" t="s">
        <v>10604</v>
      </c>
      <c r="LOZ1" s="9" t="s">
        <v>10605</v>
      </c>
      <c r="LPA1" s="9" t="s">
        <v>10606</v>
      </c>
      <c r="LPB1" s="9" t="s">
        <v>10607</v>
      </c>
      <c r="LPC1" s="9" t="s">
        <v>10608</v>
      </c>
      <c r="LPD1" s="9" t="s">
        <v>10609</v>
      </c>
      <c r="LPE1" s="9" t="s">
        <v>10610</v>
      </c>
      <c r="LPF1" s="9" t="s">
        <v>10611</v>
      </c>
      <c r="LPG1" s="9" t="s">
        <v>10612</v>
      </c>
      <c r="LPH1" s="9" t="s">
        <v>10613</v>
      </c>
      <c r="LPI1" s="9" t="s">
        <v>10614</v>
      </c>
      <c r="LPJ1" s="9" t="s">
        <v>10615</v>
      </c>
      <c r="LPK1" s="9" t="s">
        <v>10616</v>
      </c>
      <c r="LPL1" s="9" t="s">
        <v>10617</v>
      </c>
      <c r="LPM1" s="9" t="s">
        <v>10618</v>
      </c>
      <c r="LPN1" s="9" t="s">
        <v>10619</v>
      </c>
      <c r="LPO1" s="9" t="s">
        <v>10620</v>
      </c>
      <c r="LPP1" s="9" t="s">
        <v>10621</v>
      </c>
      <c r="LPQ1" s="9" t="s">
        <v>10622</v>
      </c>
      <c r="LPR1" s="9" t="s">
        <v>10623</v>
      </c>
      <c r="LPS1" s="9" t="s">
        <v>10624</v>
      </c>
      <c r="LPT1" s="9" t="s">
        <v>10625</v>
      </c>
      <c r="LPU1" s="9" t="s">
        <v>10626</v>
      </c>
      <c r="LPV1" s="9" t="s">
        <v>10627</v>
      </c>
      <c r="LPW1" s="9" t="s">
        <v>10628</v>
      </c>
      <c r="LPX1" s="9" t="s">
        <v>10629</v>
      </c>
      <c r="LPY1" s="9" t="s">
        <v>10630</v>
      </c>
      <c r="LPZ1" s="9" t="s">
        <v>10631</v>
      </c>
      <c r="LQA1" s="9" t="s">
        <v>10632</v>
      </c>
      <c r="LQB1" s="9" t="s">
        <v>10633</v>
      </c>
      <c r="LQC1" s="9" t="s">
        <v>10634</v>
      </c>
      <c r="LQD1" s="9" t="s">
        <v>10635</v>
      </c>
      <c r="LQE1" s="9" t="s">
        <v>10636</v>
      </c>
      <c r="LQF1" s="9" t="s">
        <v>10637</v>
      </c>
      <c r="LQG1" s="9" t="s">
        <v>10638</v>
      </c>
      <c r="LQH1" s="9" t="s">
        <v>10639</v>
      </c>
      <c r="LQI1" s="9" t="s">
        <v>10640</v>
      </c>
      <c r="LQJ1" s="9" t="s">
        <v>10641</v>
      </c>
      <c r="LQK1" s="9" t="s">
        <v>10642</v>
      </c>
      <c r="LQL1" s="9" t="s">
        <v>10643</v>
      </c>
      <c r="LQM1" s="9" t="s">
        <v>10644</v>
      </c>
      <c r="LQN1" s="9" t="s">
        <v>10645</v>
      </c>
      <c r="LQO1" s="9" t="s">
        <v>10646</v>
      </c>
      <c r="LQP1" s="9" t="s">
        <v>10647</v>
      </c>
      <c r="LQQ1" s="9" t="s">
        <v>10648</v>
      </c>
      <c r="LQR1" s="9" t="s">
        <v>10649</v>
      </c>
      <c r="LQS1" s="9" t="s">
        <v>10650</v>
      </c>
      <c r="LQT1" s="9" t="s">
        <v>10651</v>
      </c>
      <c r="LQU1" s="9" t="s">
        <v>10652</v>
      </c>
      <c r="LQV1" s="9" t="s">
        <v>10653</v>
      </c>
      <c r="LQW1" s="9" t="s">
        <v>10654</v>
      </c>
      <c r="LQX1" s="9" t="s">
        <v>10655</v>
      </c>
      <c r="LQY1" s="9" t="s">
        <v>10656</v>
      </c>
      <c r="LQZ1" s="9" t="s">
        <v>10657</v>
      </c>
      <c r="LRA1" s="9" t="s">
        <v>10658</v>
      </c>
      <c r="LRB1" s="9" t="s">
        <v>10659</v>
      </c>
      <c r="LRC1" s="9" t="s">
        <v>10660</v>
      </c>
      <c r="LRD1" s="9" t="s">
        <v>10661</v>
      </c>
      <c r="LRE1" s="9" t="s">
        <v>10662</v>
      </c>
      <c r="LRF1" s="9" t="s">
        <v>10663</v>
      </c>
      <c r="LRG1" s="9" t="s">
        <v>10664</v>
      </c>
      <c r="LRH1" s="9" t="s">
        <v>10665</v>
      </c>
      <c r="LRI1" s="9" t="s">
        <v>10666</v>
      </c>
      <c r="LRJ1" s="9" t="s">
        <v>10667</v>
      </c>
      <c r="LRK1" s="9" t="s">
        <v>10668</v>
      </c>
      <c r="LRL1" s="9" t="s">
        <v>10669</v>
      </c>
      <c r="LRM1" s="9" t="s">
        <v>10670</v>
      </c>
      <c r="LRN1" s="9" t="s">
        <v>10671</v>
      </c>
      <c r="LRO1" s="9" t="s">
        <v>10672</v>
      </c>
      <c r="LRP1" s="9" t="s">
        <v>10673</v>
      </c>
      <c r="LRQ1" s="9" t="s">
        <v>10674</v>
      </c>
      <c r="LRR1" s="9" t="s">
        <v>10675</v>
      </c>
      <c r="LRS1" s="9" t="s">
        <v>10676</v>
      </c>
      <c r="LRT1" s="9" t="s">
        <v>10677</v>
      </c>
      <c r="LRU1" s="9" t="s">
        <v>10678</v>
      </c>
      <c r="LRV1" s="9" t="s">
        <v>10679</v>
      </c>
      <c r="LRW1" s="9" t="s">
        <v>10680</v>
      </c>
      <c r="LRX1" s="9" t="s">
        <v>10681</v>
      </c>
      <c r="LRY1" s="9" t="s">
        <v>10682</v>
      </c>
      <c r="LRZ1" s="9" t="s">
        <v>10683</v>
      </c>
      <c r="LSA1" s="9" t="s">
        <v>10684</v>
      </c>
      <c r="LSB1" s="9" t="s">
        <v>10685</v>
      </c>
      <c r="LSC1" s="9" t="s">
        <v>10686</v>
      </c>
      <c r="LSD1" s="9" t="s">
        <v>10687</v>
      </c>
      <c r="LSE1" s="9" t="s">
        <v>10688</v>
      </c>
      <c r="LSF1" s="9" t="s">
        <v>10689</v>
      </c>
      <c r="LSG1" s="9" t="s">
        <v>10690</v>
      </c>
      <c r="LSH1" s="9" t="s">
        <v>10691</v>
      </c>
      <c r="LSI1" s="9" t="s">
        <v>10692</v>
      </c>
      <c r="LSJ1" s="9" t="s">
        <v>10693</v>
      </c>
      <c r="LSK1" s="9" t="s">
        <v>10694</v>
      </c>
      <c r="LSL1" s="9" t="s">
        <v>10695</v>
      </c>
      <c r="LSM1" s="9" t="s">
        <v>10696</v>
      </c>
      <c r="LSN1" s="9" t="s">
        <v>10697</v>
      </c>
      <c r="LSO1" s="9" t="s">
        <v>10698</v>
      </c>
      <c r="LSP1" s="9" t="s">
        <v>10699</v>
      </c>
      <c r="LSQ1" s="9" t="s">
        <v>10700</v>
      </c>
      <c r="LSR1" s="9" t="s">
        <v>10701</v>
      </c>
      <c r="LSS1" s="9" t="s">
        <v>10702</v>
      </c>
      <c r="LST1" s="9" t="s">
        <v>10703</v>
      </c>
      <c r="LSU1" s="9" t="s">
        <v>10704</v>
      </c>
      <c r="LSV1" s="9" t="s">
        <v>10705</v>
      </c>
      <c r="LSW1" s="9" t="s">
        <v>10706</v>
      </c>
      <c r="LSX1" s="9" t="s">
        <v>10707</v>
      </c>
      <c r="LSY1" s="9" t="s">
        <v>10708</v>
      </c>
      <c r="LSZ1" s="9" t="s">
        <v>10709</v>
      </c>
      <c r="LTA1" s="9" t="s">
        <v>10710</v>
      </c>
      <c r="LTB1" s="9" t="s">
        <v>10711</v>
      </c>
      <c r="LTC1" s="9" t="s">
        <v>10712</v>
      </c>
      <c r="LTD1" s="9" t="s">
        <v>10713</v>
      </c>
      <c r="LTE1" s="9" t="s">
        <v>10714</v>
      </c>
      <c r="LTF1" s="9" t="s">
        <v>10715</v>
      </c>
      <c r="LTG1" s="9" t="s">
        <v>10716</v>
      </c>
      <c r="LTH1" s="9" t="s">
        <v>10717</v>
      </c>
      <c r="LTI1" s="9" t="s">
        <v>10718</v>
      </c>
      <c r="LTJ1" s="9" t="s">
        <v>10719</v>
      </c>
      <c r="LTK1" s="9" t="s">
        <v>10720</v>
      </c>
      <c r="LTL1" s="9" t="s">
        <v>10721</v>
      </c>
      <c r="LTM1" s="9" t="s">
        <v>10722</v>
      </c>
      <c r="LTN1" s="9" t="s">
        <v>10723</v>
      </c>
      <c r="LTO1" s="9" t="s">
        <v>10724</v>
      </c>
      <c r="LTP1" s="9" t="s">
        <v>10725</v>
      </c>
      <c r="LTQ1" s="9" t="s">
        <v>10726</v>
      </c>
      <c r="LTR1" s="9" t="s">
        <v>10727</v>
      </c>
      <c r="LTS1" s="9" t="s">
        <v>10728</v>
      </c>
      <c r="LTT1" s="9" t="s">
        <v>10729</v>
      </c>
      <c r="LTU1" s="9" t="s">
        <v>10730</v>
      </c>
      <c r="LTV1" s="9" t="s">
        <v>10731</v>
      </c>
      <c r="LTW1" s="9" t="s">
        <v>10732</v>
      </c>
      <c r="LTX1" s="9" t="s">
        <v>10733</v>
      </c>
      <c r="LTY1" s="9" t="s">
        <v>10734</v>
      </c>
      <c r="LTZ1" s="9" t="s">
        <v>10735</v>
      </c>
      <c r="LUA1" s="9" t="s">
        <v>10736</v>
      </c>
      <c r="LUB1" s="9" t="s">
        <v>10737</v>
      </c>
      <c r="LUC1" s="9" t="s">
        <v>10738</v>
      </c>
      <c r="LUD1" s="9" t="s">
        <v>10739</v>
      </c>
      <c r="LUE1" s="9" t="s">
        <v>10740</v>
      </c>
      <c r="LUF1" s="9" t="s">
        <v>10741</v>
      </c>
      <c r="LUG1" s="9" t="s">
        <v>10742</v>
      </c>
      <c r="LUH1" s="9" t="s">
        <v>10743</v>
      </c>
      <c r="LUI1" s="9" t="s">
        <v>10744</v>
      </c>
      <c r="LUJ1" s="9" t="s">
        <v>10745</v>
      </c>
      <c r="LUK1" s="9" t="s">
        <v>10746</v>
      </c>
      <c r="LUL1" s="9" t="s">
        <v>10747</v>
      </c>
      <c r="LUM1" s="9" t="s">
        <v>10748</v>
      </c>
      <c r="LUN1" s="9" t="s">
        <v>10749</v>
      </c>
      <c r="LUO1" s="9" t="s">
        <v>10750</v>
      </c>
      <c r="LUP1" s="9" t="s">
        <v>10751</v>
      </c>
      <c r="LUQ1" s="9" t="s">
        <v>10752</v>
      </c>
      <c r="LUR1" s="9" t="s">
        <v>10753</v>
      </c>
      <c r="LUS1" s="9" t="s">
        <v>10754</v>
      </c>
      <c r="LUT1" s="9" t="s">
        <v>10755</v>
      </c>
      <c r="LUU1" s="9" t="s">
        <v>10756</v>
      </c>
      <c r="LUV1" s="9" t="s">
        <v>10757</v>
      </c>
      <c r="LUW1" s="9" t="s">
        <v>10758</v>
      </c>
      <c r="LUX1" s="9" t="s">
        <v>10759</v>
      </c>
      <c r="LUY1" s="9" t="s">
        <v>10760</v>
      </c>
      <c r="LUZ1" s="9" t="s">
        <v>10761</v>
      </c>
      <c r="LVA1" s="9" t="s">
        <v>10762</v>
      </c>
      <c r="LVB1" s="9" t="s">
        <v>10763</v>
      </c>
      <c r="LVC1" s="9" t="s">
        <v>10764</v>
      </c>
      <c r="LVD1" s="9" t="s">
        <v>10765</v>
      </c>
      <c r="LVE1" s="9" t="s">
        <v>10766</v>
      </c>
      <c r="LVF1" s="9" t="s">
        <v>10767</v>
      </c>
      <c r="LVG1" s="9" t="s">
        <v>10768</v>
      </c>
      <c r="LVH1" s="9" t="s">
        <v>10769</v>
      </c>
      <c r="LVI1" s="9" t="s">
        <v>10770</v>
      </c>
      <c r="LVJ1" s="9" t="s">
        <v>10771</v>
      </c>
      <c r="LVK1" s="9" t="s">
        <v>10772</v>
      </c>
      <c r="LVL1" s="9" t="s">
        <v>10773</v>
      </c>
      <c r="LVM1" s="9" t="s">
        <v>10774</v>
      </c>
      <c r="LVN1" s="9" t="s">
        <v>10775</v>
      </c>
      <c r="LVO1" s="9" t="s">
        <v>10776</v>
      </c>
      <c r="LVP1" s="9" t="s">
        <v>10777</v>
      </c>
      <c r="LVQ1" s="9" t="s">
        <v>10778</v>
      </c>
      <c r="LVR1" s="9" t="s">
        <v>10779</v>
      </c>
      <c r="LVS1" s="9" t="s">
        <v>10780</v>
      </c>
      <c r="LVT1" s="9" t="s">
        <v>10781</v>
      </c>
      <c r="LVU1" s="9" t="s">
        <v>10782</v>
      </c>
      <c r="LVV1" s="9" t="s">
        <v>10783</v>
      </c>
      <c r="LVW1" s="9" t="s">
        <v>10784</v>
      </c>
      <c r="LVX1" s="9" t="s">
        <v>10785</v>
      </c>
      <c r="LVY1" s="9" t="s">
        <v>10786</v>
      </c>
      <c r="LVZ1" s="9" t="s">
        <v>10787</v>
      </c>
      <c r="LWA1" s="9" t="s">
        <v>10788</v>
      </c>
      <c r="LWB1" s="9" t="s">
        <v>10789</v>
      </c>
      <c r="LWC1" s="9" t="s">
        <v>10790</v>
      </c>
      <c r="LWD1" s="9" t="s">
        <v>10791</v>
      </c>
      <c r="LWE1" s="9" t="s">
        <v>10792</v>
      </c>
      <c r="LWF1" s="9" t="s">
        <v>10793</v>
      </c>
      <c r="LWG1" s="9" t="s">
        <v>10794</v>
      </c>
      <c r="LWH1" s="9" t="s">
        <v>10795</v>
      </c>
      <c r="LWI1" s="9" t="s">
        <v>10796</v>
      </c>
      <c r="LWJ1" s="9" t="s">
        <v>10797</v>
      </c>
      <c r="LWK1" s="9" t="s">
        <v>10798</v>
      </c>
      <c r="LWL1" s="9" t="s">
        <v>10799</v>
      </c>
      <c r="LWM1" s="9" t="s">
        <v>10800</v>
      </c>
      <c r="LWN1" s="9" t="s">
        <v>10801</v>
      </c>
      <c r="LWO1" s="9" t="s">
        <v>10802</v>
      </c>
      <c r="LWP1" s="9" t="s">
        <v>10803</v>
      </c>
      <c r="LWQ1" s="9" t="s">
        <v>10804</v>
      </c>
      <c r="LWR1" s="9" t="s">
        <v>10805</v>
      </c>
      <c r="LWS1" s="9" t="s">
        <v>10806</v>
      </c>
      <c r="LWT1" s="9" t="s">
        <v>10807</v>
      </c>
      <c r="LWU1" s="9" t="s">
        <v>10808</v>
      </c>
      <c r="LWV1" s="9" t="s">
        <v>10809</v>
      </c>
      <c r="LWW1" s="9" t="s">
        <v>10810</v>
      </c>
      <c r="LWX1" s="9" t="s">
        <v>10811</v>
      </c>
      <c r="LWY1" s="9" t="s">
        <v>10812</v>
      </c>
      <c r="LWZ1" s="9" t="s">
        <v>10813</v>
      </c>
      <c r="LXA1" s="9" t="s">
        <v>10814</v>
      </c>
      <c r="LXB1" s="9" t="s">
        <v>10815</v>
      </c>
      <c r="LXC1" s="9" t="s">
        <v>10816</v>
      </c>
      <c r="LXD1" s="9" t="s">
        <v>10817</v>
      </c>
      <c r="LXE1" s="9" t="s">
        <v>10818</v>
      </c>
      <c r="LXF1" s="9" t="s">
        <v>10819</v>
      </c>
      <c r="LXG1" s="9" t="s">
        <v>10820</v>
      </c>
      <c r="LXH1" s="9" t="s">
        <v>10821</v>
      </c>
      <c r="LXI1" s="9" t="s">
        <v>10822</v>
      </c>
      <c r="LXJ1" s="9" t="s">
        <v>10823</v>
      </c>
      <c r="LXK1" s="9" t="s">
        <v>10824</v>
      </c>
      <c r="LXL1" s="9" t="s">
        <v>10825</v>
      </c>
      <c r="LXM1" s="9" t="s">
        <v>10826</v>
      </c>
      <c r="LXN1" s="9" t="s">
        <v>10827</v>
      </c>
      <c r="LXO1" s="9" t="s">
        <v>10828</v>
      </c>
      <c r="LXP1" s="9" t="s">
        <v>10829</v>
      </c>
      <c r="LXQ1" s="9" t="s">
        <v>10830</v>
      </c>
      <c r="LXR1" s="9" t="s">
        <v>10831</v>
      </c>
      <c r="LXS1" s="9" t="s">
        <v>10832</v>
      </c>
      <c r="LXT1" s="9" t="s">
        <v>10833</v>
      </c>
      <c r="LXU1" s="9" t="s">
        <v>10834</v>
      </c>
      <c r="LXV1" s="9" t="s">
        <v>10835</v>
      </c>
      <c r="LXW1" s="9" t="s">
        <v>10836</v>
      </c>
      <c r="LXX1" s="9" t="s">
        <v>10837</v>
      </c>
      <c r="LXY1" s="9" t="s">
        <v>10838</v>
      </c>
      <c r="LXZ1" s="9" t="s">
        <v>10839</v>
      </c>
      <c r="LYA1" s="9" t="s">
        <v>10840</v>
      </c>
      <c r="LYB1" s="9" t="s">
        <v>10841</v>
      </c>
      <c r="LYC1" s="9" t="s">
        <v>10842</v>
      </c>
      <c r="LYD1" s="9" t="s">
        <v>10843</v>
      </c>
      <c r="LYE1" s="9" t="s">
        <v>10844</v>
      </c>
      <c r="LYF1" s="9" t="s">
        <v>10845</v>
      </c>
      <c r="LYG1" s="9" t="s">
        <v>10846</v>
      </c>
      <c r="LYH1" s="9" t="s">
        <v>10847</v>
      </c>
      <c r="LYI1" s="9" t="s">
        <v>10848</v>
      </c>
      <c r="LYJ1" s="9" t="s">
        <v>10849</v>
      </c>
      <c r="LYK1" s="9" t="s">
        <v>10850</v>
      </c>
      <c r="LYL1" s="9" t="s">
        <v>10851</v>
      </c>
      <c r="LYM1" s="9" t="s">
        <v>10852</v>
      </c>
      <c r="LYN1" s="9" t="s">
        <v>10853</v>
      </c>
      <c r="LYO1" s="9" t="s">
        <v>10854</v>
      </c>
      <c r="LYP1" s="9" t="s">
        <v>10855</v>
      </c>
      <c r="LYQ1" s="9" t="s">
        <v>10856</v>
      </c>
      <c r="LYR1" s="9" t="s">
        <v>10857</v>
      </c>
      <c r="LYS1" s="9" t="s">
        <v>10858</v>
      </c>
      <c r="LYT1" s="9" t="s">
        <v>10859</v>
      </c>
      <c r="LYU1" s="9" t="s">
        <v>10860</v>
      </c>
      <c r="LYV1" s="9" t="s">
        <v>10861</v>
      </c>
      <c r="LYW1" s="9" t="s">
        <v>10862</v>
      </c>
      <c r="LYX1" s="9" t="s">
        <v>10863</v>
      </c>
      <c r="LYY1" s="9" t="s">
        <v>10864</v>
      </c>
      <c r="LYZ1" s="9" t="s">
        <v>10865</v>
      </c>
      <c r="LZA1" s="9" t="s">
        <v>10866</v>
      </c>
      <c r="LZB1" s="9" t="s">
        <v>10867</v>
      </c>
      <c r="LZC1" s="9" t="s">
        <v>10868</v>
      </c>
      <c r="LZD1" s="9" t="s">
        <v>10869</v>
      </c>
      <c r="LZE1" s="9" t="s">
        <v>10870</v>
      </c>
      <c r="LZF1" s="9" t="s">
        <v>10871</v>
      </c>
      <c r="LZG1" s="9" t="s">
        <v>10872</v>
      </c>
      <c r="LZH1" s="9" t="s">
        <v>10873</v>
      </c>
      <c r="LZI1" s="9" t="s">
        <v>10874</v>
      </c>
      <c r="LZJ1" s="9" t="s">
        <v>10875</v>
      </c>
      <c r="LZK1" s="9" t="s">
        <v>10876</v>
      </c>
      <c r="LZL1" s="9" t="s">
        <v>10877</v>
      </c>
      <c r="LZM1" s="9" t="s">
        <v>10878</v>
      </c>
      <c r="LZN1" s="9" t="s">
        <v>10879</v>
      </c>
      <c r="LZO1" s="9" t="s">
        <v>10880</v>
      </c>
      <c r="LZP1" s="9" t="s">
        <v>10881</v>
      </c>
      <c r="LZQ1" s="9" t="s">
        <v>10882</v>
      </c>
      <c r="LZR1" s="9" t="s">
        <v>10883</v>
      </c>
      <c r="LZS1" s="9" t="s">
        <v>10884</v>
      </c>
      <c r="LZT1" s="9" t="s">
        <v>10885</v>
      </c>
      <c r="LZU1" s="9" t="s">
        <v>10886</v>
      </c>
      <c r="LZV1" s="9" t="s">
        <v>10887</v>
      </c>
      <c r="LZW1" s="9" t="s">
        <v>10888</v>
      </c>
      <c r="LZX1" s="9" t="s">
        <v>10889</v>
      </c>
      <c r="LZY1" s="9" t="s">
        <v>10890</v>
      </c>
      <c r="LZZ1" s="9" t="s">
        <v>10891</v>
      </c>
      <c r="MAA1" s="9" t="s">
        <v>10892</v>
      </c>
      <c r="MAB1" s="9" t="s">
        <v>10893</v>
      </c>
      <c r="MAC1" s="9" t="s">
        <v>10894</v>
      </c>
      <c r="MAD1" s="9" t="s">
        <v>10895</v>
      </c>
      <c r="MAE1" s="9" t="s">
        <v>10896</v>
      </c>
      <c r="MAF1" s="9" t="s">
        <v>10897</v>
      </c>
      <c r="MAG1" s="9" t="s">
        <v>10898</v>
      </c>
      <c r="MAH1" s="9" t="s">
        <v>10899</v>
      </c>
      <c r="MAI1" s="9" t="s">
        <v>10900</v>
      </c>
      <c r="MAJ1" s="9" t="s">
        <v>10901</v>
      </c>
      <c r="MAK1" s="9" t="s">
        <v>10902</v>
      </c>
      <c r="MAL1" s="9" t="s">
        <v>10903</v>
      </c>
      <c r="MAM1" s="9" t="s">
        <v>10904</v>
      </c>
      <c r="MAN1" s="9" t="s">
        <v>10905</v>
      </c>
      <c r="MAO1" s="9" t="s">
        <v>10906</v>
      </c>
      <c r="MAP1" s="9" t="s">
        <v>10907</v>
      </c>
      <c r="MAQ1" s="9" t="s">
        <v>10908</v>
      </c>
      <c r="MAR1" s="9" t="s">
        <v>10909</v>
      </c>
      <c r="MAS1" s="9" t="s">
        <v>10910</v>
      </c>
      <c r="MAT1" s="9" t="s">
        <v>10911</v>
      </c>
      <c r="MAU1" s="9" t="s">
        <v>10912</v>
      </c>
      <c r="MAV1" s="9" t="s">
        <v>10913</v>
      </c>
      <c r="MAW1" s="9" t="s">
        <v>10914</v>
      </c>
      <c r="MAX1" s="9" t="s">
        <v>10915</v>
      </c>
      <c r="MAY1" s="9" t="s">
        <v>10916</v>
      </c>
      <c r="MAZ1" s="9" t="s">
        <v>10917</v>
      </c>
      <c r="MBA1" s="9" t="s">
        <v>10918</v>
      </c>
      <c r="MBB1" s="9" t="s">
        <v>10919</v>
      </c>
      <c r="MBC1" s="9" t="s">
        <v>10920</v>
      </c>
      <c r="MBD1" s="9" t="s">
        <v>10921</v>
      </c>
      <c r="MBE1" s="9" t="s">
        <v>10922</v>
      </c>
      <c r="MBF1" s="9" t="s">
        <v>10923</v>
      </c>
      <c r="MBG1" s="9" t="s">
        <v>10924</v>
      </c>
      <c r="MBH1" s="9" t="s">
        <v>10925</v>
      </c>
      <c r="MBI1" s="9" t="s">
        <v>10926</v>
      </c>
      <c r="MBJ1" s="9" t="s">
        <v>10927</v>
      </c>
      <c r="MBK1" s="9" t="s">
        <v>10928</v>
      </c>
      <c r="MBL1" s="9" t="s">
        <v>10929</v>
      </c>
      <c r="MBM1" s="9" t="s">
        <v>10930</v>
      </c>
      <c r="MBN1" s="9" t="s">
        <v>10931</v>
      </c>
      <c r="MBO1" s="9" t="s">
        <v>10932</v>
      </c>
      <c r="MBP1" s="9" t="s">
        <v>10933</v>
      </c>
      <c r="MBQ1" s="9" t="s">
        <v>10934</v>
      </c>
      <c r="MBR1" s="9" t="s">
        <v>10935</v>
      </c>
      <c r="MBS1" s="9" t="s">
        <v>10936</v>
      </c>
      <c r="MBT1" s="9" t="s">
        <v>10937</v>
      </c>
      <c r="MBU1" s="9" t="s">
        <v>10938</v>
      </c>
      <c r="MBV1" s="9" t="s">
        <v>10939</v>
      </c>
      <c r="MBW1" s="9" t="s">
        <v>10940</v>
      </c>
      <c r="MBX1" s="9" t="s">
        <v>10941</v>
      </c>
      <c r="MBY1" s="9" t="s">
        <v>10942</v>
      </c>
      <c r="MBZ1" s="9" t="s">
        <v>10943</v>
      </c>
      <c r="MCA1" s="9" t="s">
        <v>10944</v>
      </c>
      <c r="MCB1" s="9" t="s">
        <v>10945</v>
      </c>
      <c r="MCC1" s="9" t="s">
        <v>10946</v>
      </c>
      <c r="MCD1" s="9" t="s">
        <v>10947</v>
      </c>
      <c r="MCE1" s="9" t="s">
        <v>10948</v>
      </c>
      <c r="MCF1" s="9" t="s">
        <v>10949</v>
      </c>
      <c r="MCG1" s="9" t="s">
        <v>10950</v>
      </c>
      <c r="MCH1" s="9" t="s">
        <v>10951</v>
      </c>
      <c r="MCI1" s="9" t="s">
        <v>10952</v>
      </c>
      <c r="MCJ1" s="9" t="s">
        <v>10953</v>
      </c>
      <c r="MCK1" s="9" t="s">
        <v>10954</v>
      </c>
      <c r="MCL1" s="9" t="s">
        <v>10955</v>
      </c>
      <c r="MCM1" s="9" t="s">
        <v>10956</v>
      </c>
      <c r="MCN1" s="9" t="s">
        <v>10957</v>
      </c>
      <c r="MCO1" s="9" t="s">
        <v>10958</v>
      </c>
      <c r="MCP1" s="9" t="s">
        <v>10959</v>
      </c>
      <c r="MCQ1" s="9" t="s">
        <v>10960</v>
      </c>
      <c r="MCR1" s="9" t="s">
        <v>10961</v>
      </c>
      <c r="MCS1" s="9" t="s">
        <v>10962</v>
      </c>
      <c r="MCT1" s="9" t="s">
        <v>10963</v>
      </c>
      <c r="MCU1" s="9" t="s">
        <v>10964</v>
      </c>
      <c r="MCV1" s="9" t="s">
        <v>10965</v>
      </c>
      <c r="MCW1" s="9" t="s">
        <v>10966</v>
      </c>
      <c r="MCX1" s="9" t="s">
        <v>10967</v>
      </c>
      <c r="MCY1" s="9" t="s">
        <v>10968</v>
      </c>
      <c r="MCZ1" s="9" t="s">
        <v>10969</v>
      </c>
      <c r="MDA1" s="9" t="s">
        <v>10970</v>
      </c>
      <c r="MDB1" s="9" t="s">
        <v>10971</v>
      </c>
      <c r="MDC1" s="9" t="s">
        <v>10972</v>
      </c>
      <c r="MDD1" s="9" t="s">
        <v>10973</v>
      </c>
      <c r="MDE1" s="9" t="s">
        <v>10974</v>
      </c>
      <c r="MDF1" s="9" t="s">
        <v>10975</v>
      </c>
      <c r="MDG1" s="9" t="s">
        <v>10976</v>
      </c>
      <c r="MDH1" s="9" t="s">
        <v>10977</v>
      </c>
      <c r="MDI1" s="9" t="s">
        <v>10978</v>
      </c>
      <c r="MDJ1" s="9" t="s">
        <v>10979</v>
      </c>
      <c r="MDK1" s="9" t="s">
        <v>10980</v>
      </c>
      <c r="MDL1" s="9" t="s">
        <v>10981</v>
      </c>
      <c r="MDM1" s="9" t="s">
        <v>10982</v>
      </c>
      <c r="MDN1" s="9" t="s">
        <v>10983</v>
      </c>
      <c r="MDO1" s="9" t="s">
        <v>10984</v>
      </c>
      <c r="MDP1" s="9" t="s">
        <v>10985</v>
      </c>
      <c r="MDQ1" s="9" t="s">
        <v>10986</v>
      </c>
      <c r="MDR1" s="9" t="s">
        <v>10987</v>
      </c>
      <c r="MDS1" s="9" t="s">
        <v>10988</v>
      </c>
      <c r="MDT1" s="9" t="s">
        <v>10989</v>
      </c>
      <c r="MDU1" s="9" t="s">
        <v>10990</v>
      </c>
      <c r="MDV1" s="9" t="s">
        <v>10991</v>
      </c>
      <c r="MDW1" s="9" t="s">
        <v>10992</v>
      </c>
      <c r="MDX1" s="9" t="s">
        <v>10993</v>
      </c>
      <c r="MDY1" s="9" t="s">
        <v>10994</v>
      </c>
      <c r="MDZ1" s="9" t="s">
        <v>10995</v>
      </c>
      <c r="MEA1" s="9" t="s">
        <v>10996</v>
      </c>
      <c r="MEB1" s="9" t="s">
        <v>10997</v>
      </c>
      <c r="MEC1" s="9" t="s">
        <v>10998</v>
      </c>
      <c r="MED1" s="9" t="s">
        <v>10999</v>
      </c>
      <c r="MEE1" s="9" t="s">
        <v>11000</v>
      </c>
      <c r="MEF1" s="9" t="s">
        <v>11001</v>
      </c>
      <c r="MEG1" s="9" t="s">
        <v>11002</v>
      </c>
      <c r="MEH1" s="9" t="s">
        <v>11003</v>
      </c>
      <c r="MEI1" s="9" t="s">
        <v>11004</v>
      </c>
      <c r="MEJ1" s="9" t="s">
        <v>11005</v>
      </c>
      <c r="MEK1" s="9" t="s">
        <v>11006</v>
      </c>
      <c r="MEL1" s="9" t="s">
        <v>11007</v>
      </c>
      <c r="MEM1" s="9" t="s">
        <v>11008</v>
      </c>
      <c r="MEN1" s="9" t="s">
        <v>11009</v>
      </c>
      <c r="MEO1" s="9" t="s">
        <v>11010</v>
      </c>
      <c r="MEP1" s="9" t="s">
        <v>11011</v>
      </c>
      <c r="MEQ1" s="9" t="s">
        <v>11012</v>
      </c>
      <c r="MER1" s="9" t="s">
        <v>11013</v>
      </c>
      <c r="MES1" s="9" t="s">
        <v>11014</v>
      </c>
      <c r="MET1" s="9" t="s">
        <v>11015</v>
      </c>
      <c r="MEU1" s="9" t="s">
        <v>11016</v>
      </c>
      <c r="MEV1" s="9" t="s">
        <v>11017</v>
      </c>
      <c r="MEW1" s="9" t="s">
        <v>11018</v>
      </c>
      <c r="MEX1" s="9" t="s">
        <v>11019</v>
      </c>
      <c r="MEY1" s="9" t="s">
        <v>11020</v>
      </c>
      <c r="MEZ1" s="9" t="s">
        <v>11021</v>
      </c>
      <c r="MFA1" s="9" t="s">
        <v>11022</v>
      </c>
      <c r="MFB1" s="9" t="s">
        <v>11023</v>
      </c>
      <c r="MFC1" s="9" t="s">
        <v>11024</v>
      </c>
      <c r="MFD1" s="9" t="s">
        <v>11025</v>
      </c>
      <c r="MFE1" s="9" t="s">
        <v>11026</v>
      </c>
      <c r="MFF1" s="9" t="s">
        <v>11027</v>
      </c>
      <c r="MFG1" s="9" t="s">
        <v>11028</v>
      </c>
      <c r="MFH1" s="9" t="s">
        <v>11029</v>
      </c>
      <c r="MFI1" s="9" t="s">
        <v>11030</v>
      </c>
      <c r="MFJ1" s="9" t="s">
        <v>11031</v>
      </c>
      <c r="MFK1" s="9" t="s">
        <v>11032</v>
      </c>
      <c r="MFL1" s="9" t="s">
        <v>11033</v>
      </c>
      <c r="MFM1" s="9" t="s">
        <v>11034</v>
      </c>
      <c r="MFN1" s="9" t="s">
        <v>11035</v>
      </c>
      <c r="MFO1" s="9" t="s">
        <v>11036</v>
      </c>
      <c r="MFP1" s="9" t="s">
        <v>11037</v>
      </c>
      <c r="MFQ1" s="9" t="s">
        <v>11038</v>
      </c>
      <c r="MFR1" s="9" t="s">
        <v>11039</v>
      </c>
      <c r="MFS1" s="9" t="s">
        <v>11040</v>
      </c>
      <c r="MFT1" s="9" t="s">
        <v>11041</v>
      </c>
      <c r="MFU1" s="9" t="s">
        <v>11042</v>
      </c>
      <c r="MFV1" s="9" t="s">
        <v>11043</v>
      </c>
      <c r="MFW1" s="9" t="s">
        <v>11044</v>
      </c>
      <c r="MFX1" s="9" t="s">
        <v>11045</v>
      </c>
      <c r="MFY1" s="9" t="s">
        <v>11046</v>
      </c>
      <c r="MFZ1" s="9" t="s">
        <v>11047</v>
      </c>
      <c r="MGA1" s="9" t="s">
        <v>11048</v>
      </c>
      <c r="MGB1" s="9" t="s">
        <v>11049</v>
      </c>
      <c r="MGC1" s="9" t="s">
        <v>11050</v>
      </c>
      <c r="MGD1" s="9" t="s">
        <v>11051</v>
      </c>
      <c r="MGE1" s="9" t="s">
        <v>11052</v>
      </c>
      <c r="MGF1" s="9" t="s">
        <v>11053</v>
      </c>
      <c r="MGG1" s="9" t="s">
        <v>11054</v>
      </c>
      <c r="MGH1" s="9" t="s">
        <v>11055</v>
      </c>
      <c r="MGI1" s="9" t="s">
        <v>11056</v>
      </c>
      <c r="MGJ1" s="9" t="s">
        <v>11057</v>
      </c>
      <c r="MGK1" s="9" t="s">
        <v>11058</v>
      </c>
      <c r="MGL1" s="9" t="s">
        <v>11059</v>
      </c>
      <c r="MGM1" s="9" t="s">
        <v>11060</v>
      </c>
      <c r="MGN1" s="9" t="s">
        <v>11061</v>
      </c>
      <c r="MGO1" s="9" t="s">
        <v>11062</v>
      </c>
      <c r="MGP1" s="9" t="s">
        <v>11063</v>
      </c>
      <c r="MGQ1" s="9" t="s">
        <v>11064</v>
      </c>
      <c r="MGR1" s="9" t="s">
        <v>11065</v>
      </c>
      <c r="MGS1" s="9" t="s">
        <v>11066</v>
      </c>
      <c r="MGT1" s="9" t="s">
        <v>11067</v>
      </c>
      <c r="MGU1" s="9" t="s">
        <v>11068</v>
      </c>
      <c r="MGV1" s="9" t="s">
        <v>11069</v>
      </c>
      <c r="MGW1" s="9" t="s">
        <v>11070</v>
      </c>
      <c r="MGX1" s="9" t="s">
        <v>11071</v>
      </c>
      <c r="MGY1" s="9" t="s">
        <v>11072</v>
      </c>
      <c r="MGZ1" s="9" t="s">
        <v>11073</v>
      </c>
      <c r="MHA1" s="9" t="s">
        <v>11074</v>
      </c>
      <c r="MHB1" s="9" t="s">
        <v>11075</v>
      </c>
      <c r="MHC1" s="9" t="s">
        <v>11076</v>
      </c>
      <c r="MHD1" s="9" t="s">
        <v>11077</v>
      </c>
      <c r="MHE1" s="9" t="s">
        <v>11078</v>
      </c>
      <c r="MHF1" s="9" t="s">
        <v>11079</v>
      </c>
      <c r="MHG1" s="9" t="s">
        <v>11080</v>
      </c>
      <c r="MHH1" s="9" t="s">
        <v>11081</v>
      </c>
      <c r="MHI1" s="9" t="s">
        <v>11082</v>
      </c>
      <c r="MHJ1" s="9" t="s">
        <v>11083</v>
      </c>
      <c r="MHK1" s="9" t="s">
        <v>11084</v>
      </c>
      <c r="MHL1" s="9" t="s">
        <v>11085</v>
      </c>
      <c r="MHM1" s="9" t="s">
        <v>11086</v>
      </c>
      <c r="MHN1" s="9" t="s">
        <v>11087</v>
      </c>
      <c r="MHO1" s="9" t="s">
        <v>11088</v>
      </c>
      <c r="MHP1" s="9" t="s">
        <v>11089</v>
      </c>
      <c r="MHQ1" s="9" t="s">
        <v>11090</v>
      </c>
      <c r="MHR1" s="9" t="s">
        <v>11091</v>
      </c>
      <c r="MHS1" s="9" t="s">
        <v>11092</v>
      </c>
      <c r="MHT1" s="9" t="s">
        <v>11093</v>
      </c>
      <c r="MHU1" s="9" t="s">
        <v>11094</v>
      </c>
      <c r="MHV1" s="9" t="s">
        <v>11095</v>
      </c>
      <c r="MHW1" s="9" t="s">
        <v>11096</v>
      </c>
      <c r="MHX1" s="9" t="s">
        <v>11097</v>
      </c>
      <c r="MHY1" s="9" t="s">
        <v>11098</v>
      </c>
      <c r="MHZ1" s="9" t="s">
        <v>11099</v>
      </c>
      <c r="MIA1" s="9" t="s">
        <v>11100</v>
      </c>
      <c r="MIB1" s="9" t="s">
        <v>11101</v>
      </c>
      <c r="MIC1" s="9" t="s">
        <v>11102</v>
      </c>
      <c r="MID1" s="9" t="s">
        <v>11103</v>
      </c>
      <c r="MIE1" s="9" t="s">
        <v>11104</v>
      </c>
      <c r="MIF1" s="9" t="s">
        <v>11105</v>
      </c>
      <c r="MIG1" s="9" t="s">
        <v>11106</v>
      </c>
      <c r="MIH1" s="9" t="s">
        <v>11107</v>
      </c>
      <c r="MII1" s="9" t="s">
        <v>11108</v>
      </c>
      <c r="MIJ1" s="9" t="s">
        <v>11109</v>
      </c>
      <c r="MIK1" s="9" t="s">
        <v>11110</v>
      </c>
      <c r="MIL1" s="9" t="s">
        <v>11111</v>
      </c>
      <c r="MIM1" s="9" t="s">
        <v>11112</v>
      </c>
      <c r="MIN1" s="9" t="s">
        <v>11113</v>
      </c>
      <c r="MIO1" s="9" t="s">
        <v>11114</v>
      </c>
      <c r="MIP1" s="9" t="s">
        <v>11115</v>
      </c>
      <c r="MIQ1" s="9" t="s">
        <v>11116</v>
      </c>
      <c r="MIR1" s="9" t="s">
        <v>11117</v>
      </c>
      <c r="MIS1" s="9" t="s">
        <v>11118</v>
      </c>
      <c r="MIT1" s="9" t="s">
        <v>11119</v>
      </c>
      <c r="MIU1" s="9" t="s">
        <v>11120</v>
      </c>
      <c r="MIV1" s="9" t="s">
        <v>11121</v>
      </c>
      <c r="MIW1" s="9" t="s">
        <v>11122</v>
      </c>
      <c r="MIX1" s="9" t="s">
        <v>11123</v>
      </c>
      <c r="MIY1" s="9" t="s">
        <v>11124</v>
      </c>
      <c r="MIZ1" s="9" t="s">
        <v>11125</v>
      </c>
      <c r="MJA1" s="9" t="s">
        <v>11126</v>
      </c>
      <c r="MJB1" s="9" t="s">
        <v>11127</v>
      </c>
      <c r="MJC1" s="9" t="s">
        <v>11128</v>
      </c>
      <c r="MJD1" s="9" t="s">
        <v>11129</v>
      </c>
      <c r="MJE1" s="9" t="s">
        <v>11130</v>
      </c>
      <c r="MJF1" s="9" t="s">
        <v>11131</v>
      </c>
      <c r="MJG1" s="9" t="s">
        <v>11132</v>
      </c>
      <c r="MJH1" s="9" t="s">
        <v>11133</v>
      </c>
      <c r="MJI1" s="9" t="s">
        <v>11134</v>
      </c>
      <c r="MJJ1" s="9" t="s">
        <v>11135</v>
      </c>
      <c r="MJK1" s="9" t="s">
        <v>11136</v>
      </c>
      <c r="MJL1" s="9" t="s">
        <v>11137</v>
      </c>
      <c r="MJM1" s="9" t="s">
        <v>11138</v>
      </c>
      <c r="MJN1" s="9" t="s">
        <v>11139</v>
      </c>
      <c r="MJO1" s="9" t="s">
        <v>11140</v>
      </c>
      <c r="MJP1" s="9" t="s">
        <v>11141</v>
      </c>
      <c r="MJQ1" s="9" t="s">
        <v>11142</v>
      </c>
      <c r="MJR1" s="9" t="s">
        <v>11143</v>
      </c>
      <c r="MJS1" s="9" t="s">
        <v>11144</v>
      </c>
      <c r="MJT1" s="9" t="s">
        <v>11145</v>
      </c>
      <c r="MJU1" s="9" t="s">
        <v>11146</v>
      </c>
      <c r="MJV1" s="9" t="s">
        <v>11147</v>
      </c>
      <c r="MJW1" s="9" t="s">
        <v>11148</v>
      </c>
      <c r="MJX1" s="9" t="s">
        <v>11149</v>
      </c>
      <c r="MJY1" s="9" t="s">
        <v>11150</v>
      </c>
      <c r="MJZ1" s="9" t="s">
        <v>11151</v>
      </c>
      <c r="MKA1" s="9" t="s">
        <v>11152</v>
      </c>
      <c r="MKB1" s="9" t="s">
        <v>11153</v>
      </c>
      <c r="MKC1" s="9" t="s">
        <v>11154</v>
      </c>
      <c r="MKD1" s="9" t="s">
        <v>11155</v>
      </c>
      <c r="MKE1" s="9" t="s">
        <v>11156</v>
      </c>
      <c r="MKF1" s="9" t="s">
        <v>11157</v>
      </c>
      <c r="MKG1" s="9" t="s">
        <v>11158</v>
      </c>
      <c r="MKH1" s="9" t="s">
        <v>11159</v>
      </c>
      <c r="MKI1" s="9" t="s">
        <v>11160</v>
      </c>
      <c r="MKJ1" s="9" t="s">
        <v>11161</v>
      </c>
      <c r="MKK1" s="9" t="s">
        <v>11162</v>
      </c>
      <c r="MKL1" s="9" t="s">
        <v>11163</v>
      </c>
      <c r="MKM1" s="9" t="s">
        <v>11164</v>
      </c>
      <c r="MKN1" s="9" t="s">
        <v>11165</v>
      </c>
      <c r="MKO1" s="9" t="s">
        <v>11166</v>
      </c>
      <c r="MKP1" s="9" t="s">
        <v>11167</v>
      </c>
      <c r="MKQ1" s="9" t="s">
        <v>11168</v>
      </c>
      <c r="MKR1" s="9" t="s">
        <v>11169</v>
      </c>
      <c r="MKS1" s="9" t="s">
        <v>11170</v>
      </c>
      <c r="MKT1" s="9" t="s">
        <v>11171</v>
      </c>
      <c r="MKU1" s="9" t="s">
        <v>11172</v>
      </c>
      <c r="MKV1" s="9" t="s">
        <v>11173</v>
      </c>
      <c r="MKW1" s="9" t="s">
        <v>11174</v>
      </c>
      <c r="MKX1" s="9" t="s">
        <v>11175</v>
      </c>
      <c r="MKY1" s="9" t="s">
        <v>11176</v>
      </c>
      <c r="MKZ1" s="9" t="s">
        <v>11177</v>
      </c>
      <c r="MLA1" s="9" t="s">
        <v>11178</v>
      </c>
      <c r="MLB1" s="9" t="s">
        <v>11179</v>
      </c>
      <c r="MLC1" s="9" t="s">
        <v>11180</v>
      </c>
      <c r="MLD1" s="9" t="s">
        <v>11181</v>
      </c>
      <c r="MLE1" s="9" t="s">
        <v>11182</v>
      </c>
      <c r="MLF1" s="9" t="s">
        <v>11183</v>
      </c>
      <c r="MLG1" s="9" t="s">
        <v>11184</v>
      </c>
      <c r="MLH1" s="9" t="s">
        <v>11185</v>
      </c>
      <c r="MLI1" s="9" t="s">
        <v>11186</v>
      </c>
      <c r="MLJ1" s="9" t="s">
        <v>11187</v>
      </c>
      <c r="MLK1" s="9" t="s">
        <v>11188</v>
      </c>
      <c r="MLL1" s="9" t="s">
        <v>11189</v>
      </c>
      <c r="MLM1" s="9" t="s">
        <v>11190</v>
      </c>
      <c r="MLN1" s="9" t="s">
        <v>11191</v>
      </c>
      <c r="MLO1" s="9" t="s">
        <v>11192</v>
      </c>
      <c r="MLP1" s="9" t="s">
        <v>11193</v>
      </c>
      <c r="MLQ1" s="9" t="s">
        <v>11194</v>
      </c>
      <c r="MLR1" s="9" t="s">
        <v>11195</v>
      </c>
      <c r="MLS1" s="9" t="s">
        <v>11196</v>
      </c>
      <c r="MLT1" s="9" t="s">
        <v>11197</v>
      </c>
      <c r="MLU1" s="9" t="s">
        <v>11198</v>
      </c>
      <c r="MLV1" s="9" t="s">
        <v>11199</v>
      </c>
      <c r="MLW1" s="9" t="s">
        <v>11200</v>
      </c>
      <c r="MLX1" s="9" t="s">
        <v>11201</v>
      </c>
      <c r="MLY1" s="9" t="s">
        <v>11202</v>
      </c>
      <c r="MLZ1" s="9" t="s">
        <v>11203</v>
      </c>
      <c r="MMA1" s="9" t="s">
        <v>11204</v>
      </c>
      <c r="MMB1" s="9" t="s">
        <v>11205</v>
      </c>
      <c r="MMC1" s="9" t="s">
        <v>11206</v>
      </c>
      <c r="MMD1" s="9" t="s">
        <v>11207</v>
      </c>
      <c r="MME1" s="9" t="s">
        <v>11208</v>
      </c>
      <c r="MMF1" s="9" t="s">
        <v>11209</v>
      </c>
      <c r="MMG1" s="9" t="s">
        <v>11210</v>
      </c>
      <c r="MMH1" s="9" t="s">
        <v>11211</v>
      </c>
      <c r="MMI1" s="9" t="s">
        <v>11212</v>
      </c>
      <c r="MMJ1" s="9" t="s">
        <v>11213</v>
      </c>
      <c r="MMK1" s="9" t="s">
        <v>11214</v>
      </c>
      <c r="MML1" s="9" t="s">
        <v>11215</v>
      </c>
      <c r="MMM1" s="9" t="s">
        <v>11216</v>
      </c>
      <c r="MMN1" s="9" t="s">
        <v>11217</v>
      </c>
      <c r="MMO1" s="9" t="s">
        <v>11218</v>
      </c>
      <c r="MMP1" s="9" t="s">
        <v>11219</v>
      </c>
      <c r="MMQ1" s="9" t="s">
        <v>11220</v>
      </c>
      <c r="MMR1" s="9" t="s">
        <v>11221</v>
      </c>
      <c r="MMS1" s="9" t="s">
        <v>11222</v>
      </c>
      <c r="MMT1" s="9" t="s">
        <v>11223</v>
      </c>
      <c r="MMU1" s="9" t="s">
        <v>11224</v>
      </c>
      <c r="MMV1" s="9" t="s">
        <v>11225</v>
      </c>
      <c r="MMW1" s="9" t="s">
        <v>11226</v>
      </c>
      <c r="MMX1" s="9" t="s">
        <v>11227</v>
      </c>
      <c r="MMY1" s="9" t="s">
        <v>11228</v>
      </c>
      <c r="MMZ1" s="9" t="s">
        <v>11229</v>
      </c>
      <c r="MNA1" s="9" t="s">
        <v>11230</v>
      </c>
      <c r="MNB1" s="9" t="s">
        <v>11231</v>
      </c>
      <c r="MNC1" s="9" t="s">
        <v>11232</v>
      </c>
      <c r="MND1" s="9" t="s">
        <v>11233</v>
      </c>
      <c r="MNE1" s="9" t="s">
        <v>11234</v>
      </c>
      <c r="MNF1" s="9" t="s">
        <v>11235</v>
      </c>
      <c r="MNG1" s="9" t="s">
        <v>11236</v>
      </c>
      <c r="MNH1" s="9" t="s">
        <v>11237</v>
      </c>
      <c r="MNI1" s="9" t="s">
        <v>11238</v>
      </c>
      <c r="MNJ1" s="9" t="s">
        <v>11239</v>
      </c>
      <c r="MNK1" s="9" t="s">
        <v>11240</v>
      </c>
      <c r="MNL1" s="9" t="s">
        <v>11241</v>
      </c>
      <c r="MNM1" s="9" t="s">
        <v>11242</v>
      </c>
      <c r="MNN1" s="9" t="s">
        <v>11243</v>
      </c>
      <c r="MNO1" s="9" t="s">
        <v>11244</v>
      </c>
      <c r="MNP1" s="9" t="s">
        <v>11245</v>
      </c>
      <c r="MNQ1" s="9" t="s">
        <v>11246</v>
      </c>
      <c r="MNR1" s="9" t="s">
        <v>11247</v>
      </c>
      <c r="MNS1" s="9" t="s">
        <v>11248</v>
      </c>
      <c r="MNT1" s="9" t="s">
        <v>11249</v>
      </c>
      <c r="MNU1" s="9" t="s">
        <v>11250</v>
      </c>
      <c r="MNV1" s="9" t="s">
        <v>11251</v>
      </c>
      <c r="MNW1" s="9" t="s">
        <v>11252</v>
      </c>
      <c r="MNX1" s="9" t="s">
        <v>11253</v>
      </c>
      <c r="MNY1" s="9" t="s">
        <v>11254</v>
      </c>
      <c r="MNZ1" s="9" t="s">
        <v>11255</v>
      </c>
      <c r="MOA1" s="9" t="s">
        <v>11256</v>
      </c>
      <c r="MOB1" s="9" t="s">
        <v>11257</v>
      </c>
      <c r="MOC1" s="9" t="s">
        <v>11258</v>
      </c>
      <c r="MOD1" s="9" t="s">
        <v>11259</v>
      </c>
      <c r="MOE1" s="9" t="s">
        <v>11260</v>
      </c>
      <c r="MOF1" s="9" t="s">
        <v>11261</v>
      </c>
      <c r="MOG1" s="9" t="s">
        <v>11262</v>
      </c>
      <c r="MOH1" s="9" t="s">
        <v>11263</v>
      </c>
      <c r="MOI1" s="9" t="s">
        <v>11264</v>
      </c>
      <c r="MOJ1" s="9" t="s">
        <v>11265</v>
      </c>
      <c r="MOK1" s="9" t="s">
        <v>11266</v>
      </c>
      <c r="MOL1" s="9" t="s">
        <v>11267</v>
      </c>
      <c r="MOM1" s="9" t="s">
        <v>11268</v>
      </c>
      <c r="MON1" s="9" t="s">
        <v>11269</v>
      </c>
      <c r="MOO1" s="9" t="s">
        <v>11270</v>
      </c>
      <c r="MOP1" s="9" t="s">
        <v>11271</v>
      </c>
      <c r="MOQ1" s="9" t="s">
        <v>11272</v>
      </c>
      <c r="MOR1" s="9" t="s">
        <v>11273</v>
      </c>
      <c r="MOS1" s="9" t="s">
        <v>11274</v>
      </c>
      <c r="MOT1" s="9" t="s">
        <v>11275</v>
      </c>
      <c r="MOU1" s="9" t="s">
        <v>11276</v>
      </c>
      <c r="MOV1" s="9" t="s">
        <v>11277</v>
      </c>
      <c r="MOW1" s="9" t="s">
        <v>11278</v>
      </c>
      <c r="MOX1" s="9" t="s">
        <v>11279</v>
      </c>
      <c r="MOY1" s="9" t="s">
        <v>11280</v>
      </c>
      <c r="MOZ1" s="9" t="s">
        <v>11281</v>
      </c>
      <c r="MPA1" s="9" t="s">
        <v>11282</v>
      </c>
      <c r="MPB1" s="9" t="s">
        <v>11283</v>
      </c>
      <c r="MPC1" s="9" t="s">
        <v>11284</v>
      </c>
      <c r="MPD1" s="9" t="s">
        <v>11285</v>
      </c>
      <c r="MPE1" s="9" t="s">
        <v>11286</v>
      </c>
      <c r="MPF1" s="9" t="s">
        <v>11287</v>
      </c>
      <c r="MPG1" s="9" t="s">
        <v>11288</v>
      </c>
      <c r="MPH1" s="9" t="s">
        <v>11289</v>
      </c>
      <c r="MPI1" s="9" t="s">
        <v>11290</v>
      </c>
      <c r="MPJ1" s="9" t="s">
        <v>11291</v>
      </c>
      <c r="MPK1" s="9" t="s">
        <v>11292</v>
      </c>
      <c r="MPL1" s="9" t="s">
        <v>11293</v>
      </c>
      <c r="MPM1" s="9" t="s">
        <v>11294</v>
      </c>
      <c r="MPN1" s="9" t="s">
        <v>11295</v>
      </c>
      <c r="MPO1" s="9" t="s">
        <v>11296</v>
      </c>
      <c r="MPP1" s="9" t="s">
        <v>11297</v>
      </c>
      <c r="MPQ1" s="9" t="s">
        <v>11298</v>
      </c>
      <c r="MPR1" s="9" t="s">
        <v>11299</v>
      </c>
      <c r="MPS1" s="9" t="s">
        <v>11300</v>
      </c>
      <c r="MPT1" s="9" t="s">
        <v>11301</v>
      </c>
      <c r="MPU1" s="9" t="s">
        <v>11302</v>
      </c>
      <c r="MPV1" s="9" t="s">
        <v>11303</v>
      </c>
      <c r="MPW1" s="9" t="s">
        <v>11304</v>
      </c>
      <c r="MPX1" s="9" t="s">
        <v>11305</v>
      </c>
      <c r="MPY1" s="9" t="s">
        <v>11306</v>
      </c>
      <c r="MPZ1" s="9" t="s">
        <v>11307</v>
      </c>
      <c r="MQA1" s="9" t="s">
        <v>11308</v>
      </c>
      <c r="MQB1" s="9" t="s">
        <v>11309</v>
      </c>
      <c r="MQC1" s="9" t="s">
        <v>11310</v>
      </c>
      <c r="MQD1" s="9" t="s">
        <v>11311</v>
      </c>
      <c r="MQE1" s="9" t="s">
        <v>11312</v>
      </c>
      <c r="MQF1" s="9" t="s">
        <v>11313</v>
      </c>
      <c r="MQG1" s="9" t="s">
        <v>11314</v>
      </c>
      <c r="MQH1" s="9" t="s">
        <v>11315</v>
      </c>
      <c r="MQI1" s="9" t="s">
        <v>11316</v>
      </c>
      <c r="MQJ1" s="9" t="s">
        <v>11317</v>
      </c>
      <c r="MQK1" s="9" t="s">
        <v>11318</v>
      </c>
      <c r="MQL1" s="9" t="s">
        <v>11319</v>
      </c>
      <c r="MQM1" s="9" t="s">
        <v>11320</v>
      </c>
      <c r="MQN1" s="9" t="s">
        <v>11321</v>
      </c>
      <c r="MQO1" s="9" t="s">
        <v>11322</v>
      </c>
      <c r="MQP1" s="9" t="s">
        <v>11323</v>
      </c>
      <c r="MQQ1" s="9" t="s">
        <v>11324</v>
      </c>
      <c r="MQR1" s="9" t="s">
        <v>11325</v>
      </c>
      <c r="MQS1" s="9" t="s">
        <v>11326</v>
      </c>
      <c r="MQT1" s="9" t="s">
        <v>11327</v>
      </c>
      <c r="MQU1" s="9" t="s">
        <v>11328</v>
      </c>
      <c r="MQV1" s="9" t="s">
        <v>11329</v>
      </c>
      <c r="MQW1" s="9" t="s">
        <v>11330</v>
      </c>
      <c r="MQX1" s="9" t="s">
        <v>11331</v>
      </c>
      <c r="MQY1" s="9" t="s">
        <v>11332</v>
      </c>
      <c r="MQZ1" s="9" t="s">
        <v>11333</v>
      </c>
      <c r="MRA1" s="9" t="s">
        <v>11334</v>
      </c>
      <c r="MRB1" s="9" t="s">
        <v>11335</v>
      </c>
      <c r="MRC1" s="9" t="s">
        <v>11336</v>
      </c>
      <c r="MRD1" s="9" t="s">
        <v>11337</v>
      </c>
      <c r="MRE1" s="9" t="s">
        <v>11338</v>
      </c>
      <c r="MRF1" s="9" t="s">
        <v>11339</v>
      </c>
      <c r="MRG1" s="9" t="s">
        <v>11340</v>
      </c>
      <c r="MRH1" s="9" t="s">
        <v>11341</v>
      </c>
      <c r="MRI1" s="9" t="s">
        <v>11342</v>
      </c>
      <c r="MRJ1" s="9" t="s">
        <v>11343</v>
      </c>
      <c r="MRK1" s="9" t="s">
        <v>11344</v>
      </c>
      <c r="MRL1" s="9" t="s">
        <v>11345</v>
      </c>
      <c r="MRM1" s="9" t="s">
        <v>11346</v>
      </c>
      <c r="MRN1" s="9" t="s">
        <v>11347</v>
      </c>
      <c r="MRO1" s="9" t="s">
        <v>11348</v>
      </c>
      <c r="MRP1" s="9" t="s">
        <v>11349</v>
      </c>
      <c r="MRQ1" s="9" t="s">
        <v>11350</v>
      </c>
      <c r="MRR1" s="9" t="s">
        <v>11351</v>
      </c>
      <c r="MRS1" s="9" t="s">
        <v>11352</v>
      </c>
      <c r="MRT1" s="9" t="s">
        <v>11353</v>
      </c>
      <c r="MRU1" s="9" t="s">
        <v>11354</v>
      </c>
      <c r="MRV1" s="9" t="s">
        <v>11355</v>
      </c>
      <c r="MRW1" s="9" t="s">
        <v>11356</v>
      </c>
      <c r="MRX1" s="9" t="s">
        <v>11357</v>
      </c>
      <c r="MRY1" s="9" t="s">
        <v>11358</v>
      </c>
      <c r="MRZ1" s="9" t="s">
        <v>11359</v>
      </c>
      <c r="MSA1" s="9" t="s">
        <v>11360</v>
      </c>
      <c r="MSB1" s="9" t="s">
        <v>11361</v>
      </c>
      <c r="MSC1" s="9" t="s">
        <v>11362</v>
      </c>
      <c r="MSD1" s="9" t="s">
        <v>11363</v>
      </c>
      <c r="MSE1" s="9" t="s">
        <v>11364</v>
      </c>
      <c r="MSF1" s="9" t="s">
        <v>11365</v>
      </c>
      <c r="MSG1" s="9" t="s">
        <v>11366</v>
      </c>
      <c r="MSH1" s="9" t="s">
        <v>11367</v>
      </c>
      <c r="MSI1" s="9" t="s">
        <v>11368</v>
      </c>
      <c r="MSJ1" s="9" t="s">
        <v>11369</v>
      </c>
      <c r="MSK1" s="9" t="s">
        <v>11370</v>
      </c>
      <c r="MSL1" s="9" t="s">
        <v>11371</v>
      </c>
      <c r="MSM1" s="9" t="s">
        <v>11372</v>
      </c>
      <c r="MSN1" s="9" t="s">
        <v>11373</v>
      </c>
      <c r="MSO1" s="9" t="s">
        <v>11374</v>
      </c>
      <c r="MSP1" s="9" t="s">
        <v>11375</v>
      </c>
      <c r="MSQ1" s="9" t="s">
        <v>11376</v>
      </c>
      <c r="MSR1" s="9" t="s">
        <v>11377</v>
      </c>
      <c r="MSS1" s="9" t="s">
        <v>11378</v>
      </c>
      <c r="MST1" s="9" t="s">
        <v>11379</v>
      </c>
      <c r="MSU1" s="9" t="s">
        <v>11380</v>
      </c>
      <c r="MSV1" s="9" t="s">
        <v>11381</v>
      </c>
      <c r="MSW1" s="9" t="s">
        <v>11382</v>
      </c>
      <c r="MSX1" s="9" t="s">
        <v>11383</v>
      </c>
      <c r="MSY1" s="9" t="s">
        <v>11384</v>
      </c>
      <c r="MSZ1" s="9" t="s">
        <v>11385</v>
      </c>
      <c r="MTA1" s="9" t="s">
        <v>11386</v>
      </c>
      <c r="MTB1" s="9" t="s">
        <v>11387</v>
      </c>
      <c r="MTC1" s="9" t="s">
        <v>11388</v>
      </c>
      <c r="MTD1" s="9" t="s">
        <v>11389</v>
      </c>
      <c r="MTE1" s="9" t="s">
        <v>11390</v>
      </c>
      <c r="MTF1" s="9" t="s">
        <v>11391</v>
      </c>
      <c r="MTG1" s="9" t="s">
        <v>11392</v>
      </c>
      <c r="MTH1" s="9" t="s">
        <v>11393</v>
      </c>
      <c r="MTI1" s="9" t="s">
        <v>11394</v>
      </c>
      <c r="MTJ1" s="9" t="s">
        <v>11395</v>
      </c>
      <c r="MTK1" s="9" t="s">
        <v>11396</v>
      </c>
      <c r="MTL1" s="9" t="s">
        <v>11397</v>
      </c>
      <c r="MTM1" s="9" t="s">
        <v>11398</v>
      </c>
      <c r="MTN1" s="9" t="s">
        <v>11399</v>
      </c>
      <c r="MTO1" s="9" t="s">
        <v>11400</v>
      </c>
      <c r="MTP1" s="9" t="s">
        <v>11401</v>
      </c>
      <c r="MTQ1" s="9" t="s">
        <v>11402</v>
      </c>
      <c r="MTR1" s="9" t="s">
        <v>11403</v>
      </c>
      <c r="MTS1" s="9" t="s">
        <v>11404</v>
      </c>
      <c r="MTT1" s="9" t="s">
        <v>11405</v>
      </c>
      <c r="MTU1" s="9" t="s">
        <v>11406</v>
      </c>
      <c r="MTV1" s="9" t="s">
        <v>11407</v>
      </c>
      <c r="MTW1" s="9" t="s">
        <v>11408</v>
      </c>
      <c r="MTX1" s="9" t="s">
        <v>11409</v>
      </c>
      <c r="MTY1" s="9" t="s">
        <v>11410</v>
      </c>
      <c r="MTZ1" s="9" t="s">
        <v>11411</v>
      </c>
      <c r="MUA1" s="9" t="s">
        <v>11412</v>
      </c>
      <c r="MUB1" s="9" t="s">
        <v>11413</v>
      </c>
      <c r="MUC1" s="9" t="s">
        <v>11414</v>
      </c>
      <c r="MUD1" s="9" t="s">
        <v>11415</v>
      </c>
      <c r="MUE1" s="9" t="s">
        <v>11416</v>
      </c>
      <c r="MUF1" s="9" t="s">
        <v>11417</v>
      </c>
      <c r="MUG1" s="9" t="s">
        <v>11418</v>
      </c>
      <c r="MUH1" s="9" t="s">
        <v>11419</v>
      </c>
      <c r="MUI1" s="9" t="s">
        <v>11420</v>
      </c>
      <c r="MUJ1" s="9" t="s">
        <v>11421</v>
      </c>
      <c r="MUK1" s="9" t="s">
        <v>11422</v>
      </c>
      <c r="MUL1" s="9" t="s">
        <v>11423</v>
      </c>
      <c r="MUM1" s="9" t="s">
        <v>11424</v>
      </c>
      <c r="MUN1" s="9" t="s">
        <v>11425</v>
      </c>
      <c r="MUO1" s="9" t="s">
        <v>11426</v>
      </c>
      <c r="MUP1" s="9" t="s">
        <v>11427</v>
      </c>
      <c r="MUQ1" s="9" t="s">
        <v>11428</v>
      </c>
      <c r="MUR1" s="9" t="s">
        <v>11429</v>
      </c>
      <c r="MUS1" s="9" t="s">
        <v>11430</v>
      </c>
      <c r="MUT1" s="9" t="s">
        <v>11431</v>
      </c>
      <c r="MUU1" s="9" t="s">
        <v>11432</v>
      </c>
      <c r="MUV1" s="9" t="s">
        <v>11433</v>
      </c>
      <c r="MUW1" s="9" t="s">
        <v>11434</v>
      </c>
      <c r="MUX1" s="9" t="s">
        <v>11435</v>
      </c>
      <c r="MUY1" s="9" t="s">
        <v>11436</v>
      </c>
      <c r="MUZ1" s="9" t="s">
        <v>11437</v>
      </c>
      <c r="MVA1" s="9" t="s">
        <v>11438</v>
      </c>
      <c r="MVB1" s="9" t="s">
        <v>11439</v>
      </c>
      <c r="MVC1" s="9" t="s">
        <v>11440</v>
      </c>
      <c r="MVD1" s="9" t="s">
        <v>11441</v>
      </c>
      <c r="MVE1" s="9" t="s">
        <v>11442</v>
      </c>
      <c r="MVF1" s="9" t="s">
        <v>11443</v>
      </c>
      <c r="MVG1" s="9" t="s">
        <v>11444</v>
      </c>
      <c r="MVH1" s="9" t="s">
        <v>11445</v>
      </c>
      <c r="MVI1" s="9" t="s">
        <v>11446</v>
      </c>
      <c r="MVJ1" s="9" t="s">
        <v>11447</v>
      </c>
      <c r="MVK1" s="9" t="s">
        <v>11448</v>
      </c>
      <c r="MVL1" s="9" t="s">
        <v>11449</v>
      </c>
      <c r="MVM1" s="9" t="s">
        <v>11450</v>
      </c>
      <c r="MVN1" s="9" t="s">
        <v>11451</v>
      </c>
      <c r="MVO1" s="9" t="s">
        <v>11452</v>
      </c>
      <c r="MVP1" s="9" t="s">
        <v>11453</v>
      </c>
      <c r="MVQ1" s="9" t="s">
        <v>11454</v>
      </c>
      <c r="MVR1" s="9" t="s">
        <v>11455</v>
      </c>
      <c r="MVS1" s="9" t="s">
        <v>11456</v>
      </c>
      <c r="MVT1" s="9" t="s">
        <v>11457</v>
      </c>
      <c r="MVU1" s="9" t="s">
        <v>11458</v>
      </c>
      <c r="MVV1" s="9" t="s">
        <v>11459</v>
      </c>
      <c r="MVW1" s="9" t="s">
        <v>11460</v>
      </c>
      <c r="MVX1" s="9" t="s">
        <v>11461</v>
      </c>
      <c r="MVY1" s="9" t="s">
        <v>11462</v>
      </c>
      <c r="MVZ1" s="9" t="s">
        <v>11463</v>
      </c>
      <c r="MWA1" s="9" t="s">
        <v>11464</v>
      </c>
      <c r="MWB1" s="9" t="s">
        <v>11465</v>
      </c>
      <c r="MWC1" s="9" t="s">
        <v>11466</v>
      </c>
      <c r="MWD1" s="9" t="s">
        <v>11467</v>
      </c>
      <c r="MWE1" s="9" t="s">
        <v>11468</v>
      </c>
      <c r="MWF1" s="9" t="s">
        <v>11469</v>
      </c>
      <c r="MWG1" s="9" t="s">
        <v>11470</v>
      </c>
      <c r="MWH1" s="9" t="s">
        <v>11471</v>
      </c>
      <c r="MWI1" s="9" t="s">
        <v>11472</v>
      </c>
      <c r="MWJ1" s="9" t="s">
        <v>11473</v>
      </c>
      <c r="MWK1" s="9" t="s">
        <v>11474</v>
      </c>
      <c r="MWL1" s="9" t="s">
        <v>11475</v>
      </c>
      <c r="MWM1" s="9" t="s">
        <v>11476</v>
      </c>
      <c r="MWN1" s="9" t="s">
        <v>11477</v>
      </c>
      <c r="MWO1" s="9" t="s">
        <v>11478</v>
      </c>
      <c r="MWP1" s="9" t="s">
        <v>11479</v>
      </c>
      <c r="MWQ1" s="9" t="s">
        <v>11480</v>
      </c>
      <c r="MWR1" s="9" t="s">
        <v>11481</v>
      </c>
      <c r="MWS1" s="9" t="s">
        <v>11482</v>
      </c>
      <c r="MWT1" s="9" t="s">
        <v>11483</v>
      </c>
      <c r="MWU1" s="9" t="s">
        <v>11484</v>
      </c>
      <c r="MWV1" s="9" t="s">
        <v>11485</v>
      </c>
      <c r="MWW1" s="9" t="s">
        <v>11486</v>
      </c>
      <c r="MWX1" s="9" t="s">
        <v>11487</v>
      </c>
      <c r="MWY1" s="9" t="s">
        <v>11488</v>
      </c>
      <c r="MWZ1" s="9" t="s">
        <v>11489</v>
      </c>
      <c r="MXA1" s="9" t="s">
        <v>11490</v>
      </c>
      <c r="MXB1" s="9" t="s">
        <v>11491</v>
      </c>
      <c r="MXC1" s="9" t="s">
        <v>11492</v>
      </c>
      <c r="MXD1" s="9" t="s">
        <v>11493</v>
      </c>
      <c r="MXE1" s="9" t="s">
        <v>11494</v>
      </c>
      <c r="MXF1" s="9" t="s">
        <v>11495</v>
      </c>
      <c r="MXG1" s="9" t="s">
        <v>11496</v>
      </c>
      <c r="MXH1" s="9" t="s">
        <v>11497</v>
      </c>
      <c r="MXI1" s="9" t="s">
        <v>11498</v>
      </c>
      <c r="MXJ1" s="9" t="s">
        <v>11499</v>
      </c>
      <c r="MXK1" s="9" t="s">
        <v>11500</v>
      </c>
      <c r="MXL1" s="9" t="s">
        <v>11501</v>
      </c>
      <c r="MXM1" s="9" t="s">
        <v>11502</v>
      </c>
      <c r="MXN1" s="9" t="s">
        <v>11503</v>
      </c>
      <c r="MXO1" s="9" t="s">
        <v>11504</v>
      </c>
      <c r="MXP1" s="9" t="s">
        <v>11505</v>
      </c>
      <c r="MXQ1" s="9" t="s">
        <v>11506</v>
      </c>
      <c r="MXR1" s="9" t="s">
        <v>11507</v>
      </c>
      <c r="MXS1" s="9" t="s">
        <v>11508</v>
      </c>
      <c r="MXT1" s="9" t="s">
        <v>11509</v>
      </c>
      <c r="MXU1" s="9" t="s">
        <v>11510</v>
      </c>
      <c r="MXV1" s="9" t="s">
        <v>11511</v>
      </c>
      <c r="MXW1" s="9" t="s">
        <v>11512</v>
      </c>
      <c r="MXX1" s="9" t="s">
        <v>11513</v>
      </c>
      <c r="MXY1" s="9" t="s">
        <v>11514</v>
      </c>
      <c r="MXZ1" s="9" t="s">
        <v>11515</v>
      </c>
      <c r="MYA1" s="9" t="s">
        <v>11516</v>
      </c>
      <c r="MYB1" s="9" t="s">
        <v>11517</v>
      </c>
      <c r="MYC1" s="9" t="s">
        <v>11518</v>
      </c>
      <c r="MYD1" s="9" t="s">
        <v>11519</v>
      </c>
      <c r="MYE1" s="9" t="s">
        <v>11520</v>
      </c>
      <c r="MYF1" s="9" t="s">
        <v>11521</v>
      </c>
      <c r="MYG1" s="9" t="s">
        <v>11522</v>
      </c>
      <c r="MYH1" s="9" t="s">
        <v>11523</v>
      </c>
      <c r="MYI1" s="9" t="s">
        <v>11524</v>
      </c>
      <c r="MYJ1" s="9" t="s">
        <v>11525</v>
      </c>
      <c r="MYK1" s="9" t="s">
        <v>11526</v>
      </c>
      <c r="MYL1" s="9" t="s">
        <v>11527</v>
      </c>
      <c r="MYM1" s="9" t="s">
        <v>11528</v>
      </c>
      <c r="MYN1" s="9" t="s">
        <v>11529</v>
      </c>
      <c r="MYO1" s="9" t="s">
        <v>11530</v>
      </c>
      <c r="MYP1" s="9" t="s">
        <v>11531</v>
      </c>
      <c r="MYQ1" s="9" t="s">
        <v>11532</v>
      </c>
      <c r="MYR1" s="9" t="s">
        <v>11533</v>
      </c>
      <c r="MYS1" s="9" t="s">
        <v>11534</v>
      </c>
      <c r="MYT1" s="9" t="s">
        <v>11535</v>
      </c>
      <c r="MYU1" s="9" t="s">
        <v>11536</v>
      </c>
      <c r="MYV1" s="9" t="s">
        <v>11537</v>
      </c>
      <c r="MYW1" s="9" t="s">
        <v>11538</v>
      </c>
      <c r="MYX1" s="9" t="s">
        <v>11539</v>
      </c>
      <c r="MYY1" s="9" t="s">
        <v>11540</v>
      </c>
      <c r="MYZ1" s="9" t="s">
        <v>11541</v>
      </c>
      <c r="MZA1" s="9" t="s">
        <v>11542</v>
      </c>
      <c r="MZB1" s="9" t="s">
        <v>11543</v>
      </c>
      <c r="MZC1" s="9" t="s">
        <v>11544</v>
      </c>
      <c r="MZD1" s="9" t="s">
        <v>11545</v>
      </c>
      <c r="MZE1" s="9" t="s">
        <v>11546</v>
      </c>
      <c r="MZF1" s="9" t="s">
        <v>11547</v>
      </c>
      <c r="MZG1" s="9" t="s">
        <v>11548</v>
      </c>
      <c r="MZH1" s="9" t="s">
        <v>11549</v>
      </c>
      <c r="MZI1" s="9" t="s">
        <v>11550</v>
      </c>
      <c r="MZJ1" s="9" t="s">
        <v>11551</v>
      </c>
      <c r="MZK1" s="9" t="s">
        <v>11552</v>
      </c>
      <c r="MZL1" s="9" t="s">
        <v>11553</v>
      </c>
      <c r="MZM1" s="9" t="s">
        <v>11554</v>
      </c>
      <c r="MZN1" s="9" t="s">
        <v>11555</v>
      </c>
      <c r="MZO1" s="9" t="s">
        <v>11556</v>
      </c>
      <c r="MZP1" s="9" t="s">
        <v>11557</v>
      </c>
      <c r="MZQ1" s="9" t="s">
        <v>11558</v>
      </c>
      <c r="MZR1" s="9" t="s">
        <v>11559</v>
      </c>
      <c r="MZS1" s="9" t="s">
        <v>11560</v>
      </c>
      <c r="MZT1" s="9" t="s">
        <v>11561</v>
      </c>
      <c r="MZU1" s="9" t="s">
        <v>11562</v>
      </c>
      <c r="MZV1" s="9" t="s">
        <v>11563</v>
      </c>
      <c r="MZW1" s="9" t="s">
        <v>11564</v>
      </c>
      <c r="MZX1" s="9" t="s">
        <v>11565</v>
      </c>
      <c r="MZY1" s="9" t="s">
        <v>11566</v>
      </c>
      <c r="MZZ1" s="9" t="s">
        <v>11567</v>
      </c>
      <c r="NAA1" s="9" t="s">
        <v>11568</v>
      </c>
      <c r="NAB1" s="9" t="s">
        <v>11569</v>
      </c>
      <c r="NAC1" s="9" t="s">
        <v>11570</v>
      </c>
      <c r="NAD1" s="9" t="s">
        <v>11571</v>
      </c>
      <c r="NAE1" s="9" t="s">
        <v>11572</v>
      </c>
      <c r="NAF1" s="9" t="s">
        <v>11573</v>
      </c>
      <c r="NAG1" s="9" t="s">
        <v>11574</v>
      </c>
      <c r="NAH1" s="9" t="s">
        <v>11575</v>
      </c>
      <c r="NAI1" s="9" t="s">
        <v>11576</v>
      </c>
      <c r="NAJ1" s="9" t="s">
        <v>11577</v>
      </c>
      <c r="NAK1" s="9" t="s">
        <v>11578</v>
      </c>
      <c r="NAL1" s="9" t="s">
        <v>11579</v>
      </c>
      <c r="NAM1" s="9" t="s">
        <v>11580</v>
      </c>
      <c r="NAN1" s="9" t="s">
        <v>11581</v>
      </c>
      <c r="NAO1" s="9" t="s">
        <v>11582</v>
      </c>
      <c r="NAP1" s="9" t="s">
        <v>11583</v>
      </c>
      <c r="NAQ1" s="9" t="s">
        <v>11584</v>
      </c>
      <c r="NAR1" s="9" t="s">
        <v>11585</v>
      </c>
      <c r="NAS1" s="9" t="s">
        <v>11586</v>
      </c>
      <c r="NAT1" s="9" t="s">
        <v>11587</v>
      </c>
      <c r="NAU1" s="9" t="s">
        <v>11588</v>
      </c>
      <c r="NAV1" s="9" t="s">
        <v>11589</v>
      </c>
      <c r="NAW1" s="9" t="s">
        <v>11590</v>
      </c>
      <c r="NAX1" s="9" t="s">
        <v>11591</v>
      </c>
      <c r="NAY1" s="9" t="s">
        <v>11592</v>
      </c>
      <c r="NAZ1" s="9" t="s">
        <v>11593</v>
      </c>
      <c r="NBA1" s="9" t="s">
        <v>11594</v>
      </c>
      <c r="NBB1" s="9" t="s">
        <v>11595</v>
      </c>
      <c r="NBC1" s="9" t="s">
        <v>11596</v>
      </c>
      <c r="NBD1" s="9" t="s">
        <v>11597</v>
      </c>
      <c r="NBE1" s="9" t="s">
        <v>11598</v>
      </c>
      <c r="NBF1" s="9" t="s">
        <v>11599</v>
      </c>
      <c r="NBG1" s="9" t="s">
        <v>11600</v>
      </c>
      <c r="NBH1" s="9" t="s">
        <v>11601</v>
      </c>
      <c r="NBI1" s="9" t="s">
        <v>11602</v>
      </c>
      <c r="NBJ1" s="9" t="s">
        <v>11603</v>
      </c>
      <c r="NBK1" s="9" t="s">
        <v>11604</v>
      </c>
      <c r="NBL1" s="9" t="s">
        <v>11605</v>
      </c>
      <c r="NBM1" s="9" t="s">
        <v>11606</v>
      </c>
      <c r="NBN1" s="9" t="s">
        <v>11607</v>
      </c>
      <c r="NBO1" s="9" t="s">
        <v>11608</v>
      </c>
      <c r="NBP1" s="9" t="s">
        <v>11609</v>
      </c>
      <c r="NBQ1" s="9" t="s">
        <v>11610</v>
      </c>
      <c r="NBR1" s="9" t="s">
        <v>11611</v>
      </c>
      <c r="NBS1" s="9" t="s">
        <v>11612</v>
      </c>
      <c r="NBT1" s="9" t="s">
        <v>11613</v>
      </c>
      <c r="NBU1" s="9" t="s">
        <v>11614</v>
      </c>
      <c r="NBV1" s="9" t="s">
        <v>11615</v>
      </c>
      <c r="NBW1" s="9" t="s">
        <v>11616</v>
      </c>
      <c r="NBX1" s="9" t="s">
        <v>11617</v>
      </c>
      <c r="NBY1" s="9" t="s">
        <v>11618</v>
      </c>
      <c r="NBZ1" s="9" t="s">
        <v>11619</v>
      </c>
      <c r="NCA1" s="9" t="s">
        <v>11620</v>
      </c>
      <c r="NCB1" s="9" t="s">
        <v>11621</v>
      </c>
      <c r="NCC1" s="9" t="s">
        <v>11622</v>
      </c>
      <c r="NCD1" s="9" t="s">
        <v>11623</v>
      </c>
      <c r="NCE1" s="9" t="s">
        <v>11624</v>
      </c>
      <c r="NCF1" s="9" t="s">
        <v>11625</v>
      </c>
      <c r="NCG1" s="9" t="s">
        <v>11626</v>
      </c>
      <c r="NCH1" s="9" t="s">
        <v>11627</v>
      </c>
      <c r="NCI1" s="9" t="s">
        <v>11628</v>
      </c>
      <c r="NCJ1" s="9" t="s">
        <v>11629</v>
      </c>
      <c r="NCK1" s="9" t="s">
        <v>11630</v>
      </c>
      <c r="NCL1" s="9" t="s">
        <v>11631</v>
      </c>
      <c r="NCM1" s="9" t="s">
        <v>11632</v>
      </c>
      <c r="NCN1" s="9" t="s">
        <v>11633</v>
      </c>
      <c r="NCO1" s="9" t="s">
        <v>11634</v>
      </c>
      <c r="NCP1" s="9" t="s">
        <v>11635</v>
      </c>
      <c r="NCQ1" s="9" t="s">
        <v>11636</v>
      </c>
      <c r="NCR1" s="9" t="s">
        <v>11637</v>
      </c>
      <c r="NCS1" s="9" t="s">
        <v>11638</v>
      </c>
      <c r="NCT1" s="9" t="s">
        <v>11639</v>
      </c>
      <c r="NCU1" s="9" t="s">
        <v>11640</v>
      </c>
      <c r="NCV1" s="9" t="s">
        <v>11641</v>
      </c>
      <c r="NCW1" s="9" t="s">
        <v>11642</v>
      </c>
      <c r="NCX1" s="9" t="s">
        <v>11643</v>
      </c>
      <c r="NCY1" s="9" t="s">
        <v>11644</v>
      </c>
      <c r="NCZ1" s="9" t="s">
        <v>11645</v>
      </c>
      <c r="NDA1" s="9" t="s">
        <v>11646</v>
      </c>
      <c r="NDB1" s="9" t="s">
        <v>11647</v>
      </c>
      <c r="NDC1" s="9" t="s">
        <v>11648</v>
      </c>
      <c r="NDD1" s="9" t="s">
        <v>11649</v>
      </c>
      <c r="NDE1" s="9" t="s">
        <v>11650</v>
      </c>
      <c r="NDF1" s="9" t="s">
        <v>11651</v>
      </c>
      <c r="NDG1" s="9" t="s">
        <v>11652</v>
      </c>
      <c r="NDH1" s="9" t="s">
        <v>11653</v>
      </c>
      <c r="NDI1" s="9" t="s">
        <v>11654</v>
      </c>
      <c r="NDJ1" s="9" t="s">
        <v>11655</v>
      </c>
      <c r="NDK1" s="9" t="s">
        <v>11656</v>
      </c>
      <c r="NDL1" s="9" t="s">
        <v>11657</v>
      </c>
      <c r="NDM1" s="9" t="s">
        <v>11658</v>
      </c>
      <c r="NDN1" s="9" t="s">
        <v>11659</v>
      </c>
      <c r="NDO1" s="9" t="s">
        <v>11660</v>
      </c>
      <c r="NDP1" s="9" t="s">
        <v>11661</v>
      </c>
      <c r="NDQ1" s="9" t="s">
        <v>11662</v>
      </c>
      <c r="NDR1" s="9" t="s">
        <v>11663</v>
      </c>
      <c r="NDS1" s="9" t="s">
        <v>11664</v>
      </c>
      <c r="NDT1" s="9" t="s">
        <v>11665</v>
      </c>
      <c r="NDU1" s="9" t="s">
        <v>11666</v>
      </c>
      <c r="NDV1" s="9" t="s">
        <v>11667</v>
      </c>
      <c r="NDW1" s="9" t="s">
        <v>11668</v>
      </c>
      <c r="NDX1" s="9" t="s">
        <v>11669</v>
      </c>
      <c r="NDY1" s="9" t="s">
        <v>11670</v>
      </c>
      <c r="NDZ1" s="9" t="s">
        <v>11671</v>
      </c>
      <c r="NEA1" s="9" t="s">
        <v>11672</v>
      </c>
      <c r="NEB1" s="9" t="s">
        <v>11673</v>
      </c>
      <c r="NEC1" s="9" t="s">
        <v>11674</v>
      </c>
      <c r="NED1" s="9" t="s">
        <v>11675</v>
      </c>
      <c r="NEE1" s="9" t="s">
        <v>11676</v>
      </c>
      <c r="NEF1" s="9" t="s">
        <v>11677</v>
      </c>
      <c r="NEG1" s="9" t="s">
        <v>11678</v>
      </c>
      <c r="NEH1" s="9" t="s">
        <v>11679</v>
      </c>
      <c r="NEI1" s="9" t="s">
        <v>11680</v>
      </c>
      <c r="NEJ1" s="9" t="s">
        <v>11681</v>
      </c>
      <c r="NEK1" s="9" t="s">
        <v>11682</v>
      </c>
      <c r="NEL1" s="9" t="s">
        <v>11683</v>
      </c>
      <c r="NEM1" s="9" t="s">
        <v>11684</v>
      </c>
      <c r="NEN1" s="9" t="s">
        <v>11685</v>
      </c>
      <c r="NEO1" s="9" t="s">
        <v>11686</v>
      </c>
      <c r="NEP1" s="9" t="s">
        <v>11687</v>
      </c>
      <c r="NEQ1" s="9" t="s">
        <v>11688</v>
      </c>
      <c r="NER1" s="9" t="s">
        <v>11689</v>
      </c>
      <c r="NES1" s="9" t="s">
        <v>11690</v>
      </c>
      <c r="NET1" s="9" t="s">
        <v>11691</v>
      </c>
      <c r="NEU1" s="9" t="s">
        <v>11692</v>
      </c>
      <c r="NEV1" s="9" t="s">
        <v>11693</v>
      </c>
      <c r="NEW1" s="9" t="s">
        <v>11694</v>
      </c>
      <c r="NEX1" s="9" t="s">
        <v>11695</v>
      </c>
      <c r="NEY1" s="9" t="s">
        <v>11696</v>
      </c>
      <c r="NEZ1" s="9" t="s">
        <v>11697</v>
      </c>
      <c r="NFA1" s="9" t="s">
        <v>11698</v>
      </c>
      <c r="NFB1" s="9" t="s">
        <v>11699</v>
      </c>
      <c r="NFC1" s="9" t="s">
        <v>11700</v>
      </c>
      <c r="NFD1" s="9" t="s">
        <v>11701</v>
      </c>
      <c r="NFE1" s="9" t="s">
        <v>11702</v>
      </c>
      <c r="NFF1" s="9" t="s">
        <v>11703</v>
      </c>
      <c r="NFG1" s="9" t="s">
        <v>11704</v>
      </c>
      <c r="NFH1" s="9" t="s">
        <v>11705</v>
      </c>
      <c r="NFI1" s="9" t="s">
        <v>11706</v>
      </c>
      <c r="NFJ1" s="9" t="s">
        <v>11707</v>
      </c>
      <c r="NFK1" s="9" t="s">
        <v>11708</v>
      </c>
      <c r="NFL1" s="9" t="s">
        <v>11709</v>
      </c>
      <c r="NFM1" s="9" t="s">
        <v>11710</v>
      </c>
      <c r="NFN1" s="9" t="s">
        <v>11711</v>
      </c>
      <c r="NFO1" s="9" t="s">
        <v>11712</v>
      </c>
      <c r="NFP1" s="9" t="s">
        <v>11713</v>
      </c>
      <c r="NFQ1" s="9" t="s">
        <v>11714</v>
      </c>
      <c r="NFR1" s="9" t="s">
        <v>11715</v>
      </c>
      <c r="NFS1" s="9" t="s">
        <v>11716</v>
      </c>
      <c r="NFT1" s="9" t="s">
        <v>11717</v>
      </c>
      <c r="NFU1" s="9" t="s">
        <v>11718</v>
      </c>
      <c r="NFV1" s="9" t="s">
        <v>11719</v>
      </c>
      <c r="NFW1" s="9" t="s">
        <v>11720</v>
      </c>
      <c r="NFX1" s="9" t="s">
        <v>11721</v>
      </c>
      <c r="NFY1" s="9" t="s">
        <v>11722</v>
      </c>
      <c r="NFZ1" s="9" t="s">
        <v>11723</v>
      </c>
      <c r="NGA1" s="9" t="s">
        <v>11724</v>
      </c>
      <c r="NGB1" s="9" t="s">
        <v>11725</v>
      </c>
      <c r="NGC1" s="9" t="s">
        <v>11726</v>
      </c>
      <c r="NGD1" s="9" t="s">
        <v>11727</v>
      </c>
      <c r="NGE1" s="9" t="s">
        <v>11728</v>
      </c>
      <c r="NGF1" s="9" t="s">
        <v>11729</v>
      </c>
      <c r="NGG1" s="9" t="s">
        <v>11730</v>
      </c>
      <c r="NGH1" s="9" t="s">
        <v>11731</v>
      </c>
      <c r="NGI1" s="9" t="s">
        <v>11732</v>
      </c>
      <c r="NGJ1" s="9" t="s">
        <v>11733</v>
      </c>
      <c r="NGK1" s="9" t="s">
        <v>11734</v>
      </c>
      <c r="NGL1" s="9" t="s">
        <v>11735</v>
      </c>
      <c r="NGM1" s="9" t="s">
        <v>11736</v>
      </c>
      <c r="NGN1" s="9" t="s">
        <v>11737</v>
      </c>
      <c r="NGO1" s="9" t="s">
        <v>11738</v>
      </c>
      <c r="NGP1" s="9" t="s">
        <v>11739</v>
      </c>
      <c r="NGQ1" s="9" t="s">
        <v>11740</v>
      </c>
      <c r="NGR1" s="9" t="s">
        <v>11741</v>
      </c>
      <c r="NGS1" s="9" t="s">
        <v>11742</v>
      </c>
      <c r="NGT1" s="9" t="s">
        <v>11743</v>
      </c>
      <c r="NGU1" s="9" t="s">
        <v>11744</v>
      </c>
      <c r="NGV1" s="9" t="s">
        <v>11745</v>
      </c>
      <c r="NGW1" s="9" t="s">
        <v>11746</v>
      </c>
      <c r="NGX1" s="9" t="s">
        <v>11747</v>
      </c>
      <c r="NGY1" s="9" t="s">
        <v>11748</v>
      </c>
      <c r="NGZ1" s="9" t="s">
        <v>11749</v>
      </c>
      <c r="NHA1" s="9" t="s">
        <v>11750</v>
      </c>
      <c r="NHB1" s="9" t="s">
        <v>11751</v>
      </c>
      <c r="NHC1" s="9" t="s">
        <v>11752</v>
      </c>
      <c r="NHD1" s="9" t="s">
        <v>11753</v>
      </c>
      <c r="NHE1" s="9" t="s">
        <v>11754</v>
      </c>
      <c r="NHF1" s="9" t="s">
        <v>11755</v>
      </c>
      <c r="NHG1" s="9" t="s">
        <v>11756</v>
      </c>
      <c r="NHH1" s="9" t="s">
        <v>11757</v>
      </c>
      <c r="NHI1" s="9" t="s">
        <v>11758</v>
      </c>
      <c r="NHJ1" s="9" t="s">
        <v>11759</v>
      </c>
      <c r="NHK1" s="9" t="s">
        <v>11760</v>
      </c>
      <c r="NHL1" s="9" t="s">
        <v>11761</v>
      </c>
      <c r="NHM1" s="9" t="s">
        <v>11762</v>
      </c>
      <c r="NHN1" s="9" t="s">
        <v>11763</v>
      </c>
      <c r="NHO1" s="9" t="s">
        <v>11764</v>
      </c>
      <c r="NHP1" s="9" t="s">
        <v>11765</v>
      </c>
      <c r="NHQ1" s="9" t="s">
        <v>11766</v>
      </c>
      <c r="NHR1" s="9" t="s">
        <v>11767</v>
      </c>
      <c r="NHS1" s="9" t="s">
        <v>11768</v>
      </c>
      <c r="NHT1" s="9" t="s">
        <v>11769</v>
      </c>
      <c r="NHU1" s="9" t="s">
        <v>11770</v>
      </c>
      <c r="NHV1" s="9" t="s">
        <v>11771</v>
      </c>
      <c r="NHW1" s="9" t="s">
        <v>11772</v>
      </c>
      <c r="NHX1" s="9" t="s">
        <v>11773</v>
      </c>
      <c r="NHY1" s="9" t="s">
        <v>11774</v>
      </c>
      <c r="NHZ1" s="9" t="s">
        <v>11775</v>
      </c>
      <c r="NIA1" s="9" t="s">
        <v>11776</v>
      </c>
      <c r="NIB1" s="9" t="s">
        <v>11777</v>
      </c>
      <c r="NIC1" s="9" t="s">
        <v>11778</v>
      </c>
      <c r="NID1" s="9" t="s">
        <v>11779</v>
      </c>
      <c r="NIE1" s="9" t="s">
        <v>11780</v>
      </c>
      <c r="NIF1" s="9" t="s">
        <v>11781</v>
      </c>
      <c r="NIG1" s="9" t="s">
        <v>11782</v>
      </c>
      <c r="NIH1" s="9" t="s">
        <v>11783</v>
      </c>
      <c r="NII1" s="9" t="s">
        <v>11784</v>
      </c>
      <c r="NIJ1" s="9" t="s">
        <v>11785</v>
      </c>
      <c r="NIK1" s="9" t="s">
        <v>11786</v>
      </c>
      <c r="NIL1" s="9" t="s">
        <v>11787</v>
      </c>
      <c r="NIM1" s="9" t="s">
        <v>11788</v>
      </c>
      <c r="NIN1" s="9" t="s">
        <v>11789</v>
      </c>
      <c r="NIO1" s="9" t="s">
        <v>11790</v>
      </c>
      <c r="NIP1" s="9" t="s">
        <v>11791</v>
      </c>
      <c r="NIQ1" s="9" t="s">
        <v>11792</v>
      </c>
      <c r="NIR1" s="9" t="s">
        <v>11793</v>
      </c>
      <c r="NIS1" s="9" t="s">
        <v>11794</v>
      </c>
      <c r="NIT1" s="9" t="s">
        <v>11795</v>
      </c>
      <c r="NIU1" s="9" t="s">
        <v>11796</v>
      </c>
      <c r="NIV1" s="9" t="s">
        <v>11797</v>
      </c>
      <c r="NIW1" s="9" t="s">
        <v>11798</v>
      </c>
      <c r="NIX1" s="9" t="s">
        <v>11799</v>
      </c>
      <c r="NIY1" s="9" t="s">
        <v>11800</v>
      </c>
      <c r="NIZ1" s="9" t="s">
        <v>11801</v>
      </c>
      <c r="NJA1" s="9" t="s">
        <v>11802</v>
      </c>
      <c r="NJB1" s="9" t="s">
        <v>11803</v>
      </c>
      <c r="NJC1" s="9" t="s">
        <v>11804</v>
      </c>
      <c r="NJD1" s="9" t="s">
        <v>11805</v>
      </c>
      <c r="NJE1" s="9" t="s">
        <v>11806</v>
      </c>
      <c r="NJF1" s="9" t="s">
        <v>11807</v>
      </c>
      <c r="NJG1" s="9" t="s">
        <v>11808</v>
      </c>
      <c r="NJH1" s="9" t="s">
        <v>11809</v>
      </c>
      <c r="NJI1" s="9" t="s">
        <v>11810</v>
      </c>
      <c r="NJJ1" s="9" t="s">
        <v>11811</v>
      </c>
      <c r="NJK1" s="9" t="s">
        <v>11812</v>
      </c>
      <c r="NJL1" s="9" t="s">
        <v>11813</v>
      </c>
      <c r="NJM1" s="9" t="s">
        <v>11814</v>
      </c>
      <c r="NJN1" s="9" t="s">
        <v>11815</v>
      </c>
      <c r="NJO1" s="9" t="s">
        <v>11816</v>
      </c>
      <c r="NJP1" s="9" t="s">
        <v>11817</v>
      </c>
      <c r="NJQ1" s="9" t="s">
        <v>11818</v>
      </c>
      <c r="NJR1" s="9" t="s">
        <v>11819</v>
      </c>
      <c r="NJS1" s="9" t="s">
        <v>11820</v>
      </c>
      <c r="NJT1" s="9" t="s">
        <v>11821</v>
      </c>
      <c r="NJU1" s="9" t="s">
        <v>11822</v>
      </c>
      <c r="NJV1" s="9" t="s">
        <v>11823</v>
      </c>
      <c r="NJW1" s="9" t="s">
        <v>11824</v>
      </c>
      <c r="NJX1" s="9" t="s">
        <v>11825</v>
      </c>
      <c r="NJY1" s="9" t="s">
        <v>11826</v>
      </c>
      <c r="NJZ1" s="9" t="s">
        <v>11827</v>
      </c>
      <c r="NKA1" s="9" t="s">
        <v>11828</v>
      </c>
      <c r="NKB1" s="9" t="s">
        <v>11829</v>
      </c>
      <c r="NKC1" s="9" t="s">
        <v>11830</v>
      </c>
      <c r="NKD1" s="9" t="s">
        <v>11831</v>
      </c>
      <c r="NKE1" s="9" t="s">
        <v>11832</v>
      </c>
      <c r="NKF1" s="9" t="s">
        <v>11833</v>
      </c>
      <c r="NKG1" s="9" t="s">
        <v>11834</v>
      </c>
      <c r="NKH1" s="9" t="s">
        <v>11835</v>
      </c>
      <c r="NKI1" s="9" t="s">
        <v>11836</v>
      </c>
      <c r="NKJ1" s="9" t="s">
        <v>11837</v>
      </c>
      <c r="NKK1" s="9" t="s">
        <v>11838</v>
      </c>
      <c r="NKL1" s="9" t="s">
        <v>11839</v>
      </c>
      <c r="NKM1" s="9" t="s">
        <v>11840</v>
      </c>
      <c r="NKN1" s="9" t="s">
        <v>11841</v>
      </c>
      <c r="NKO1" s="9" t="s">
        <v>11842</v>
      </c>
      <c r="NKP1" s="9" t="s">
        <v>11843</v>
      </c>
      <c r="NKQ1" s="9" t="s">
        <v>11844</v>
      </c>
      <c r="NKR1" s="9" t="s">
        <v>11845</v>
      </c>
      <c r="NKS1" s="9" t="s">
        <v>11846</v>
      </c>
      <c r="NKT1" s="9" t="s">
        <v>11847</v>
      </c>
      <c r="NKU1" s="9" t="s">
        <v>11848</v>
      </c>
      <c r="NKV1" s="9" t="s">
        <v>11849</v>
      </c>
      <c r="NKW1" s="9" t="s">
        <v>11850</v>
      </c>
      <c r="NKX1" s="9" t="s">
        <v>11851</v>
      </c>
      <c r="NKY1" s="9" t="s">
        <v>11852</v>
      </c>
      <c r="NKZ1" s="9" t="s">
        <v>11853</v>
      </c>
      <c r="NLA1" s="9" t="s">
        <v>11854</v>
      </c>
      <c r="NLB1" s="9" t="s">
        <v>11855</v>
      </c>
      <c r="NLC1" s="9" t="s">
        <v>11856</v>
      </c>
      <c r="NLD1" s="9" t="s">
        <v>11857</v>
      </c>
      <c r="NLE1" s="9" t="s">
        <v>11858</v>
      </c>
      <c r="NLF1" s="9" t="s">
        <v>11859</v>
      </c>
      <c r="NLG1" s="9" t="s">
        <v>11860</v>
      </c>
      <c r="NLH1" s="9" t="s">
        <v>11861</v>
      </c>
      <c r="NLI1" s="9" t="s">
        <v>11862</v>
      </c>
      <c r="NLJ1" s="9" t="s">
        <v>11863</v>
      </c>
      <c r="NLK1" s="9" t="s">
        <v>11864</v>
      </c>
      <c r="NLL1" s="9" t="s">
        <v>11865</v>
      </c>
      <c r="NLM1" s="9" t="s">
        <v>11866</v>
      </c>
      <c r="NLN1" s="9" t="s">
        <v>11867</v>
      </c>
      <c r="NLO1" s="9" t="s">
        <v>11868</v>
      </c>
      <c r="NLP1" s="9" t="s">
        <v>11869</v>
      </c>
      <c r="NLQ1" s="9" t="s">
        <v>11870</v>
      </c>
      <c r="NLR1" s="9" t="s">
        <v>11871</v>
      </c>
      <c r="NLS1" s="9" t="s">
        <v>11872</v>
      </c>
      <c r="NLT1" s="9" t="s">
        <v>11873</v>
      </c>
      <c r="NLU1" s="9" t="s">
        <v>11874</v>
      </c>
      <c r="NLV1" s="9" t="s">
        <v>11875</v>
      </c>
      <c r="NLW1" s="9" t="s">
        <v>11876</v>
      </c>
      <c r="NLX1" s="9" t="s">
        <v>11877</v>
      </c>
      <c r="NLY1" s="9" t="s">
        <v>11878</v>
      </c>
      <c r="NLZ1" s="9" t="s">
        <v>11879</v>
      </c>
      <c r="NMA1" s="9" t="s">
        <v>11880</v>
      </c>
      <c r="NMB1" s="9" t="s">
        <v>11881</v>
      </c>
      <c r="NMC1" s="9" t="s">
        <v>11882</v>
      </c>
      <c r="NMD1" s="9" t="s">
        <v>11883</v>
      </c>
      <c r="NME1" s="9" t="s">
        <v>11884</v>
      </c>
      <c r="NMF1" s="9" t="s">
        <v>11885</v>
      </c>
      <c r="NMG1" s="9" t="s">
        <v>11886</v>
      </c>
      <c r="NMH1" s="9" t="s">
        <v>11887</v>
      </c>
      <c r="NMI1" s="9" t="s">
        <v>11888</v>
      </c>
      <c r="NMJ1" s="9" t="s">
        <v>11889</v>
      </c>
      <c r="NMK1" s="9" t="s">
        <v>11890</v>
      </c>
      <c r="NML1" s="9" t="s">
        <v>11891</v>
      </c>
      <c r="NMM1" s="9" t="s">
        <v>11892</v>
      </c>
      <c r="NMN1" s="9" t="s">
        <v>11893</v>
      </c>
      <c r="NMO1" s="9" t="s">
        <v>11894</v>
      </c>
      <c r="NMP1" s="9" t="s">
        <v>11895</v>
      </c>
      <c r="NMQ1" s="9" t="s">
        <v>11896</v>
      </c>
      <c r="NMR1" s="9" t="s">
        <v>11897</v>
      </c>
      <c r="NMS1" s="9" t="s">
        <v>11898</v>
      </c>
      <c r="NMT1" s="9" t="s">
        <v>11899</v>
      </c>
      <c r="NMU1" s="9" t="s">
        <v>11900</v>
      </c>
      <c r="NMV1" s="9" t="s">
        <v>11901</v>
      </c>
      <c r="NMW1" s="9" t="s">
        <v>11902</v>
      </c>
      <c r="NMX1" s="9" t="s">
        <v>11903</v>
      </c>
      <c r="NMY1" s="9" t="s">
        <v>11904</v>
      </c>
      <c r="NMZ1" s="9" t="s">
        <v>11905</v>
      </c>
      <c r="NNA1" s="9" t="s">
        <v>11906</v>
      </c>
      <c r="NNB1" s="9" t="s">
        <v>11907</v>
      </c>
      <c r="NNC1" s="9" t="s">
        <v>11908</v>
      </c>
      <c r="NND1" s="9" t="s">
        <v>11909</v>
      </c>
      <c r="NNE1" s="9" t="s">
        <v>11910</v>
      </c>
      <c r="NNF1" s="9" t="s">
        <v>11911</v>
      </c>
      <c r="NNG1" s="9" t="s">
        <v>11912</v>
      </c>
      <c r="NNH1" s="9" t="s">
        <v>11913</v>
      </c>
      <c r="NNI1" s="9" t="s">
        <v>11914</v>
      </c>
      <c r="NNJ1" s="9" t="s">
        <v>11915</v>
      </c>
      <c r="NNK1" s="9" t="s">
        <v>11916</v>
      </c>
      <c r="NNL1" s="9" t="s">
        <v>11917</v>
      </c>
      <c r="NNM1" s="9" t="s">
        <v>11918</v>
      </c>
      <c r="NNN1" s="9" t="s">
        <v>11919</v>
      </c>
      <c r="NNO1" s="9" t="s">
        <v>11920</v>
      </c>
      <c r="NNP1" s="9" t="s">
        <v>11921</v>
      </c>
      <c r="NNQ1" s="9" t="s">
        <v>11922</v>
      </c>
      <c r="NNR1" s="9" t="s">
        <v>11923</v>
      </c>
      <c r="NNS1" s="9" t="s">
        <v>11924</v>
      </c>
      <c r="NNT1" s="9" t="s">
        <v>11925</v>
      </c>
      <c r="NNU1" s="9" t="s">
        <v>11926</v>
      </c>
      <c r="NNV1" s="9" t="s">
        <v>11927</v>
      </c>
      <c r="NNW1" s="9" t="s">
        <v>11928</v>
      </c>
      <c r="NNX1" s="9" t="s">
        <v>11929</v>
      </c>
      <c r="NNY1" s="9" t="s">
        <v>11930</v>
      </c>
      <c r="NNZ1" s="9" t="s">
        <v>11931</v>
      </c>
      <c r="NOA1" s="9" t="s">
        <v>11932</v>
      </c>
      <c r="NOB1" s="9" t="s">
        <v>11933</v>
      </c>
      <c r="NOC1" s="9" t="s">
        <v>11934</v>
      </c>
      <c r="NOD1" s="9" t="s">
        <v>11935</v>
      </c>
      <c r="NOE1" s="9" t="s">
        <v>11936</v>
      </c>
      <c r="NOF1" s="9" t="s">
        <v>11937</v>
      </c>
      <c r="NOG1" s="9" t="s">
        <v>11938</v>
      </c>
      <c r="NOH1" s="9" t="s">
        <v>11939</v>
      </c>
      <c r="NOI1" s="9" t="s">
        <v>11940</v>
      </c>
      <c r="NOJ1" s="9" t="s">
        <v>11941</v>
      </c>
      <c r="NOK1" s="9" t="s">
        <v>11942</v>
      </c>
      <c r="NOL1" s="9" t="s">
        <v>11943</v>
      </c>
      <c r="NOM1" s="9" t="s">
        <v>11944</v>
      </c>
      <c r="NON1" s="9" t="s">
        <v>11945</v>
      </c>
      <c r="NOO1" s="9" t="s">
        <v>11946</v>
      </c>
      <c r="NOP1" s="9" t="s">
        <v>11947</v>
      </c>
      <c r="NOQ1" s="9" t="s">
        <v>11948</v>
      </c>
      <c r="NOR1" s="9" t="s">
        <v>11949</v>
      </c>
      <c r="NOS1" s="9" t="s">
        <v>11950</v>
      </c>
      <c r="NOT1" s="9" t="s">
        <v>11951</v>
      </c>
      <c r="NOU1" s="9" t="s">
        <v>11952</v>
      </c>
      <c r="NOV1" s="9" t="s">
        <v>11953</v>
      </c>
      <c r="NOW1" s="9" t="s">
        <v>11954</v>
      </c>
      <c r="NOX1" s="9" t="s">
        <v>11955</v>
      </c>
      <c r="NOY1" s="9" t="s">
        <v>11956</v>
      </c>
      <c r="NOZ1" s="9" t="s">
        <v>11957</v>
      </c>
      <c r="NPA1" s="9" t="s">
        <v>11958</v>
      </c>
      <c r="NPB1" s="9" t="s">
        <v>11959</v>
      </c>
      <c r="NPC1" s="9" t="s">
        <v>11960</v>
      </c>
      <c r="NPD1" s="9" t="s">
        <v>11961</v>
      </c>
      <c r="NPE1" s="9" t="s">
        <v>11962</v>
      </c>
      <c r="NPF1" s="9" t="s">
        <v>11963</v>
      </c>
      <c r="NPG1" s="9" t="s">
        <v>11964</v>
      </c>
      <c r="NPH1" s="9" t="s">
        <v>11965</v>
      </c>
      <c r="NPI1" s="9" t="s">
        <v>11966</v>
      </c>
      <c r="NPJ1" s="9" t="s">
        <v>11967</v>
      </c>
      <c r="NPK1" s="9" t="s">
        <v>11968</v>
      </c>
      <c r="NPL1" s="9" t="s">
        <v>11969</v>
      </c>
      <c r="NPM1" s="9" t="s">
        <v>11970</v>
      </c>
      <c r="NPN1" s="9" t="s">
        <v>11971</v>
      </c>
      <c r="NPO1" s="9" t="s">
        <v>11972</v>
      </c>
      <c r="NPP1" s="9" t="s">
        <v>11973</v>
      </c>
      <c r="NPQ1" s="9" t="s">
        <v>11974</v>
      </c>
      <c r="NPR1" s="9" t="s">
        <v>11975</v>
      </c>
      <c r="NPS1" s="9" t="s">
        <v>11976</v>
      </c>
      <c r="NPT1" s="9" t="s">
        <v>11977</v>
      </c>
      <c r="NPU1" s="9" t="s">
        <v>11978</v>
      </c>
      <c r="NPV1" s="9" t="s">
        <v>11979</v>
      </c>
      <c r="NPW1" s="9" t="s">
        <v>11980</v>
      </c>
      <c r="NPX1" s="9" t="s">
        <v>11981</v>
      </c>
      <c r="NPY1" s="9" t="s">
        <v>11982</v>
      </c>
      <c r="NPZ1" s="9" t="s">
        <v>11983</v>
      </c>
      <c r="NQA1" s="9" t="s">
        <v>11984</v>
      </c>
      <c r="NQB1" s="9" t="s">
        <v>11985</v>
      </c>
      <c r="NQC1" s="9" t="s">
        <v>11986</v>
      </c>
      <c r="NQD1" s="9" t="s">
        <v>11987</v>
      </c>
      <c r="NQE1" s="9" t="s">
        <v>11988</v>
      </c>
      <c r="NQF1" s="9" t="s">
        <v>11989</v>
      </c>
      <c r="NQG1" s="9" t="s">
        <v>11990</v>
      </c>
      <c r="NQH1" s="9" t="s">
        <v>11991</v>
      </c>
      <c r="NQI1" s="9" t="s">
        <v>11992</v>
      </c>
      <c r="NQJ1" s="9" t="s">
        <v>11993</v>
      </c>
      <c r="NQK1" s="9" t="s">
        <v>11994</v>
      </c>
      <c r="NQL1" s="9" t="s">
        <v>11995</v>
      </c>
      <c r="NQM1" s="9" t="s">
        <v>11996</v>
      </c>
      <c r="NQN1" s="9" t="s">
        <v>11997</v>
      </c>
      <c r="NQO1" s="9" t="s">
        <v>11998</v>
      </c>
      <c r="NQP1" s="9" t="s">
        <v>11999</v>
      </c>
      <c r="NQQ1" s="9" t="s">
        <v>12000</v>
      </c>
      <c r="NQR1" s="9" t="s">
        <v>12001</v>
      </c>
      <c r="NQS1" s="9" t="s">
        <v>12002</v>
      </c>
      <c r="NQT1" s="9" t="s">
        <v>12003</v>
      </c>
      <c r="NQU1" s="9" t="s">
        <v>12004</v>
      </c>
      <c r="NQV1" s="9" t="s">
        <v>12005</v>
      </c>
      <c r="NQW1" s="9" t="s">
        <v>12006</v>
      </c>
      <c r="NQX1" s="9" t="s">
        <v>12007</v>
      </c>
      <c r="NQY1" s="9" t="s">
        <v>12008</v>
      </c>
      <c r="NQZ1" s="9" t="s">
        <v>12009</v>
      </c>
      <c r="NRA1" s="9" t="s">
        <v>12010</v>
      </c>
      <c r="NRB1" s="9" t="s">
        <v>12011</v>
      </c>
      <c r="NRC1" s="9" t="s">
        <v>12012</v>
      </c>
      <c r="NRD1" s="9" t="s">
        <v>12013</v>
      </c>
      <c r="NRE1" s="9" t="s">
        <v>12014</v>
      </c>
      <c r="NRF1" s="9" t="s">
        <v>12015</v>
      </c>
      <c r="NRG1" s="9" t="s">
        <v>12016</v>
      </c>
      <c r="NRH1" s="9" t="s">
        <v>12017</v>
      </c>
      <c r="NRI1" s="9" t="s">
        <v>12018</v>
      </c>
      <c r="NRJ1" s="9" t="s">
        <v>12019</v>
      </c>
      <c r="NRK1" s="9" t="s">
        <v>12020</v>
      </c>
      <c r="NRL1" s="9" t="s">
        <v>12021</v>
      </c>
      <c r="NRM1" s="9" t="s">
        <v>12022</v>
      </c>
      <c r="NRN1" s="9" t="s">
        <v>12023</v>
      </c>
      <c r="NRO1" s="9" t="s">
        <v>12024</v>
      </c>
      <c r="NRP1" s="9" t="s">
        <v>12025</v>
      </c>
      <c r="NRQ1" s="9" t="s">
        <v>12026</v>
      </c>
      <c r="NRR1" s="9" t="s">
        <v>12027</v>
      </c>
      <c r="NRS1" s="9" t="s">
        <v>12028</v>
      </c>
      <c r="NRT1" s="9" t="s">
        <v>12029</v>
      </c>
      <c r="NRU1" s="9" t="s">
        <v>12030</v>
      </c>
      <c r="NRV1" s="9" t="s">
        <v>12031</v>
      </c>
      <c r="NRW1" s="9" t="s">
        <v>12032</v>
      </c>
      <c r="NRX1" s="9" t="s">
        <v>12033</v>
      </c>
      <c r="NRY1" s="9" t="s">
        <v>12034</v>
      </c>
      <c r="NRZ1" s="9" t="s">
        <v>12035</v>
      </c>
      <c r="NSA1" s="9" t="s">
        <v>12036</v>
      </c>
      <c r="NSB1" s="9" t="s">
        <v>12037</v>
      </c>
      <c r="NSC1" s="9" t="s">
        <v>12038</v>
      </c>
      <c r="NSD1" s="9" t="s">
        <v>12039</v>
      </c>
      <c r="NSE1" s="9" t="s">
        <v>12040</v>
      </c>
      <c r="NSF1" s="9" t="s">
        <v>12041</v>
      </c>
      <c r="NSG1" s="9" t="s">
        <v>12042</v>
      </c>
      <c r="NSH1" s="9" t="s">
        <v>12043</v>
      </c>
      <c r="NSI1" s="9" t="s">
        <v>12044</v>
      </c>
      <c r="NSJ1" s="9" t="s">
        <v>12045</v>
      </c>
      <c r="NSK1" s="9" t="s">
        <v>12046</v>
      </c>
      <c r="NSL1" s="9" t="s">
        <v>12047</v>
      </c>
      <c r="NSM1" s="9" t="s">
        <v>12048</v>
      </c>
      <c r="NSN1" s="9" t="s">
        <v>12049</v>
      </c>
      <c r="NSO1" s="9" t="s">
        <v>12050</v>
      </c>
      <c r="NSP1" s="9" t="s">
        <v>12051</v>
      </c>
      <c r="NSQ1" s="9" t="s">
        <v>12052</v>
      </c>
      <c r="NSR1" s="9" t="s">
        <v>12053</v>
      </c>
      <c r="NSS1" s="9" t="s">
        <v>12054</v>
      </c>
      <c r="NST1" s="9" t="s">
        <v>12055</v>
      </c>
      <c r="NSU1" s="9" t="s">
        <v>12056</v>
      </c>
      <c r="NSV1" s="9" t="s">
        <v>12057</v>
      </c>
      <c r="NSW1" s="9" t="s">
        <v>12058</v>
      </c>
      <c r="NSX1" s="9" t="s">
        <v>12059</v>
      </c>
      <c r="NSY1" s="9" t="s">
        <v>12060</v>
      </c>
      <c r="NSZ1" s="9" t="s">
        <v>12061</v>
      </c>
      <c r="NTA1" s="9" t="s">
        <v>12062</v>
      </c>
      <c r="NTB1" s="9" t="s">
        <v>12063</v>
      </c>
      <c r="NTC1" s="9" t="s">
        <v>12064</v>
      </c>
      <c r="NTD1" s="9" t="s">
        <v>12065</v>
      </c>
      <c r="NTE1" s="9" t="s">
        <v>12066</v>
      </c>
      <c r="NTF1" s="9" t="s">
        <v>12067</v>
      </c>
      <c r="NTG1" s="9" t="s">
        <v>12068</v>
      </c>
      <c r="NTH1" s="9" t="s">
        <v>12069</v>
      </c>
      <c r="NTI1" s="9" t="s">
        <v>12070</v>
      </c>
      <c r="NTJ1" s="9" t="s">
        <v>12071</v>
      </c>
      <c r="NTK1" s="9" t="s">
        <v>12072</v>
      </c>
      <c r="NTL1" s="9" t="s">
        <v>12073</v>
      </c>
      <c r="NTM1" s="9" t="s">
        <v>12074</v>
      </c>
      <c r="NTN1" s="9" t="s">
        <v>12075</v>
      </c>
      <c r="NTO1" s="9" t="s">
        <v>12076</v>
      </c>
      <c r="NTP1" s="9" t="s">
        <v>12077</v>
      </c>
      <c r="NTQ1" s="9" t="s">
        <v>12078</v>
      </c>
      <c r="NTR1" s="9" t="s">
        <v>12079</v>
      </c>
      <c r="NTS1" s="9" t="s">
        <v>12080</v>
      </c>
      <c r="NTT1" s="9" t="s">
        <v>12081</v>
      </c>
      <c r="NTU1" s="9" t="s">
        <v>12082</v>
      </c>
      <c r="NTV1" s="9" t="s">
        <v>12083</v>
      </c>
      <c r="NTW1" s="9" t="s">
        <v>12084</v>
      </c>
      <c r="NTX1" s="9" t="s">
        <v>12085</v>
      </c>
      <c r="NTY1" s="9" t="s">
        <v>12086</v>
      </c>
      <c r="NTZ1" s="9" t="s">
        <v>12087</v>
      </c>
      <c r="NUA1" s="9" t="s">
        <v>12088</v>
      </c>
      <c r="NUB1" s="9" t="s">
        <v>12089</v>
      </c>
      <c r="NUC1" s="9" t="s">
        <v>12090</v>
      </c>
      <c r="NUD1" s="9" t="s">
        <v>12091</v>
      </c>
      <c r="NUE1" s="9" t="s">
        <v>12092</v>
      </c>
      <c r="NUF1" s="9" t="s">
        <v>12093</v>
      </c>
      <c r="NUG1" s="9" t="s">
        <v>12094</v>
      </c>
      <c r="NUH1" s="9" t="s">
        <v>12095</v>
      </c>
      <c r="NUI1" s="9" t="s">
        <v>12096</v>
      </c>
      <c r="NUJ1" s="9" t="s">
        <v>12097</v>
      </c>
      <c r="NUK1" s="9" t="s">
        <v>12098</v>
      </c>
      <c r="NUL1" s="9" t="s">
        <v>12099</v>
      </c>
      <c r="NUM1" s="9" t="s">
        <v>12100</v>
      </c>
      <c r="NUN1" s="9" t="s">
        <v>12101</v>
      </c>
      <c r="NUO1" s="9" t="s">
        <v>12102</v>
      </c>
      <c r="NUP1" s="9" t="s">
        <v>12103</v>
      </c>
      <c r="NUQ1" s="9" t="s">
        <v>12104</v>
      </c>
      <c r="NUR1" s="9" t="s">
        <v>12105</v>
      </c>
      <c r="NUS1" s="9" t="s">
        <v>12106</v>
      </c>
      <c r="NUT1" s="9" t="s">
        <v>12107</v>
      </c>
      <c r="NUU1" s="9" t="s">
        <v>12108</v>
      </c>
      <c r="NUV1" s="9" t="s">
        <v>12109</v>
      </c>
      <c r="NUW1" s="9" t="s">
        <v>12110</v>
      </c>
      <c r="NUX1" s="9" t="s">
        <v>12111</v>
      </c>
      <c r="NUY1" s="9" t="s">
        <v>12112</v>
      </c>
      <c r="NUZ1" s="9" t="s">
        <v>12113</v>
      </c>
      <c r="NVA1" s="9" t="s">
        <v>12114</v>
      </c>
      <c r="NVB1" s="9" t="s">
        <v>12115</v>
      </c>
      <c r="NVC1" s="9" t="s">
        <v>12116</v>
      </c>
      <c r="NVD1" s="9" t="s">
        <v>12117</v>
      </c>
      <c r="NVE1" s="9" t="s">
        <v>12118</v>
      </c>
      <c r="NVF1" s="9" t="s">
        <v>12119</v>
      </c>
      <c r="NVG1" s="9" t="s">
        <v>12120</v>
      </c>
      <c r="NVH1" s="9" t="s">
        <v>12121</v>
      </c>
      <c r="NVI1" s="9" t="s">
        <v>12122</v>
      </c>
      <c r="NVJ1" s="9" t="s">
        <v>12123</v>
      </c>
      <c r="NVK1" s="9" t="s">
        <v>12124</v>
      </c>
      <c r="NVL1" s="9" t="s">
        <v>12125</v>
      </c>
      <c r="NVM1" s="9" t="s">
        <v>12126</v>
      </c>
      <c r="NVN1" s="9" t="s">
        <v>12127</v>
      </c>
      <c r="NVO1" s="9" t="s">
        <v>12128</v>
      </c>
      <c r="NVP1" s="9" t="s">
        <v>12129</v>
      </c>
      <c r="NVQ1" s="9" t="s">
        <v>12130</v>
      </c>
      <c r="NVR1" s="9" t="s">
        <v>12131</v>
      </c>
      <c r="NVS1" s="9" t="s">
        <v>12132</v>
      </c>
      <c r="NVT1" s="9" t="s">
        <v>12133</v>
      </c>
      <c r="NVU1" s="9" t="s">
        <v>12134</v>
      </c>
      <c r="NVV1" s="9" t="s">
        <v>12135</v>
      </c>
      <c r="NVW1" s="9" t="s">
        <v>12136</v>
      </c>
      <c r="NVX1" s="9" t="s">
        <v>12137</v>
      </c>
      <c r="NVY1" s="9" t="s">
        <v>12138</v>
      </c>
      <c r="NVZ1" s="9" t="s">
        <v>12139</v>
      </c>
      <c r="NWA1" s="9" t="s">
        <v>12140</v>
      </c>
      <c r="NWB1" s="9" t="s">
        <v>12141</v>
      </c>
      <c r="NWC1" s="9" t="s">
        <v>12142</v>
      </c>
      <c r="NWD1" s="9" t="s">
        <v>12143</v>
      </c>
      <c r="NWE1" s="9" t="s">
        <v>12144</v>
      </c>
      <c r="NWF1" s="9" t="s">
        <v>12145</v>
      </c>
      <c r="NWG1" s="9" t="s">
        <v>12146</v>
      </c>
      <c r="NWH1" s="9" t="s">
        <v>12147</v>
      </c>
      <c r="NWI1" s="9" t="s">
        <v>12148</v>
      </c>
      <c r="NWJ1" s="9" t="s">
        <v>12149</v>
      </c>
      <c r="NWK1" s="9" t="s">
        <v>12150</v>
      </c>
      <c r="NWL1" s="9" t="s">
        <v>12151</v>
      </c>
      <c r="NWM1" s="9" t="s">
        <v>12152</v>
      </c>
      <c r="NWN1" s="9" t="s">
        <v>12153</v>
      </c>
      <c r="NWO1" s="9" t="s">
        <v>12154</v>
      </c>
      <c r="NWP1" s="9" t="s">
        <v>12155</v>
      </c>
      <c r="NWQ1" s="9" t="s">
        <v>12156</v>
      </c>
      <c r="NWR1" s="9" t="s">
        <v>12157</v>
      </c>
      <c r="NWS1" s="9" t="s">
        <v>12158</v>
      </c>
      <c r="NWT1" s="9" t="s">
        <v>12159</v>
      </c>
      <c r="NWU1" s="9" t="s">
        <v>12160</v>
      </c>
      <c r="NWV1" s="9" t="s">
        <v>12161</v>
      </c>
      <c r="NWW1" s="9" t="s">
        <v>12162</v>
      </c>
      <c r="NWX1" s="9" t="s">
        <v>12163</v>
      </c>
      <c r="NWY1" s="9" t="s">
        <v>12164</v>
      </c>
      <c r="NWZ1" s="9" t="s">
        <v>12165</v>
      </c>
      <c r="NXA1" s="9" t="s">
        <v>12166</v>
      </c>
      <c r="NXB1" s="9" t="s">
        <v>12167</v>
      </c>
      <c r="NXC1" s="9" t="s">
        <v>12168</v>
      </c>
      <c r="NXD1" s="9" t="s">
        <v>12169</v>
      </c>
      <c r="NXE1" s="9" t="s">
        <v>12170</v>
      </c>
      <c r="NXF1" s="9" t="s">
        <v>12171</v>
      </c>
      <c r="NXG1" s="9" t="s">
        <v>12172</v>
      </c>
      <c r="NXH1" s="9" t="s">
        <v>12173</v>
      </c>
      <c r="NXI1" s="9" t="s">
        <v>12174</v>
      </c>
      <c r="NXJ1" s="9" t="s">
        <v>12175</v>
      </c>
      <c r="NXK1" s="9" t="s">
        <v>12176</v>
      </c>
      <c r="NXL1" s="9" t="s">
        <v>12177</v>
      </c>
      <c r="NXM1" s="9" t="s">
        <v>12178</v>
      </c>
      <c r="NXN1" s="9" t="s">
        <v>12179</v>
      </c>
      <c r="NXO1" s="9" t="s">
        <v>12180</v>
      </c>
      <c r="NXP1" s="9" t="s">
        <v>12181</v>
      </c>
      <c r="NXQ1" s="9" t="s">
        <v>12182</v>
      </c>
      <c r="NXR1" s="9" t="s">
        <v>12183</v>
      </c>
      <c r="NXS1" s="9" t="s">
        <v>12184</v>
      </c>
      <c r="NXT1" s="9" t="s">
        <v>12185</v>
      </c>
      <c r="NXU1" s="9" t="s">
        <v>12186</v>
      </c>
      <c r="NXV1" s="9" t="s">
        <v>12187</v>
      </c>
      <c r="NXW1" s="9" t="s">
        <v>12188</v>
      </c>
      <c r="NXX1" s="9" t="s">
        <v>12189</v>
      </c>
      <c r="NXY1" s="9" t="s">
        <v>12190</v>
      </c>
      <c r="NXZ1" s="9" t="s">
        <v>12191</v>
      </c>
      <c r="NYA1" s="9" t="s">
        <v>12192</v>
      </c>
      <c r="NYB1" s="9" t="s">
        <v>12193</v>
      </c>
      <c r="NYC1" s="9" t="s">
        <v>12194</v>
      </c>
      <c r="NYD1" s="9" t="s">
        <v>12195</v>
      </c>
      <c r="NYE1" s="9" t="s">
        <v>12196</v>
      </c>
      <c r="NYF1" s="9" t="s">
        <v>12197</v>
      </c>
      <c r="NYG1" s="9" t="s">
        <v>12198</v>
      </c>
      <c r="NYH1" s="9" t="s">
        <v>12199</v>
      </c>
      <c r="NYI1" s="9" t="s">
        <v>12200</v>
      </c>
      <c r="NYJ1" s="9" t="s">
        <v>12201</v>
      </c>
      <c r="NYK1" s="9" t="s">
        <v>12202</v>
      </c>
      <c r="NYL1" s="9" t="s">
        <v>12203</v>
      </c>
      <c r="NYM1" s="9" t="s">
        <v>12204</v>
      </c>
      <c r="NYN1" s="9" t="s">
        <v>12205</v>
      </c>
      <c r="NYO1" s="9" t="s">
        <v>12206</v>
      </c>
      <c r="NYP1" s="9" t="s">
        <v>12207</v>
      </c>
      <c r="NYQ1" s="9" t="s">
        <v>12208</v>
      </c>
      <c r="NYR1" s="9" t="s">
        <v>12209</v>
      </c>
      <c r="NYS1" s="9" t="s">
        <v>12210</v>
      </c>
      <c r="NYT1" s="9" t="s">
        <v>12211</v>
      </c>
      <c r="NYU1" s="9" t="s">
        <v>12212</v>
      </c>
      <c r="NYV1" s="9" t="s">
        <v>12213</v>
      </c>
      <c r="NYW1" s="9" t="s">
        <v>12214</v>
      </c>
      <c r="NYX1" s="9" t="s">
        <v>12215</v>
      </c>
      <c r="NYY1" s="9" t="s">
        <v>12216</v>
      </c>
      <c r="NYZ1" s="9" t="s">
        <v>12217</v>
      </c>
      <c r="NZA1" s="9" t="s">
        <v>12218</v>
      </c>
      <c r="NZB1" s="9" t="s">
        <v>12219</v>
      </c>
      <c r="NZC1" s="9" t="s">
        <v>12220</v>
      </c>
      <c r="NZD1" s="9" t="s">
        <v>12221</v>
      </c>
      <c r="NZE1" s="9" t="s">
        <v>12222</v>
      </c>
      <c r="NZF1" s="9" t="s">
        <v>12223</v>
      </c>
      <c r="NZG1" s="9" t="s">
        <v>12224</v>
      </c>
      <c r="NZH1" s="9" t="s">
        <v>12225</v>
      </c>
      <c r="NZI1" s="9" t="s">
        <v>12226</v>
      </c>
      <c r="NZJ1" s="9" t="s">
        <v>12227</v>
      </c>
      <c r="NZK1" s="9" t="s">
        <v>12228</v>
      </c>
      <c r="NZL1" s="9" t="s">
        <v>12229</v>
      </c>
      <c r="NZM1" s="9" t="s">
        <v>12230</v>
      </c>
      <c r="NZN1" s="9" t="s">
        <v>12231</v>
      </c>
      <c r="NZO1" s="9" t="s">
        <v>12232</v>
      </c>
      <c r="NZP1" s="9" t="s">
        <v>12233</v>
      </c>
      <c r="NZQ1" s="9" t="s">
        <v>12234</v>
      </c>
      <c r="NZR1" s="9" t="s">
        <v>12235</v>
      </c>
      <c r="NZS1" s="9" t="s">
        <v>12236</v>
      </c>
      <c r="NZT1" s="9" t="s">
        <v>12237</v>
      </c>
      <c r="NZU1" s="9" t="s">
        <v>12238</v>
      </c>
      <c r="NZV1" s="9" t="s">
        <v>12239</v>
      </c>
      <c r="NZW1" s="9" t="s">
        <v>12240</v>
      </c>
      <c r="NZX1" s="9" t="s">
        <v>12241</v>
      </c>
      <c r="NZY1" s="9" t="s">
        <v>12242</v>
      </c>
      <c r="NZZ1" s="9" t="s">
        <v>12243</v>
      </c>
      <c r="OAA1" s="9" t="s">
        <v>12244</v>
      </c>
      <c r="OAB1" s="9" t="s">
        <v>12245</v>
      </c>
      <c r="OAC1" s="9" t="s">
        <v>12246</v>
      </c>
      <c r="OAD1" s="9" t="s">
        <v>12247</v>
      </c>
      <c r="OAE1" s="9" t="s">
        <v>12248</v>
      </c>
      <c r="OAF1" s="9" t="s">
        <v>12249</v>
      </c>
      <c r="OAG1" s="9" t="s">
        <v>12250</v>
      </c>
      <c r="OAH1" s="9" t="s">
        <v>12251</v>
      </c>
      <c r="OAI1" s="9" t="s">
        <v>12252</v>
      </c>
      <c r="OAJ1" s="9" t="s">
        <v>12253</v>
      </c>
      <c r="OAK1" s="9" t="s">
        <v>12254</v>
      </c>
      <c r="OAL1" s="9" t="s">
        <v>12255</v>
      </c>
      <c r="OAM1" s="9" t="s">
        <v>12256</v>
      </c>
      <c r="OAN1" s="9" t="s">
        <v>12257</v>
      </c>
      <c r="OAO1" s="9" t="s">
        <v>12258</v>
      </c>
      <c r="OAP1" s="9" t="s">
        <v>12259</v>
      </c>
      <c r="OAQ1" s="9" t="s">
        <v>12260</v>
      </c>
      <c r="OAR1" s="9" t="s">
        <v>12261</v>
      </c>
      <c r="OAS1" s="9" t="s">
        <v>12262</v>
      </c>
      <c r="OAT1" s="9" t="s">
        <v>12263</v>
      </c>
      <c r="OAU1" s="9" t="s">
        <v>12264</v>
      </c>
      <c r="OAV1" s="9" t="s">
        <v>12265</v>
      </c>
      <c r="OAW1" s="9" t="s">
        <v>12266</v>
      </c>
      <c r="OAX1" s="9" t="s">
        <v>12267</v>
      </c>
      <c r="OAY1" s="9" t="s">
        <v>12268</v>
      </c>
      <c r="OAZ1" s="9" t="s">
        <v>12269</v>
      </c>
      <c r="OBA1" s="9" t="s">
        <v>12270</v>
      </c>
      <c r="OBB1" s="9" t="s">
        <v>12271</v>
      </c>
      <c r="OBC1" s="9" t="s">
        <v>12272</v>
      </c>
      <c r="OBD1" s="9" t="s">
        <v>12273</v>
      </c>
      <c r="OBE1" s="9" t="s">
        <v>12274</v>
      </c>
      <c r="OBF1" s="9" t="s">
        <v>12275</v>
      </c>
      <c r="OBG1" s="9" t="s">
        <v>12276</v>
      </c>
      <c r="OBH1" s="9" t="s">
        <v>12277</v>
      </c>
      <c r="OBI1" s="9" t="s">
        <v>12278</v>
      </c>
      <c r="OBJ1" s="9" t="s">
        <v>12279</v>
      </c>
      <c r="OBK1" s="9" t="s">
        <v>12280</v>
      </c>
      <c r="OBL1" s="9" t="s">
        <v>12281</v>
      </c>
      <c r="OBM1" s="9" t="s">
        <v>12282</v>
      </c>
      <c r="OBN1" s="9" t="s">
        <v>12283</v>
      </c>
      <c r="OBO1" s="9" t="s">
        <v>12284</v>
      </c>
      <c r="OBP1" s="9" t="s">
        <v>12285</v>
      </c>
      <c r="OBQ1" s="9" t="s">
        <v>12286</v>
      </c>
      <c r="OBR1" s="9" t="s">
        <v>12287</v>
      </c>
      <c r="OBS1" s="9" t="s">
        <v>12288</v>
      </c>
      <c r="OBT1" s="9" t="s">
        <v>12289</v>
      </c>
      <c r="OBU1" s="9" t="s">
        <v>12290</v>
      </c>
      <c r="OBV1" s="9" t="s">
        <v>12291</v>
      </c>
      <c r="OBW1" s="9" t="s">
        <v>12292</v>
      </c>
      <c r="OBX1" s="9" t="s">
        <v>12293</v>
      </c>
      <c r="OBY1" s="9" t="s">
        <v>12294</v>
      </c>
      <c r="OBZ1" s="9" t="s">
        <v>12295</v>
      </c>
      <c r="OCA1" s="9" t="s">
        <v>12296</v>
      </c>
      <c r="OCB1" s="9" t="s">
        <v>12297</v>
      </c>
      <c r="OCC1" s="9" t="s">
        <v>12298</v>
      </c>
      <c r="OCD1" s="9" t="s">
        <v>12299</v>
      </c>
      <c r="OCE1" s="9" t="s">
        <v>12300</v>
      </c>
      <c r="OCF1" s="9" t="s">
        <v>12301</v>
      </c>
      <c r="OCG1" s="9" t="s">
        <v>12302</v>
      </c>
      <c r="OCH1" s="9" t="s">
        <v>12303</v>
      </c>
      <c r="OCI1" s="9" t="s">
        <v>12304</v>
      </c>
      <c r="OCJ1" s="9" t="s">
        <v>12305</v>
      </c>
      <c r="OCK1" s="9" t="s">
        <v>12306</v>
      </c>
      <c r="OCL1" s="9" t="s">
        <v>12307</v>
      </c>
      <c r="OCM1" s="9" t="s">
        <v>12308</v>
      </c>
      <c r="OCN1" s="9" t="s">
        <v>12309</v>
      </c>
      <c r="OCO1" s="9" t="s">
        <v>12310</v>
      </c>
      <c r="OCP1" s="9" t="s">
        <v>12311</v>
      </c>
      <c r="OCQ1" s="9" t="s">
        <v>12312</v>
      </c>
      <c r="OCR1" s="9" t="s">
        <v>12313</v>
      </c>
      <c r="OCS1" s="9" t="s">
        <v>12314</v>
      </c>
      <c r="OCT1" s="9" t="s">
        <v>12315</v>
      </c>
      <c r="OCU1" s="9" t="s">
        <v>12316</v>
      </c>
      <c r="OCV1" s="9" t="s">
        <v>12317</v>
      </c>
      <c r="OCW1" s="9" t="s">
        <v>12318</v>
      </c>
      <c r="OCX1" s="9" t="s">
        <v>12319</v>
      </c>
      <c r="OCY1" s="9" t="s">
        <v>12320</v>
      </c>
      <c r="OCZ1" s="9" t="s">
        <v>12321</v>
      </c>
      <c r="ODA1" s="9" t="s">
        <v>12322</v>
      </c>
      <c r="ODB1" s="9" t="s">
        <v>12323</v>
      </c>
      <c r="ODC1" s="9" t="s">
        <v>12324</v>
      </c>
      <c r="ODD1" s="9" t="s">
        <v>12325</v>
      </c>
      <c r="ODE1" s="9" t="s">
        <v>12326</v>
      </c>
      <c r="ODF1" s="9" t="s">
        <v>12327</v>
      </c>
      <c r="ODG1" s="9" t="s">
        <v>12328</v>
      </c>
      <c r="ODH1" s="9" t="s">
        <v>12329</v>
      </c>
      <c r="ODI1" s="9" t="s">
        <v>12330</v>
      </c>
      <c r="ODJ1" s="9" t="s">
        <v>12331</v>
      </c>
      <c r="ODK1" s="9" t="s">
        <v>12332</v>
      </c>
      <c r="ODL1" s="9" t="s">
        <v>12333</v>
      </c>
      <c r="ODM1" s="9" t="s">
        <v>12334</v>
      </c>
      <c r="ODN1" s="9" t="s">
        <v>12335</v>
      </c>
      <c r="ODO1" s="9" t="s">
        <v>12336</v>
      </c>
      <c r="ODP1" s="9" t="s">
        <v>12337</v>
      </c>
      <c r="ODQ1" s="9" t="s">
        <v>12338</v>
      </c>
      <c r="ODR1" s="9" t="s">
        <v>12339</v>
      </c>
      <c r="ODS1" s="9" t="s">
        <v>12340</v>
      </c>
      <c r="ODT1" s="9" t="s">
        <v>12341</v>
      </c>
      <c r="ODU1" s="9" t="s">
        <v>12342</v>
      </c>
      <c r="ODV1" s="9" t="s">
        <v>12343</v>
      </c>
      <c r="ODW1" s="9" t="s">
        <v>12344</v>
      </c>
      <c r="ODX1" s="9" t="s">
        <v>12345</v>
      </c>
      <c r="ODY1" s="9" t="s">
        <v>12346</v>
      </c>
      <c r="ODZ1" s="9" t="s">
        <v>12347</v>
      </c>
      <c r="OEA1" s="9" t="s">
        <v>12348</v>
      </c>
      <c r="OEB1" s="9" t="s">
        <v>12349</v>
      </c>
      <c r="OEC1" s="9" t="s">
        <v>12350</v>
      </c>
      <c r="OED1" s="9" t="s">
        <v>12351</v>
      </c>
      <c r="OEE1" s="9" t="s">
        <v>12352</v>
      </c>
      <c r="OEF1" s="9" t="s">
        <v>12353</v>
      </c>
      <c r="OEG1" s="9" t="s">
        <v>12354</v>
      </c>
      <c r="OEH1" s="9" t="s">
        <v>12355</v>
      </c>
      <c r="OEI1" s="9" t="s">
        <v>12356</v>
      </c>
      <c r="OEJ1" s="9" t="s">
        <v>12357</v>
      </c>
      <c r="OEK1" s="9" t="s">
        <v>12358</v>
      </c>
      <c r="OEL1" s="9" t="s">
        <v>12359</v>
      </c>
      <c r="OEM1" s="9" t="s">
        <v>12360</v>
      </c>
      <c r="OEN1" s="9" t="s">
        <v>12361</v>
      </c>
      <c r="OEO1" s="9" t="s">
        <v>12362</v>
      </c>
      <c r="OEP1" s="9" t="s">
        <v>12363</v>
      </c>
      <c r="OEQ1" s="9" t="s">
        <v>12364</v>
      </c>
      <c r="OER1" s="9" t="s">
        <v>12365</v>
      </c>
      <c r="OES1" s="9" t="s">
        <v>12366</v>
      </c>
      <c r="OET1" s="9" t="s">
        <v>12367</v>
      </c>
      <c r="OEU1" s="9" t="s">
        <v>12368</v>
      </c>
      <c r="OEV1" s="9" t="s">
        <v>12369</v>
      </c>
      <c r="OEW1" s="9" t="s">
        <v>12370</v>
      </c>
      <c r="OEX1" s="9" t="s">
        <v>12371</v>
      </c>
      <c r="OEY1" s="9" t="s">
        <v>12372</v>
      </c>
      <c r="OEZ1" s="9" t="s">
        <v>12373</v>
      </c>
      <c r="OFA1" s="9" t="s">
        <v>12374</v>
      </c>
      <c r="OFB1" s="9" t="s">
        <v>12375</v>
      </c>
      <c r="OFC1" s="9" t="s">
        <v>12376</v>
      </c>
      <c r="OFD1" s="9" t="s">
        <v>12377</v>
      </c>
      <c r="OFE1" s="9" t="s">
        <v>12378</v>
      </c>
      <c r="OFF1" s="9" t="s">
        <v>12379</v>
      </c>
      <c r="OFG1" s="9" t="s">
        <v>12380</v>
      </c>
      <c r="OFH1" s="9" t="s">
        <v>12381</v>
      </c>
      <c r="OFI1" s="9" t="s">
        <v>12382</v>
      </c>
      <c r="OFJ1" s="9" t="s">
        <v>12383</v>
      </c>
      <c r="OFK1" s="9" t="s">
        <v>12384</v>
      </c>
      <c r="OFL1" s="9" t="s">
        <v>12385</v>
      </c>
      <c r="OFM1" s="9" t="s">
        <v>12386</v>
      </c>
      <c r="OFN1" s="9" t="s">
        <v>12387</v>
      </c>
      <c r="OFO1" s="9" t="s">
        <v>12388</v>
      </c>
      <c r="OFP1" s="9" t="s">
        <v>12389</v>
      </c>
      <c r="OFQ1" s="9" t="s">
        <v>12390</v>
      </c>
      <c r="OFR1" s="9" t="s">
        <v>12391</v>
      </c>
      <c r="OFS1" s="9" t="s">
        <v>12392</v>
      </c>
      <c r="OFT1" s="9" t="s">
        <v>12393</v>
      </c>
      <c r="OFU1" s="9" t="s">
        <v>12394</v>
      </c>
      <c r="OFV1" s="9" t="s">
        <v>12395</v>
      </c>
      <c r="OFW1" s="9" t="s">
        <v>12396</v>
      </c>
      <c r="OFX1" s="9" t="s">
        <v>12397</v>
      </c>
      <c r="OFY1" s="9" t="s">
        <v>12398</v>
      </c>
      <c r="OFZ1" s="9" t="s">
        <v>12399</v>
      </c>
      <c r="OGA1" s="9" t="s">
        <v>12400</v>
      </c>
      <c r="OGB1" s="9" t="s">
        <v>12401</v>
      </c>
      <c r="OGC1" s="9" t="s">
        <v>12402</v>
      </c>
      <c r="OGD1" s="9" t="s">
        <v>12403</v>
      </c>
      <c r="OGE1" s="9" t="s">
        <v>12404</v>
      </c>
      <c r="OGF1" s="9" t="s">
        <v>12405</v>
      </c>
      <c r="OGG1" s="9" t="s">
        <v>12406</v>
      </c>
      <c r="OGH1" s="9" t="s">
        <v>12407</v>
      </c>
      <c r="OGI1" s="9" t="s">
        <v>12408</v>
      </c>
      <c r="OGJ1" s="9" t="s">
        <v>12409</v>
      </c>
      <c r="OGK1" s="9" t="s">
        <v>12410</v>
      </c>
      <c r="OGL1" s="9" t="s">
        <v>12411</v>
      </c>
      <c r="OGM1" s="9" t="s">
        <v>12412</v>
      </c>
      <c r="OGN1" s="9" t="s">
        <v>12413</v>
      </c>
      <c r="OGO1" s="9" t="s">
        <v>12414</v>
      </c>
      <c r="OGP1" s="9" t="s">
        <v>12415</v>
      </c>
      <c r="OGQ1" s="9" t="s">
        <v>12416</v>
      </c>
      <c r="OGR1" s="9" t="s">
        <v>12417</v>
      </c>
      <c r="OGS1" s="9" t="s">
        <v>12418</v>
      </c>
      <c r="OGT1" s="9" t="s">
        <v>12419</v>
      </c>
      <c r="OGU1" s="9" t="s">
        <v>12420</v>
      </c>
      <c r="OGV1" s="9" t="s">
        <v>12421</v>
      </c>
      <c r="OGW1" s="9" t="s">
        <v>12422</v>
      </c>
      <c r="OGX1" s="9" t="s">
        <v>12423</v>
      </c>
      <c r="OGY1" s="9" t="s">
        <v>12424</v>
      </c>
      <c r="OGZ1" s="9" t="s">
        <v>12425</v>
      </c>
      <c r="OHA1" s="9" t="s">
        <v>12426</v>
      </c>
      <c r="OHB1" s="9" t="s">
        <v>12427</v>
      </c>
      <c r="OHC1" s="9" t="s">
        <v>12428</v>
      </c>
      <c r="OHD1" s="9" t="s">
        <v>12429</v>
      </c>
      <c r="OHE1" s="9" t="s">
        <v>12430</v>
      </c>
      <c r="OHF1" s="9" t="s">
        <v>12431</v>
      </c>
      <c r="OHG1" s="9" t="s">
        <v>12432</v>
      </c>
      <c r="OHH1" s="9" t="s">
        <v>12433</v>
      </c>
      <c r="OHI1" s="9" t="s">
        <v>12434</v>
      </c>
      <c r="OHJ1" s="9" t="s">
        <v>12435</v>
      </c>
      <c r="OHK1" s="9" t="s">
        <v>12436</v>
      </c>
      <c r="OHL1" s="9" t="s">
        <v>12437</v>
      </c>
      <c r="OHM1" s="9" t="s">
        <v>12438</v>
      </c>
      <c r="OHN1" s="9" t="s">
        <v>12439</v>
      </c>
      <c r="OHO1" s="9" t="s">
        <v>12440</v>
      </c>
      <c r="OHP1" s="9" t="s">
        <v>12441</v>
      </c>
      <c r="OHQ1" s="9" t="s">
        <v>12442</v>
      </c>
      <c r="OHR1" s="9" t="s">
        <v>12443</v>
      </c>
      <c r="OHS1" s="9" t="s">
        <v>12444</v>
      </c>
      <c r="OHT1" s="9" t="s">
        <v>12445</v>
      </c>
      <c r="OHU1" s="9" t="s">
        <v>12446</v>
      </c>
      <c r="OHV1" s="9" t="s">
        <v>12447</v>
      </c>
      <c r="OHW1" s="9" t="s">
        <v>12448</v>
      </c>
      <c r="OHX1" s="9" t="s">
        <v>12449</v>
      </c>
      <c r="OHY1" s="9" t="s">
        <v>12450</v>
      </c>
      <c r="OHZ1" s="9" t="s">
        <v>12451</v>
      </c>
      <c r="OIA1" s="9" t="s">
        <v>12452</v>
      </c>
      <c r="OIB1" s="9" t="s">
        <v>12453</v>
      </c>
      <c r="OIC1" s="9" t="s">
        <v>12454</v>
      </c>
      <c r="OID1" s="9" t="s">
        <v>12455</v>
      </c>
      <c r="OIE1" s="9" t="s">
        <v>12456</v>
      </c>
      <c r="OIF1" s="9" t="s">
        <v>12457</v>
      </c>
      <c r="OIG1" s="9" t="s">
        <v>12458</v>
      </c>
      <c r="OIH1" s="9" t="s">
        <v>12459</v>
      </c>
      <c r="OII1" s="9" t="s">
        <v>12460</v>
      </c>
      <c r="OIJ1" s="9" t="s">
        <v>12461</v>
      </c>
      <c r="OIK1" s="9" t="s">
        <v>12462</v>
      </c>
      <c r="OIL1" s="9" t="s">
        <v>12463</v>
      </c>
      <c r="OIM1" s="9" t="s">
        <v>12464</v>
      </c>
      <c r="OIN1" s="9" t="s">
        <v>12465</v>
      </c>
      <c r="OIO1" s="9" t="s">
        <v>12466</v>
      </c>
      <c r="OIP1" s="9" t="s">
        <v>12467</v>
      </c>
      <c r="OIQ1" s="9" t="s">
        <v>12468</v>
      </c>
      <c r="OIR1" s="9" t="s">
        <v>12469</v>
      </c>
      <c r="OIS1" s="9" t="s">
        <v>12470</v>
      </c>
      <c r="OIT1" s="9" t="s">
        <v>12471</v>
      </c>
      <c r="OIU1" s="9" t="s">
        <v>12472</v>
      </c>
      <c r="OIV1" s="9" t="s">
        <v>12473</v>
      </c>
      <c r="OIW1" s="9" t="s">
        <v>12474</v>
      </c>
      <c r="OIX1" s="9" t="s">
        <v>12475</v>
      </c>
      <c r="OIY1" s="9" t="s">
        <v>12476</v>
      </c>
      <c r="OIZ1" s="9" t="s">
        <v>12477</v>
      </c>
      <c r="OJA1" s="9" t="s">
        <v>12478</v>
      </c>
      <c r="OJB1" s="9" t="s">
        <v>12479</v>
      </c>
      <c r="OJC1" s="9" t="s">
        <v>12480</v>
      </c>
      <c r="OJD1" s="9" t="s">
        <v>12481</v>
      </c>
      <c r="OJE1" s="9" t="s">
        <v>12482</v>
      </c>
      <c r="OJF1" s="9" t="s">
        <v>12483</v>
      </c>
      <c r="OJG1" s="9" t="s">
        <v>12484</v>
      </c>
      <c r="OJH1" s="9" t="s">
        <v>12485</v>
      </c>
      <c r="OJI1" s="9" t="s">
        <v>12486</v>
      </c>
      <c r="OJJ1" s="9" t="s">
        <v>12487</v>
      </c>
      <c r="OJK1" s="9" t="s">
        <v>12488</v>
      </c>
      <c r="OJL1" s="9" t="s">
        <v>12489</v>
      </c>
      <c r="OJM1" s="9" t="s">
        <v>12490</v>
      </c>
      <c r="OJN1" s="9" t="s">
        <v>12491</v>
      </c>
      <c r="OJO1" s="9" t="s">
        <v>12492</v>
      </c>
      <c r="OJP1" s="9" t="s">
        <v>12493</v>
      </c>
      <c r="OJQ1" s="9" t="s">
        <v>12494</v>
      </c>
      <c r="OJR1" s="9" t="s">
        <v>12495</v>
      </c>
      <c r="OJS1" s="9" t="s">
        <v>12496</v>
      </c>
      <c r="OJT1" s="9" t="s">
        <v>12497</v>
      </c>
      <c r="OJU1" s="9" t="s">
        <v>12498</v>
      </c>
      <c r="OJV1" s="9" t="s">
        <v>12499</v>
      </c>
      <c r="OJW1" s="9" t="s">
        <v>12500</v>
      </c>
      <c r="OJX1" s="9" t="s">
        <v>12501</v>
      </c>
      <c r="OJY1" s="9" t="s">
        <v>12502</v>
      </c>
      <c r="OJZ1" s="9" t="s">
        <v>12503</v>
      </c>
      <c r="OKA1" s="9" t="s">
        <v>12504</v>
      </c>
      <c r="OKB1" s="9" t="s">
        <v>12505</v>
      </c>
      <c r="OKC1" s="9" t="s">
        <v>12506</v>
      </c>
      <c r="OKD1" s="9" t="s">
        <v>12507</v>
      </c>
      <c r="OKE1" s="9" t="s">
        <v>12508</v>
      </c>
      <c r="OKF1" s="9" t="s">
        <v>12509</v>
      </c>
      <c r="OKG1" s="9" t="s">
        <v>12510</v>
      </c>
      <c r="OKH1" s="9" t="s">
        <v>12511</v>
      </c>
      <c r="OKI1" s="9" t="s">
        <v>12512</v>
      </c>
      <c r="OKJ1" s="9" t="s">
        <v>12513</v>
      </c>
      <c r="OKK1" s="9" t="s">
        <v>12514</v>
      </c>
      <c r="OKL1" s="9" t="s">
        <v>12515</v>
      </c>
      <c r="OKM1" s="9" t="s">
        <v>12516</v>
      </c>
      <c r="OKN1" s="9" t="s">
        <v>12517</v>
      </c>
      <c r="OKO1" s="9" t="s">
        <v>12518</v>
      </c>
      <c r="OKP1" s="9" t="s">
        <v>12519</v>
      </c>
      <c r="OKQ1" s="9" t="s">
        <v>12520</v>
      </c>
      <c r="OKR1" s="9" t="s">
        <v>12521</v>
      </c>
      <c r="OKS1" s="9" t="s">
        <v>12522</v>
      </c>
      <c r="OKT1" s="9" t="s">
        <v>12523</v>
      </c>
      <c r="OKU1" s="9" t="s">
        <v>12524</v>
      </c>
      <c r="OKV1" s="9" t="s">
        <v>12525</v>
      </c>
      <c r="OKW1" s="9" t="s">
        <v>12526</v>
      </c>
      <c r="OKX1" s="9" t="s">
        <v>12527</v>
      </c>
      <c r="OKY1" s="9" t="s">
        <v>12528</v>
      </c>
      <c r="OKZ1" s="9" t="s">
        <v>12529</v>
      </c>
      <c r="OLA1" s="9" t="s">
        <v>12530</v>
      </c>
      <c r="OLB1" s="9" t="s">
        <v>12531</v>
      </c>
      <c r="OLC1" s="9" t="s">
        <v>12532</v>
      </c>
      <c r="OLD1" s="9" t="s">
        <v>12533</v>
      </c>
      <c r="OLE1" s="9" t="s">
        <v>12534</v>
      </c>
      <c r="OLF1" s="9" t="s">
        <v>12535</v>
      </c>
      <c r="OLG1" s="9" t="s">
        <v>12536</v>
      </c>
      <c r="OLH1" s="9" t="s">
        <v>12537</v>
      </c>
      <c r="OLI1" s="9" t="s">
        <v>12538</v>
      </c>
      <c r="OLJ1" s="9" t="s">
        <v>12539</v>
      </c>
      <c r="OLK1" s="9" t="s">
        <v>12540</v>
      </c>
      <c r="OLL1" s="9" t="s">
        <v>12541</v>
      </c>
      <c r="OLM1" s="9" t="s">
        <v>12542</v>
      </c>
      <c r="OLN1" s="9" t="s">
        <v>12543</v>
      </c>
      <c r="OLO1" s="9" t="s">
        <v>12544</v>
      </c>
      <c r="OLP1" s="9" t="s">
        <v>12545</v>
      </c>
      <c r="OLQ1" s="9" t="s">
        <v>12546</v>
      </c>
      <c r="OLR1" s="9" t="s">
        <v>12547</v>
      </c>
      <c r="OLS1" s="9" t="s">
        <v>12548</v>
      </c>
      <c r="OLT1" s="9" t="s">
        <v>12549</v>
      </c>
      <c r="OLU1" s="9" t="s">
        <v>12550</v>
      </c>
      <c r="OLV1" s="9" t="s">
        <v>12551</v>
      </c>
      <c r="OLW1" s="9" t="s">
        <v>12552</v>
      </c>
      <c r="OLX1" s="9" t="s">
        <v>12553</v>
      </c>
      <c r="OLY1" s="9" t="s">
        <v>12554</v>
      </c>
      <c r="OLZ1" s="9" t="s">
        <v>12555</v>
      </c>
      <c r="OMA1" s="9" t="s">
        <v>12556</v>
      </c>
      <c r="OMB1" s="9" t="s">
        <v>12557</v>
      </c>
      <c r="OMC1" s="9" t="s">
        <v>12558</v>
      </c>
      <c r="OMD1" s="9" t="s">
        <v>12559</v>
      </c>
      <c r="OME1" s="9" t="s">
        <v>12560</v>
      </c>
      <c r="OMF1" s="9" t="s">
        <v>12561</v>
      </c>
      <c r="OMG1" s="9" t="s">
        <v>12562</v>
      </c>
      <c r="OMH1" s="9" t="s">
        <v>12563</v>
      </c>
      <c r="OMI1" s="9" t="s">
        <v>12564</v>
      </c>
      <c r="OMJ1" s="9" t="s">
        <v>12565</v>
      </c>
      <c r="OMK1" s="9" t="s">
        <v>12566</v>
      </c>
      <c r="OML1" s="9" t="s">
        <v>12567</v>
      </c>
      <c r="OMM1" s="9" t="s">
        <v>12568</v>
      </c>
      <c r="OMN1" s="9" t="s">
        <v>12569</v>
      </c>
      <c r="OMO1" s="9" t="s">
        <v>12570</v>
      </c>
      <c r="OMP1" s="9" t="s">
        <v>12571</v>
      </c>
      <c r="OMQ1" s="9" t="s">
        <v>12572</v>
      </c>
      <c r="OMR1" s="9" t="s">
        <v>12573</v>
      </c>
      <c r="OMS1" s="9" t="s">
        <v>12574</v>
      </c>
      <c r="OMT1" s="9" t="s">
        <v>12575</v>
      </c>
      <c r="OMU1" s="9" t="s">
        <v>12576</v>
      </c>
      <c r="OMV1" s="9" t="s">
        <v>12577</v>
      </c>
      <c r="OMW1" s="9" t="s">
        <v>12578</v>
      </c>
      <c r="OMX1" s="9" t="s">
        <v>12579</v>
      </c>
      <c r="OMY1" s="9" t="s">
        <v>12580</v>
      </c>
      <c r="OMZ1" s="9" t="s">
        <v>12581</v>
      </c>
      <c r="ONA1" s="9" t="s">
        <v>12582</v>
      </c>
      <c r="ONB1" s="9" t="s">
        <v>12583</v>
      </c>
      <c r="ONC1" s="9" t="s">
        <v>12584</v>
      </c>
      <c r="OND1" s="9" t="s">
        <v>12585</v>
      </c>
      <c r="ONE1" s="9" t="s">
        <v>12586</v>
      </c>
      <c r="ONF1" s="9" t="s">
        <v>12587</v>
      </c>
      <c r="ONG1" s="9" t="s">
        <v>12588</v>
      </c>
      <c r="ONH1" s="9" t="s">
        <v>12589</v>
      </c>
      <c r="ONI1" s="9" t="s">
        <v>12590</v>
      </c>
      <c r="ONJ1" s="9" t="s">
        <v>12591</v>
      </c>
      <c r="ONK1" s="9" t="s">
        <v>12592</v>
      </c>
      <c r="ONL1" s="9" t="s">
        <v>12593</v>
      </c>
      <c r="ONM1" s="9" t="s">
        <v>12594</v>
      </c>
      <c r="ONN1" s="9" t="s">
        <v>12595</v>
      </c>
      <c r="ONO1" s="9" t="s">
        <v>12596</v>
      </c>
      <c r="ONP1" s="9" t="s">
        <v>12597</v>
      </c>
      <c r="ONQ1" s="9" t="s">
        <v>12598</v>
      </c>
      <c r="ONR1" s="9" t="s">
        <v>12599</v>
      </c>
      <c r="ONS1" s="9" t="s">
        <v>12600</v>
      </c>
      <c r="ONT1" s="9" t="s">
        <v>12601</v>
      </c>
      <c r="ONU1" s="9" t="s">
        <v>12602</v>
      </c>
      <c r="ONV1" s="9" t="s">
        <v>12603</v>
      </c>
      <c r="ONW1" s="9" t="s">
        <v>12604</v>
      </c>
      <c r="ONX1" s="9" t="s">
        <v>12605</v>
      </c>
      <c r="ONY1" s="9" t="s">
        <v>12606</v>
      </c>
      <c r="ONZ1" s="9" t="s">
        <v>12607</v>
      </c>
      <c r="OOA1" s="9" t="s">
        <v>12608</v>
      </c>
      <c r="OOB1" s="9" t="s">
        <v>12609</v>
      </c>
      <c r="OOC1" s="9" t="s">
        <v>12610</v>
      </c>
      <c r="OOD1" s="9" t="s">
        <v>12611</v>
      </c>
      <c r="OOE1" s="9" t="s">
        <v>12612</v>
      </c>
      <c r="OOF1" s="9" t="s">
        <v>12613</v>
      </c>
      <c r="OOG1" s="9" t="s">
        <v>12614</v>
      </c>
      <c r="OOH1" s="9" t="s">
        <v>12615</v>
      </c>
      <c r="OOI1" s="9" t="s">
        <v>12616</v>
      </c>
      <c r="OOJ1" s="9" t="s">
        <v>12617</v>
      </c>
      <c r="OOK1" s="9" t="s">
        <v>12618</v>
      </c>
      <c r="OOL1" s="9" t="s">
        <v>12619</v>
      </c>
      <c r="OOM1" s="9" t="s">
        <v>12620</v>
      </c>
      <c r="OON1" s="9" t="s">
        <v>12621</v>
      </c>
      <c r="OOO1" s="9" t="s">
        <v>12622</v>
      </c>
      <c r="OOP1" s="9" t="s">
        <v>12623</v>
      </c>
      <c r="OOQ1" s="9" t="s">
        <v>12624</v>
      </c>
      <c r="OOR1" s="9" t="s">
        <v>12625</v>
      </c>
      <c r="OOS1" s="9" t="s">
        <v>12626</v>
      </c>
      <c r="OOT1" s="9" t="s">
        <v>12627</v>
      </c>
      <c r="OOU1" s="9" t="s">
        <v>12628</v>
      </c>
      <c r="OOV1" s="9" t="s">
        <v>12629</v>
      </c>
      <c r="OOW1" s="9" t="s">
        <v>12630</v>
      </c>
      <c r="OOX1" s="9" t="s">
        <v>12631</v>
      </c>
      <c r="OOY1" s="9" t="s">
        <v>12632</v>
      </c>
      <c r="OOZ1" s="9" t="s">
        <v>12633</v>
      </c>
      <c r="OPA1" s="9" t="s">
        <v>12634</v>
      </c>
      <c r="OPB1" s="9" t="s">
        <v>12635</v>
      </c>
      <c r="OPC1" s="9" t="s">
        <v>12636</v>
      </c>
      <c r="OPD1" s="9" t="s">
        <v>12637</v>
      </c>
      <c r="OPE1" s="9" t="s">
        <v>12638</v>
      </c>
      <c r="OPF1" s="9" t="s">
        <v>12639</v>
      </c>
      <c r="OPG1" s="9" t="s">
        <v>12640</v>
      </c>
      <c r="OPH1" s="9" t="s">
        <v>12641</v>
      </c>
      <c r="OPI1" s="9" t="s">
        <v>12642</v>
      </c>
      <c r="OPJ1" s="9" t="s">
        <v>12643</v>
      </c>
      <c r="OPK1" s="9" t="s">
        <v>12644</v>
      </c>
      <c r="OPL1" s="9" t="s">
        <v>12645</v>
      </c>
      <c r="OPM1" s="9" t="s">
        <v>12646</v>
      </c>
      <c r="OPN1" s="9" t="s">
        <v>12647</v>
      </c>
      <c r="OPO1" s="9" t="s">
        <v>12648</v>
      </c>
      <c r="OPP1" s="9" t="s">
        <v>12649</v>
      </c>
      <c r="OPQ1" s="9" t="s">
        <v>12650</v>
      </c>
      <c r="OPR1" s="9" t="s">
        <v>12651</v>
      </c>
      <c r="OPS1" s="9" t="s">
        <v>12652</v>
      </c>
      <c r="OPT1" s="9" t="s">
        <v>12653</v>
      </c>
      <c r="OPU1" s="9" t="s">
        <v>12654</v>
      </c>
      <c r="OPV1" s="9" t="s">
        <v>12655</v>
      </c>
      <c r="OPW1" s="9" t="s">
        <v>12656</v>
      </c>
      <c r="OPX1" s="9" t="s">
        <v>12657</v>
      </c>
      <c r="OPY1" s="9" t="s">
        <v>12658</v>
      </c>
      <c r="OPZ1" s="9" t="s">
        <v>12659</v>
      </c>
      <c r="OQA1" s="9" t="s">
        <v>12660</v>
      </c>
      <c r="OQB1" s="9" t="s">
        <v>12661</v>
      </c>
      <c r="OQC1" s="9" t="s">
        <v>12662</v>
      </c>
      <c r="OQD1" s="9" t="s">
        <v>12663</v>
      </c>
      <c r="OQE1" s="9" t="s">
        <v>12664</v>
      </c>
      <c r="OQF1" s="9" t="s">
        <v>12665</v>
      </c>
      <c r="OQG1" s="9" t="s">
        <v>12666</v>
      </c>
      <c r="OQH1" s="9" t="s">
        <v>12667</v>
      </c>
      <c r="OQI1" s="9" t="s">
        <v>12668</v>
      </c>
      <c r="OQJ1" s="9" t="s">
        <v>12669</v>
      </c>
      <c r="OQK1" s="9" t="s">
        <v>12670</v>
      </c>
      <c r="OQL1" s="9" t="s">
        <v>12671</v>
      </c>
      <c r="OQM1" s="9" t="s">
        <v>12672</v>
      </c>
      <c r="OQN1" s="9" t="s">
        <v>12673</v>
      </c>
      <c r="OQO1" s="9" t="s">
        <v>12674</v>
      </c>
      <c r="OQP1" s="9" t="s">
        <v>12675</v>
      </c>
      <c r="OQQ1" s="9" t="s">
        <v>12676</v>
      </c>
      <c r="OQR1" s="9" t="s">
        <v>12677</v>
      </c>
      <c r="OQS1" s="9" t="s">
        <v>12678</v>
      </c>
      <c r="OQT1" s="9" t="s">
        <v>12679</v>
      </c>
      <c r="OQU1" s="9" t="s">
        <v>12680</v>
      </c>
      <c r="OQV1" s="9" t="s">
        <v>12681</v>
      </c>
      <c r="OQW1" s="9" t="s">
        <v>12682</v>
      </c>
      <c r="OQX1" s="9" t="s">
        <v>12683</v>
      </c>
      <c r="OQY1" s="9" t="s">
        <v>12684</v>
      </c>
      <c r="OQZ1" s="9" t="s">
        <v>12685</v>
      </c>
      <c r="ORA1" s="9" t="s">
        <v>12686</v>
      </c>
      <c r="ORB1" s="9" t="s">
        <v>12687</v>
      </c>
      <c r="ORC1" s="9" t="s">
        <v>12688</v>
      </c>
      <c r="ORD1" s="9" t="s">
        <v>12689</v>
      </c>
      <c r="ORE1" s="9" t="s">
        <v>12690</v>
      </c>
      <c r="ORF1" s="9" t="s">
        <v>12691</v>
      </c>
      <c r="ORG1" s="9" t="s">
        <v>12692</v>
      </c>
      <c r="ORH1" s="9" t="s">
        <v>12693</v>
      </c>
      <c r="ORI1" s="9" t="s">
        <v>12694</v>
      </c>
      <c r="ORJ1" s="9" t="s">
        <v>12695</v>
      </c>
      <c r="ORK1" s="9" t="s">
        <v>12696</v>
      </c>
      <c r="ORL1" s="9" t="s">
        <v>12697</v>
      </c>
      <c r="ORM1" s="9" t="s">
        <v>12698</v>
      </c>
      <c r="ORN1" s="9" t="s">
        <v>12699</v>
      </c>
      <c r="ORO1" s="9" t="s">
        <v>12700</v>
      </c>
      <c r="ORP1" s="9" t="s">
        <v>12701</v>
      </c>
      <c r="ORQ1" s="9" t="s">
        <v>12702</v>
      </c>
      <c r="ORR1" s="9" t="s">
        <v>12703</v>
      </c>
      <c r="ORS1" s="9" t="s">
        <v>12704</v>
      </c>
      <c r="ORT1" s="9" t="s">
        <v>12705</v>
      </c>
      <c r="ORU1" s="9" t="s">
        <v>12706</v>
      </c>
      <c r="ORV1" s="9" t="s">
        <v>12707</v>
      </c>
      <c r="ORW1" s="9" t="s">
        <v>12708</v>
      </c>
      <c r="ORX1" s="9" t="s">
        <v>12709</v>
      </c>
      <c r="ORY1" s="9" t="s">
        <v>12710</v>
      </c>
      <c r="ORZ1" s="9" t="s">
        <v>12711</v>
      </c>
      <c r="OSA1" s="9" t="s">
        <v>12712</v>
      </c>
      <c r="OSB1" s="9" t="s">
        <v>12713</v>
      </c>
      <c r="OSC1" s="9" t="s">
        <v>12714</v>
      </c>
      <c r="OSD1" s="9" t="s">
        <v>12715</v>
      </c>
      <c r="OSE1" s="9" t="s">
        <v>12716</v>
      </c>
      <c r="OSF1" s="9" t="s">
        <v>12717</v>
      </c>
      <c r="OSG1" s="9" t="s">
        <v>12718</v>
      </c>
      <c r="OSH1" s="9" t="s">
        <v>12719</v>
      </c>
      <c r="OSI1" s="9" t="s">
        <v>12720</v>
      </c>
      <c r="OSJ1" s="9" t="s">
        <v>12721</v>
      </c>
      <c r="OSK1" s="9" t="s">
        <v>12722</v>
      </c>
      <c r="OSL1" s="9" t="s">
        <v>12723</v>
      </c>
      <c r="OSM1" s="9" t="s">
        <v>12724</v>
      </c>
      <c r="OSN1" s="9" t="s">
        <v>12725</v>
      </c>
      <c r="OSO1" s="9" t="s">
        <v>12726</v>
      </c>
      <c r="OSP1" s="9" t="s">
        <v>12727</v>
      </c>
      <c r="OSQ1" s="9" t="s">
        <v>12728</v>
      </c>
      <c r="OSR1" s="9" t="s">
        <v>12729</v>
      </c>
      <c r="OSS1" s="9" t="s">
        <v>12730</v>
      </c>
      <c r="OST1" s="9" t="s">
        <v>12731</v>
      </c>
      <c r="OSU1" s="9" t="s">
        <v>12732</v>
      </c>
      <c r="OSV1" s="9" t="s">
        <v>12733</v>
      </c>
      <c r="OSW1" s="9" t="s">
        <v>12734</v>
      </c>
      <c r="OSX1" s="9" t="s">
        <v>12735</v>
      </c>
      <c r="OSY1" s="9" t="s">
        <v>12736</v>
      </c>
      <c r="OSZ1" s="9" t="s">
        <v>12737</v>
      </c>
      <c r="OTA1" s="9" t="s">
        <v>12738</v>
      </c>
      <c r="OTB1" s="9" t="s">
        <v>12739</v>
      </c>
      <c r="OTC1" s="9" t="s">
        <v>12740</v>
      </c>
      <c r="OTD1" s="9" t="s">
        <v>12741</v>
      </c>
      <c r="OTE1" s="9" t="s">
        <v>12742</v>
      </c>
      <c r="OTF1" s="9" t="s">
        <v>12743</v>
      </c>
      <c r="OTG1" s="9" t="s">
        <v>12744</v>
      </c>
      <c r="OTH1" s="9" t="s">
        <v>12745</v>
      </c>
      <c r="OTI1" s="9" t="s">
        <v>12746</v>
      </c>
      <c r="OTJ1" s="9" t="s">
        <v>12747</v>
      </c>
      <c r="OTK1" s="9" t="s">
        <v>12748</v>
      </c>
      <c r="OTL1" s="9" t="s">
        <v>12749</v>
      </c>
      <c r="OTM1" s="9" t="s">
        <v>12750</v>
      </c>
      <c r="OTN1" s="9" t="s">
        <v>12751</v>
      </c>
      <c r="OTO1" s="9" t="s">
        <v>12752</v>
      </c>
      <c r="OTP1" s="9" t="s">
        <v>12753</v>
      </c>
      <c r="OTQ1" s="9" t="s">
        <v>12754</v>
      </c>
      <c r="OTR1" s="9" t="s">
        <v>12755</v>
      </c>
      <c r="OTS1" s="9" t="s">
        <v>12756</v>
      </c>
      <c r="OTT1" s="9" t="s">
        <v>12757</v>
      </c>
      <c r="OTU1" s="9" t="s">
        <v>12758</v>
      </c>
      <c r="OTV1" s="9" t="s">
        <v>12759</v>
      </c>
      <c r="OTW1" s="9" t="s">
        <v>12760</v>
      </c>
      <c r="OTX1" s="9" t="s">
        <v>12761</v>
      </c>
      <c r="OTY1" s="9" t="s">
        <v>12762</v>
      </c>
      <c r="OTZ1" s="9" t="s">
        <v>12763</v>
      </c>
      <c r="OUA1" s="9" t="s">
        <v>12764</v>
      </c>
      <c r="OUB1" s="9" t="s">
        <v>12765</v>
      </c>
      <c r="OUC1" s="9" t="s">
        <v>12766</v>
      </c>
      <c r="OUD1" s="9" t="s">
        <v>12767</v>
      </c>
      <c r="OUE1" s="9" t="s">
        <v>12768</v>
      </c>
      <c r="OUF1" s="9" t="s">
        <v>12769</v>
      </c>
      <c r="OUG1" s="9" t="s">
        <v>12770</v>
      </c>
      <c r="OUH1" s="9" t="s">
        <v>12771</v>
      </c>
      <c r="OUI1" s="9" t="s">
        <v>12772</v>
      </c>
      <c r="OUJ1" s="9" t="s">
        <v>12773</v>
      </c>
      <c r="OUK1" s="9" t="s">
        <v>12774</v>
      </c>
      <c r="OUL1" s="9" t="s">
        <v>12775</v>
      </c>
      <c r="OUM1" s="9" t="s">
        <v>12776</v>
      </c>
      <c r="OUN1" s="9" t="s">
        <v>12777</v>
      </c>
      <c r="OUO1" s="9" t="s">
        <v>12778</v>
      </c>
      <c r="OUP1" s="9" t="s">
        <v>12779</v>
      </c>
      <c r="OUQ1" s="9" t="s">
        <v>12780</v>
      </c>
      <c r="OUR1" s="9" t="s">
        <v>12781</v>
      </c>
      <c r="OUS1" s="9" t="s">
        <v>12782</v>
      </c>
      <c r="OUT1" s="9" t="s">
        <v>12783</v>
      </c>
      <c r="OUU1" s="9" t="s">
        <v>12784</v>
      </c>
      <c r="OUV1" s="9" t="s">
        <v>12785</v>
      </c>
      <c r="OUW1" s="9" t="s">
        <v>12786</v>
      </c>
      <c r="OUX1" s="9" t="s">
        <v>12787</v>
      </c>
      <c r="OUY1" s="9" t="s">
        <v>12788</v>
      </c>
      <c r="OUZ1" s="9" t="s">
        <v>12789</v>
      </c>
      <c r="OVA1" s="9" t="s">
        <v>12790</v>
      </c>
      <c r="OVB1" s="9" t="s">
        <v>12791</v>
      </c>
      <c r="OVC1" s="9" t="s">
        <v>12792</v>
      </c>
      <c r="OVD1" s="9" t="s">
        <v>12793</v>
      </c>
      <c r="OVE1" s="9" t="s">
        <v>12794</v>
      </c>
      <c r="OVF1" s="9" t="s">
        <v>12795</v>
      </c>
      <c r="OVG1" s="9" t="s">
        <v>12796</v>
      </c>
      <c r="OVH1" s="9" t="s">
        <v>12797</v>
      </c>
      <c r="OVI1" s="9" t="s">
        <v>12798</v>
      </c>
      <c r="OVJ1" s="9" t="s">
        <v>12799</v>
      </c>
      <c r="OVK1" s="9" t="s">
        <v>12800</v>
      </c>
      <c r="OVL1" s="9" t="s">
        <v>12801</v>
      </c>
      <c r="OVM1" s="9" t="s">
        <v>12802</v>
      </c>
      <c r="OVN1" s="9" t="s">
        <v>12803</v>
      </c>
      <c r="OVO1" s="9" t="s">
        <v>12804</v>
      </c>
      <c r="OVP1" s="9" t="s">
        <v>12805</v>
      </c>
      <c r="OVQ1" s="9" t="s">
        <v>12806</v>
      </c>
      <c r="OVR1" s="9" t="s">
        <v>12807</v>
      </c>
      <c r="OVS1" s="9" t="s">
        <v>12808</v>
      </c>
      <c r="OVT1" s="9" t="s">
        <v>12809</v>
      </c>
      <c r="OVU1" s="9" t="s">
        <v>12810</v>
      </c>
      <c r="OVV1" s="9" t="s">
        <v>12811</v>
      </c>
      <c r="OVW1" s="9" t="s">
        <v>12812</v>
      </c>
      <c r="OVX1" s="9" t="s">
        <v>12813</v>
      </c>
      <c r="OVY1" s="9" t="s">
        <v>12814</v>
      </c>
      <c r="OVZ1" s="9" t="s">
        <v>12815</v>
      </c>
      <c r="OWA1" s="9" t="s">
        <v>12816</v>
      </c>
      <c r="OWB1" s="9" t="s">
        <v>12817</v>
      </c>
      <c r="OWC1" s="9" t="s">
        <v>12818</v>
      </c>
      <c r="OWD1" s="9" t="s">
        <v>12819</v>
      </c>
      <c r="OWE1" s="9" t="s">
        <v>12820</v>
      </c>
      <c r="OWF1" s="9" t="s">
        <v>12821</v>
      </c>
      <c r="OWG1" s="9" t="s">
        <v>12822</v>
      </c>
      <c r="OWH1" s="9" t="s">
        <v>12823</v>
      </c>
      <c r="OWI1" s="9" t="s">
        <v>12824</v>
      </c>
      <c r="OWJ1" s="9" t="s">
        <v>12825</v>
      </c>
      <c r="OWK1" s="9" t="s">
        <v>12826</v>
      </c>
      <c r="OWL1" s="9" t="s">
        <v>12827</v>
      </c>
      <c r="OWM1" s="9" t="s">
        <v>12828</v>
      </c>
      <c r="OWN1" s="9" t="s">
        <v>12829</v>
      </c>
      <c r="OWO1" s="9" t="s">
        <v>12830</v>
      </c>
      <c r="OWP1" s="9" t="s">
        <v>12831</v>
      </c>
      <c r="OWQ1" s="9" t="s">
        <v>12832</v>
      </c>
      <c r="OWR1" s="9" t="s">
        <v>12833</v>
      </c>
      <c r="OWS1" s="9" t="s">
        <v>12834</v>
      </c>
      <c r="OWT1" s="9" t="s">
        <v>12835</v>
      </c>
      <c r="OWU1" s="9" t="s">
        <v>12836</v>
      </c>
      <c r="OWV1" s="9" t="s">
        <v>12837</v>
      </c>
      <c r="OWW1" s="9" t="s">
        <v>12838</v>
      </c>
      <c r="OWX1" s="9" t="s">
        <v>12839</v>
      </c>
      <c r="OWY1" s="9" t="s">
        <v>12840</v>
      </c>
      <c r="OWZ1" s="9" t="s">
        <v>12841</v>
      </c>
      <c r="OXA1" s="9" t="s">
        <v>12842</v>
      </c>
      <c r="OXB1" s="9" t="s">
        <v>12843</v>
      </c>
      <c r="OXC1" s="9" t="s">
        <v>12844</v>
      </c>
      <c r="OXD1" s="9" t="s">
        <v>12845</v>
      </c>
      <c r="OXE1" s="9" t="s">
        <v>12846</v>
      </c>
      <c r="OXF1" s="9" t="s">
        <v>12847</v>
      </c>
      <c r="OXG1" s="9" t="s">
        <v>12848</v>
      </c>
      <c r="OXH1" s="9" t="s">
        <v>12849</v>
      </c>
      <c r="OXI1" s="9" t="s">
        <v>12850</v>
      </c>
      <c r="OXJ1" s="9" t="s">
        <v>12851</v>
      </c>
      <c r="OXK1" s="9" t="s">
        <v>12852</v>
      </c>
      <c r="OXL1" s="9" t="s">
        <v>12853</v>
      </c>
      <c r="OXM1" s="9" t="s">
        <v>12854</v>
      </c>
      <c r="OXN1" s="9" t="s">
        <v>12855</v>
      </c>
      <c r="OXO1" s="9" t="s">
        <v>12856</v>
      </c>
      <c r="OXP1" s="9" t="s">
        <v>12857</v>
      </c>
      <c r="OXQ1" s="9" t="s">
        <v>12858</v>
      </c>
      <c r="OXR1" s="9" t="s">
        <v>12859</v>
      </c>
      <c r="OXS1" s="9" t="s">
        <v>12860</v>
      </c>
      <c r="OXT1" s="9" t="s">
        <v>12861</v>
      </c>
      <c r="OXU1" s="9" t="s">
        <v>12862</v>
      </c>
      <c r="OXV1" s="9" t="s">
        <v>12863</v>
      </c>
      <c r="OXW1" s="9" t="s">
        <v>12864</v>
      </c>
      <c r="OXX1" s="9" t="s">
        <v>12865</v>
      </c>
      <c r="OXY1" s="9" t="s">
        <v>12866</v>
      </c>
      <c r="OXZ1" s="9" t="s">
        <v>12867</v>
      </c>
      <c r="OYA1" s="9" t="s">
        <v>12868</v>
      </c>
      <c r="OYB1" s="9" t="s">
        <v>12869</v>
      </c>
      <c r="OYC1" s="9" t="s">
        <v>12870</v>
      </c>
      <c r="OYD1" s="9" t="s">
        <v>12871</v>
      </c>
      <c r="OYE1" s="9" t="s">
        <v>12872</v>
      </c>
      <c r="OYF1" s="9" t="s">
        <v>12873</v>
      </c>
      <c r="OYG1" s="9" t="s">
        <v>12874</v>
      </c>
      <c r="OYH1" s="9" t="s">
        <v>12875</v>
      </c>
      <c r="OYI1" s="9" t="s">
        <v>12876</v>
      </c>
      <c r="OYJ1" s="9" t="s">
        <v>12877</v>
      </c>
      <c r="OYK1" s="9" t="s">
        <v>12878</v>
      </c>
      <c r="OYL1" s="9" t="s">
        <v>12879</v>
      </c>
      <c r="OYM1" s="9" t="s">
        <v>12880</v>
      </c>
      <c r="OYN1" s="9" t="s">
        <v>12881</v>
      </c>
      <c r="OYO1" s="9" t="s">
        <v>12882</v>
      </c>
      <c r="OYP1" s="9" t="s">
        <v>12883</v>
      </c>
      <c r="OYQ1" s="9" t="s">
        <v>12884</v>
      </c>
      <c r="OYR1" s="9" t="s">
        <v>12885</v>
      </c>
      <c r="OYS1" s="9" t="s">
        <v>12886</v>
      </c>
      <c r="OYT1" s="9" t="s">
        <v>12887</v>
      </c>
      <c r="OYU1" s="9" t="s">
        <v>12888</v>
      </c>
      <c r="OYV1" s="9" t="s">
        <v>12889</v>
      </c>
      <c r="OYW1" s="9" t="s">
        <v>12890</v>
      </c>
      <c r="OYX1" s="9" t="s">
        <v>12891</v>
      </c>
      <c r="OYY1" s="9" t="s">
        <v>12892</v>
      </c>
      <c r="OYZ1" s="9" t="s">
        <v>12893</v>
      </c>
      <c r="OZA1" s="9" t="s">
        <v>12894</v>
      </c>
      <c r="OZB1" s="9" t="s">
        <v>12895</v>
      </c>
      <c r="OZC1" s="9" t="s">
        <v>12896</v>
      </c>
      <c r="OZD1" s="9" t="s">
        <v>12897</v>
      </c>
      <c r="OZE1" s="9" t="s">
        <v>12898</v>
      </c>
      <c r="OZF1" s="9" t="s">
        <v>12899</v>
      </c>
      <c r="OZG1" s="9" t="s">
        <v>12900</v>
      </c>
      <c r="OZH1" s="9" t="s">
        <v>12901</v>
      </c>
      <c r="OZI1" s="9" t="s">
        <v>12902</v>
      </c>
      <c r="OZJ1" s="9" t="s">
        <v>12903</v>
      </c>
      <c r="OZK1" s="9" t="s">
        <v>12904</v>
      </c>
      <c r="OZL1" s="9" t="s">
        <v>12905</v>
      </c>
      <c r="OZM1" s="9" t="s">
        <v>12906</v>
      </c>
      <c r="OZN1" s="9" t="s">
        <v>12907</v>
      </c>
      <c r="OZO1" s="9" t="s">
        <v>12908</v>
      </c>
      <c r="OZP1" s="9" t="s">
        <v>12909</v>
      </c>
      <c r="OZQ1" s="9" t="s">
        <v>12910</v>
      </c>
      <c r="OZR1" s="9" t="s">
        <v>12911</v>
      </c>
      <c r="OZS1" s="9" t="s">
        <v>12912</v>
      </c>
      <c r="OZT1" s="9" t="s">
        <v>12913</v>
      </c>
      <c r="OZU1" s="9" t="s">
        <v>12914</v>
      </c>
      <c r="OZV1" s="9" t="s">
        <v>12915</v>
      </c>
      <c r="OZW1" s="9" t="s">
        <v>12916</v>
      </c>
      <c r="OZX1" s="9" t="s">
        <v>12917</v>
      </c>
      <c r="OZY1" s="9" t="s">
        <v>12918</v>
      </c>
      <c r="OZZ1" s="9" t="s">
        <v>12919</v>
      </c>
      <c r="PAA1" s="9" t="s">
        <v>12920</v>
      </c>
      <c r="PAB1" s="9" t="s">
        <v>12921</v>
      </c>
      <c r="PAC1" s="9" t="s">
        <v>12922</v>
      </c>
      <c r="PAD1" s="9" t="s">
        <v>12923</v>
      </c>
      <c r="PAE1" s="9" t="s">
        <v>12924</v>
      </c>
      <c r="PAF1" s="9" t="s">
        <v>12925</v>
      </c>
      <c r="PAG1" s="9" t="s">
        <v>12926</v>
      </c>
      <c r="PAH1" s="9" t="s">
        <v>12927</v>
      </c>
      <c r="PAI1" s="9" t="s">
        <v>12928</v>
      </c>
      <c r="PAJ1" s="9" t="s">
        <v>12929</v>
      </c>
      <c r="PAK1" s="9" t="s">
        <v>12930</v>
      </c>
      <c r="PAL1" s="9" t="s">
        <v>12931</v>
      </c>
      <c r="PAM1" s="9" t="s">
        <v>12932</v>
      </c>
      <c r="PAN1" s="9" t="s">
        <v>12933</v>
      </c>
      <c r="PAO1" s="9" t="s">
        <v>12934</v>
      </c>
      <c r="PAP1" s="9" t="s">
        <v>12935</v>
      </c>
      <c r="PAQ1" s="9" t="s">
        <v>12936</v>
      </c>
      <c r="PAR1" s="9" t="s">
        <v>12937</v>
      </c>
      <c r="PAS1" s="9" t="s">
        <v>12938</v>
      </c>
      <c r="PAT1" s="9" t="s">
        <v>12939</v>
      </c>
      <c r="PAU1" s="9" t="s">
        <v>12940</v>
      </c>
      <c r="PAV1" s="9" t="s">
        <v>12941</v>
      </c>
      <c r="PAW1" s="9" t="s">
        <v>12942</v>
      </c>
      <c r="PAX1" s="9" t="s">
        <v>12943</v>
      </c>
      <c r="PAY1" s="9" t="s">
        <v>12944</v>
      </c>
      <c r="PAZ1" s="9" t="s">
        <v>12945</v>
      </c>
      <c r="PBA1" s="9" t="s">
        <v>12946</v>
      </c>
      <c r="PBB1" s="9" t="s">
        <v>12947</v>
      </c>
      <c r="PBC1" s="9" t="s">
        <v>12948</v>
      </c>
      <c r="PBD1" s="9" t="s">
        <v>12949</v>
      </c>
      <c r="PBE1" s="9" t="s">
        <v>12950</v>
      </c>
      <c r="PBF1" s="9" t="s">
        <v>12951</v>
      </c>
      <c r="PBG1" s="9" t="s">
        <v>12952</v>
      </c>
      <c r="PBH1" s="9" t="s">
        <v>12953</v>
      </c>
      <c r="PBI1" s="9" t="s">
        <v>12954</v>
      </c>
      <c r="PBJ1" s="9" t="s">
        <v>12955</v>
      </c>
      <c r="PBK1" s="9" t="s">
        <v>12956</v>
      </c>
      <c r="PBL1" s="9" t="s">
        <v>12957</v>
      </c>
      <c r="PBM1" s="9" t="s">
        <v>12958</v>
      </c>
      <c r="PBN1" s="9" t="s">
        <v>12959</v>
      </c>
      <c r="PBO1" s="9" t="s">
        <v>12960</v>
      </c>
      <c r="PBP1" s="9" t="s">
        <v>12961</v>
      </c>
      <c r="PBQ1" s="9" t="s">
        <v>12962</v>
      </c>
      <c r="PBR1" s="9" t="s">
        <v>12963</v>
      </c>
      <c r="PBS1" s="9" t="s">
        <v>12964</v>
      </c>
      <c r="PBT1" s="9" t="s">
        <v>12965</v>
      </c>
      <c r="PBU1" s="9" t="s">
        <v>12966</v>
      </c>
      <c r="PBV1" s="9" t="s">
        <v>12967</v>
      </c>
      <c r="PBW1" s="9" t="s">
        <v>12968</v>
      </c>
      <c r="PBX1" s="9" t="s">
        <v>12969</v>
      </c>
      <c r="PBY1" s="9" t="s">
        <v>12970</v>
      </c>
      <c r="PBZ1" s="9" t="s">
        <v>12971</v>
      </c>
      <c r="PCA1" s="9" t="s">
        <v>12972</v>
      </c>
      <c r="PCB1" s="9" t="s">
        <v>12973</v>
      </c>
      <c r="PCC1" s="9" t="s">
        <v>12974</v>
      </c>
      <c r="PCD1" s="9" t="s">
        <v>12975</v>
      </c>
      <c r="PCE1" s="9" t="s">
        <v>12976</v>
      </c>
      <c r="PCF1" s="9" t="s">
        <v>12977</v>
      </c>
      <c r="PCG1" s="9" t="s">
        <v>12978</v>
      </c>
      <c r="PCH1" s="9" t="s">
        <v>12979</v>
      </c>
      <c r="PCI1" s="9" t="s">
        <v>12980</v>
      </c>
      <c r="PCJ1" s="9" t="s">
        <v>12981</v>
      </c>
      <c r="PCK1" s="9" t="s">
        <v>12982</v>
      </c>
      <c r="PCL1" s="9" t="s">
        <v>12983</v>
      </c>
      <c r="PCM1" s="9" t="s">
        <v>12984</v>
      </c>
      <c r="PCN1" s="9" t="s">
        <v>12985</v>
      </c>
      <c r="PCO1" s="9" t="s">
        <v>12986</v>
      </c>
      <c r="PCP1" s="9" t="s">
        <v>12987</v>
      </c>
      <c r="PCQ1" s="9" t="s">
        <v>12988</v>
      </c>
      <c r="PCR1" s="9" t="s">
        <v>12989</v>
      </c>
      <c r="PCS1" s="9" t="s">
        <v>12990</v>
      </c>
      <c r="PCT1" s="9" t="s">
        <v>12991</v>
      </c>
      <c r="PCU1" s="9" t="s">
        <v>12992</v>
      </c>
      <c r="PCV1" s="9" t="s">
        <v>12993</v>
      </c>
      <c r="PCW1" s="9" t="s">
        <v>12994</v>
      </c>
      <c r="PCX1" s="9" t="s">
        <v>12995</v>
      </c>
      <c r="PCY1" s="9" t="s">
        <v>12996</v>
      </c>
      <c r="PCZ1" s="9" t="s">
        <v>12997</v>
      </c>
      <c r="PDA1" s="9" t="s">
        <v>12998</v>
      </c>
      <c r="PDB1" s="9" t="s">
        <v>12999</v>
      </c>
      <c r="PDC1" s="9" t="s">
        <v>13000</v>
      </c>
      <c r="PDD1" s="9" t="s">
        <v>13001</v>
      </c>
      <c r="PDE1" s="9" t="s">
        <v>13002</v>
      </c>
      <c r="PDF1" s="9" t="s">
        <v>13003</v>
      </c>
      <c r="PDG1" s="9" t="s">
        <v>13004</v>
      </c>
      <c r="PDH1" s="9" t="s">
        <v>13005</v>
      </c>
      <c r="PDI1" s="9" t="s">
        <v>13006</v>
      </c>
      <c r="PDJ1" s="9" t="s">
        <v>13007</v>
      </c>
      <c r="PDK1" s="9" t="s">
        <v>13008</v>
      </c>
      <c r="PDL1" s="9" t="s">
        <v>13009</v>
      </c>
      <c r="PDM1" s="9" t="s">
        <v>13010</v>
      </c>
      <c r="PDN1" s="9" t="s">
        <v>13011</v>
      </c>
      <c r="PDO1" s="9" t="s">
        <v>13012</v>
      </c>
      <c r="PDP1" s="9" t="s">
        <v>13013</v>
      </c>
      <c r="PDQ1" s="9" t="s">
        <v>13014</v>
      </c>
      <c r="PDR1" s="9" t="s">
        <v>13015</v>
      </c>
      <c r="PDS1" s="9" t="s">
        <v>13016</v>
      </c>
      <c r="PDT1" s="9" t="s">
        <v>13017</v>
      </c>
      <c r="PDU1" s="9" t="s">
        <v>13018</v>
      </c>
      <c r="PDV1" s="9" t="s">
        <v>13019</v>
      </c>
      <c r="PDW1" s="9" t="s">
        <v>13020</v>
      </c>
      <c r="PDX1" s="9" t="s">
        <v>13021</v>
      </c>
      <c r="PDY1" s="9" t="s">
        <v>13022</v>
      </c>
      <c r="PDZ1" s="9" t="s">
        <v>13023</v>
      </c>
      <c r="PEA1" s="9" t="s">
        <v>13024</v>
      </c>
      <c r="PEB1" s="9" t="s">
        <v>13025</v>
      </c>
      <c r="PEC1" s="9" t="s">
        <v>13026</v>
      </c>
      <c r="PED1" s="9" t="s">
        <v>13027</v>
      </c>
      <c r="PEE1" s="9" t="s">
        <v>13028</v>
      </c>
      <c r="PEF1" s="9" t="s">
        <v>13029</v>
      </c>
      <c r="PEG1" s="9" t="s">
        <v>13030</v>
      </c>
      <c r="PEH1" s="9" t="s">
        <v>13031</v>
      </c>
      <c r="PEI1" s="9" t="s">
        <v>13032</v>
      </c>
      <c r="PEJ1" s="9" t="s">
        <v>13033</v>
      </c>
      <c r="PEK1" s="9" t="s">
        <v>13034</v>
      </c>
      <c r="PEL1" s="9" t="s">
        <v>13035</v>
      </c>
      <c r="PEM1" s="9" t="s">
        <v>13036</v>
      </c>
      <c r="PEN1" s="9" t="s">
        <v>13037</v>
      </c>
      <c r="PEO1" s="9" t="s">
        <v>13038</v>
      </c>
      <c r="PEP1" s="9" t="s">
        <v>13039</v>
      </c>
      <c r="PEQ1" s="9" t="s">
        <v>13040</v>
      </c>
      <c r="PER1" s="9" t="s">
        <v>13041</v>
      </c>
      <c r="PES1" s="9" t="s">
        <v>13042</v>
      </c>
      <c r="PET1" s="9" t="s">
        <v>13043</v>
      </c>
      <c r="PEU1" s="9" t="s">
        <v>13044</v>
      </c>
      <c r="PEV1" s="9" t="s">
        <v>13045</v>
      </c>
      <c r="PEW1" s="9" t="s">
        <v>13046</v>
      </c>
      <c r="PEX1" s="9" t="s">
        <v>13047</v>
      </c>
      <c r="PEY1" s="9" t="s">
        <v>13048</v>
      </c>
      <c r="PEZ1" s="9" t="s">
        <v>13049</v>
      </c>
      <c r="PFA1" s="9" t="s">
        <v>13050</v>
      </c>
      <c r="PFB1" s="9" t="s">
        <v>13051</v>
      </c>
      <c r="PFC1" s="9" t="s">
        <v>13052</v>
      </c>
      <c r="PFD1" s="9" t="s">
        <v>13053</v>
      </c>
      <c r="PFE1" s="9" t="s">
        <v>13054</v>
      </c>
      <c r="PFF1" s="9" t="s">
        <v>13055</v>
      </c>
      <c r="PFG1" s="9" t="s">
        <v>13056</v>
      </c>
      <c r="PFH1" s="9" t="s">
        <v>13057</v>
      </c>
      <c r="PFI1" s="9" t="s">
        <v>13058</v>
      </c>
      <c r="PFJ1" s="9" t="s">
        <v>13059</v>
      </c>
      <c r="PFK1" s="9" t="s">
        <v>13060</v>
      </c>
      <c r="PFL1" s="9" t="s">
        <v>13061</v>
      </c>
      <c r="PFM1" s="9" t="s">
        <v>13062</v>
      </c>
      <c r="PFN1" s="9" t="s">
        <v>13063</v>
      </c>
      <c r="PFO1" s="9" t="s">
        <v>13064</v>
      </c>
      <c r="PFP1" s="9" t="s">
        <v>13065</v>
      </c>
      <c r="PFQ1" s="9" t="s">
        <v>13066</v>
      </c>
      <c r="PFR1" s="9" t="s">
        <v>13067</v>
      </c>
      <c r="PFS1" s="9" t="s">
        <v>13068</v>
      </c>
      <c r="PFT1" s="9" t="s">
        <v>13069</v>
      </c>
      <c r="PFU1" s="9" t="s">
        <v>13070</v>
      </c>
      <c r="PFV1" s="9" t="s">
        <v>13071</v>
      </c>
      <c r="PFW1" s="9" t="s">
        <v>13072</v>
      </c>
      <c r="PFX1" s="9" t="s">
        <v>13073</v>
      </c>
      <c r="PFY1" s="9" t="s">
        <v>13074</v>
      </c>
      <c r="PFZ1" s="9" t="s">
        <v>13075</v>
      </c>
      <c r="PGA1" s="9" t="s">
        <v>13076</v>
      </c>
      <c r="PGB1" s="9" t="s">
        <v>13077</v>
      </c>
      <c r="PGC1" s="9" t="s">
        <v>13078</v>
      </c>
      <c r="PGD1" s="9" t="s">
        <v>13079</v>
      </c>
      <c r="PGE1" s="9" t="s">
        <v>13080</v>
      </c>
      <c r="PGF1" s="9" t="s">
        <v>13081</v>
      </c>
      <c r="PGG1" s="9" t="s">
        <v>13082</v>
      </c>
      <c r="PGH1" s="9" t="s">
        <v>13083</v>
      </c>
      <c r="PGI1" s="9" t="s">
        <v>13084</v>
      </c>
      <c r="PGJ1" s="9" t="s">
        <v>13085</v>
      </c>
      <c r="PGK1" s="9" t="s">
        <v>13086</v>
      </c>
      <c r="PGL1" s="9" t="s">
        <v>13087</v>
      </c>
      <c r="PGM1" s="9" t="s">
        <v>13088</v>
      </c>
      <c r="PGN1" s="9" t="s">
        <v>13089</v>
      </c>
      <c r="PGO1" s="9" t="s">
        <v>13090</v>
      </c>
      <c r="PGP1" s="9" t="s">
        <v>13091</v>
      </c>
      <c r="PGQ1" s="9" t="s">
        <v>13092</v>
      </c>
      <c r="PGR1" s="9" t="s">
        <v>13093</v>
      </c>
      <c r="PGS1" s="9" t="s">
        <v>13094</v>
      </c>
      <c r="PGT1" s="9" t="s">
        <v>13095</v>
      </c>
      <c r="PGU1" s="9" t="s">
        <v>13096</v>
      </c>
      <c r="PGV1" s="9" t="s">
        <v>13097</v>
      </c>
      <c r="PGW1" s="9" t="s">
        <v>13098</v>
      </c>
      <c r="PGX1" s="9" t="s">
        <v>13099</v>
      </c>
      <c r="PGY1" s="9" t="s">
        <v>13100</v>
      </c>
      <c r="PGZ1" s="9" t="s">
        <v>13101</v>
      </c>
      <c r="PHA1" s="9" t="s">
        <v>13102</v>
      </c>
      <c r="PHB1" s="9" t="s">
        <v>13103</v>
      </c>
      <c r="PHC1" s="9" t="s">
        <v>13104</v>
      </c>
      <c r="PHD1" s="9" t="s">
        <v>13105</v>
      </c>
      <c r="PHE1" s="9" t="s">
        <v>13106</v>
      </c>
      <c r="PHF1" s="9" t="s">
        <v>13107</v>
      </c>
      <c r="PHG1" s="9" t="s">
        <v>13108</v>
      </c>
      <c r="PHH1" s="9" t="s">
        <v>13109</v>
      </c>
      <c r="PHI1" s="9" t="s">
        <v>13110</v>
      </c>
      <c r="PHJ1" s="9" t="s">
        <v>13111</v>
      </c>
      <c r="PHK1" s="9" t="s">
        <v>13112</v>
      </c>
      <c r="PHL1" s="9" t="s">
        <v>13113</v>
      </c>
      <c r="PHM1" s="9" t="s">
        <v>13114</v>
      </c>
      <c r="PHN1" s="9" t="s">
        <v>13115</v>
      </c>
      <c r="PHO1" s="9" t="s">
        <v>13116</v>
      </c>
      <c r="PHP1" s="9" t="s">
        <v>13117</v>
      </c>
      <c r="PHQ1" s="9" t="s">
        <v>13118</v>
      </c>
      <c r="PHR1" s="9" t="s">
        <v>13119</v>
      </c>
      <c r="PHS1" s="9" t="s">
        <v>13120</v>
      </c>
      <c r="PHT1" s="9" t="s">
        <v>13121</v>
      </c>
      <c r="PHU1" s="9" t="s">
        <v>13122</v>
      </c>
      <c r="PHV1" s="9" t="s">
        <v>13123</v>
      </c>
      <c r="PHW1" s="9" t="s">
        <v>13124</v>
      </c>
      <c r="PHX1" s="9" t="s">
        <v>13125</v>
      </c>
      <c r="PHY1" s="9" t="s">
        <v>13126</v>
      </c>
      <c r="PHZ1" s="9" t="s">
        <v>13127</v>
      </c>
      <c r="PIA1" s="9" t="s">
        <v>13128</v>
      </c>
      <c r="PIB1" s="9" t="s">
        <v>13129</v>
      </c>
      <c r="PIC1" s="9" t="s">
        <v>13130</v>
      </c>
      <c r="PID1" s="9" t="s">
        <v>13131</v>
      </c>
      <c r="PIE1" s="9" t="s">
        <v>13132</v>
      </c>
      <c r="PIF1" s="9" t="s">
        <v>13133</v>
      </c>
      <c r="PIG1" s="9" t="s">
        <v>13134</v>
      </c>
      <c r="PIH1" s="9" t="s">
        <v>13135</v>
      </c>
      <c r="PII1" s="9" t="s">
        <v>13136</v>
      </c>
      <c r="PIJ1" s="9" t="s">
        <v>13137</v>
      </c>
      <c r="PIK1" s="9" t="s">
        <v>13138</v>
      </c>
      <c r="PIL1" s="9" t="s">
        <v>13139</v>
      </c>
      <c r="PIM1" s="9" t="s">
        <v>13140</v>
      </c>
      <c r="PIN1" s="9" t="s">
        <v>13141</v>
      </c>
      <c r="PIO1" s="9" t="s">
        <v>13142</v>
      </c>
      <c r="PIP1" s="9" t="s">
        <v>13143</v>
      </c>
      <c r="PIQ1" s="9" t="s">
        <v>13144</v>
      </c>
      <c r="PIR1" s="9" t="s">
        <v>13145</v>
      </c>
      <c r="PIS1" s="9" t="s">
        <v>13146</v>
      </c>
      <c r="PIT1" s="9" t="s">
        <v>13147</v>
      </c>
      <c r="PIU1" s="9" t="s">
        <v>13148</v>
      </c>
      <c r="PIV1" s="9" t="s">
        <v>13149</v>
      </c>
      <c r="PIW1" s="9" t="s">
        <v>13150</v>
      </c>
      <c r="PIX1" s="9" t="s">
        <v>13151</v>
      </c>
      <c r="PIY1" s="9" t="s">
        <v>13152</v>
      </c>
      <c r="PIZ1" s="9" t="s">
        <v>13153</v>
      </c>
      <c r="PJA1" s="9" t="s">
        <v>13154</v>
      </c>
      <c r="PJB1" s="9" t="s">
        <v>13155</v>
      </c>
      <c r="PJC1" s="9" t="s">
        <v>13156</v>
      </c>
      <c r="PJD1" s="9" t="s">
        <v>13157</v>
      </c>
      <c r="PJE1" s="9" t="s">
        <v>13158</v>
      </c>
      <c r="PJF1" s="9" t="s">
        <v>13159</v>
      </c>
      <c r="PJG1" s="9" t="s">
        <v>13160</v>
      </c>
      <c r="PJH1" s="9" t="s">
        <v>13161</v>
      </c>
      <c r="PJI1" s="9" t="s">
        <v>13162</v>
      </c>
      <c r="PJJ1" s="9" t="s">
        <v>13163</v>
      </c>
      <c r="PJK1" s="9" t="s">
        <v>13164</v>
      </c>
      <c r="PJL1" s="9" t="s">
        <v>13165</v>
      </c>
      <c r="PJM1" s="9" t="s">
        <v>13166</v>
      </c>
      <c r="PJN1" s="9" t="s">
        <v>13167</v>
      </c>
      <c r="PJO1" s="9" t="s">
        <v>13168</v>
      </c>
      <c r="PJP1" s="9" t="s">
        <v>13169</v>
      </c>
      <c r="PJQ1" s="9" t="s">
        <v>13170</v>
      </c>
      <c r="PJR1" s="9" t="s">
        <v>13171</v>
      </c>
      <c r="PJS1" s="9" t="s">
        <v>13172</v>
      </c>
      <c r="PJT1" s="9" t="s">
        <v>13173</v>
      </c>
      <c r="PJU1" s="9" t="s">
        <v>13174</v>
      </c>
      <c r="PJV1" s="9" t="s">
        <v>13175</v>
      </c>
      <c r="PJW1" s="9" t="s">
        <v>13176</v>
      </c>
      <c r="PJX1" s="9" t="s">
        <v>13177</v>
      </c>
      <c r="PJY1" s="9" t="s">
        <v>13178</v>
      </c>
      <c r="PJZ1" s="9" t="s">
        <v>13179</v>
      </c>
      <c r="PKA1" s="9" t="s">
        <v>13180</v>
      </c>
      <c r="PKB1" s="9" t="s">
        <v>13181</v>
      </c>
      <c r="PKC1" s="9" t="s">
        <v>13182</v>
      </c>
      <c r="PKD1" s="9" t="s">
        <v>13183</v>
      </c>
      <c r="PKE1" s="9" t="s">
        <v>13184</v>
      </c>
      <c r="PKF1" s="9" t="s">
        <v>13185</v>
      </c>
      <c r="PKG1" s="9" t="s">
        <v>13186</v>
      </c>
      <c r="PKH1" s="9" t="s">
        <v>13187</v>
      </c>
      <c r="PKI1" s="9" t="s">
        <v>13188</v>
      </c>
      <c r="PKJ1" s="9" t="s">
        <v>13189</v>
      </c>
      <c r="PKK1" s="9" t="s">
        <v>13190</v>
      </c>
      <c r="PKL1" s="9" t="s">
        <v>13191</v>
      </c>
      <c r="PKM1" s="9" t="s">
        <v>13192</v>
      </c>
      <c r="PKN1" s="9" t="s">
        <v>13193</v>
      </c>
      <c r="PKO1" s="9" t="s">
        <v>13194</v>
      </c>
      <c r="PKP1" s="9" t="s">
        <v>13195</v>
      </c>
      <c r="PKQ1" s="9" t="s">
        <v>13196</v>
      </c>
      <c r="PKR1" s="9" t="s">
        <v>13197</v>
      </c>
      <c r="PKS1" s="9" t="s">
        <v>13198</v>
      </c>
      <c r="PKT1" s="9" t="s">
        <v>13199</v>
      </c>
      <c r="PKU1" s="9" t="s">
        <v>13200</v>
      </c>
      <c r="PKV1" s="9" t="s">
        <v>13201</v>
      </c>
      <c r="PKW1" s="9" t="s">
        <v>13202</v>
      </c>
      <c r="PKX1" s="9" t="s">
        <v>13203</v>
      </c>
      <c r="PKY1" s="9" t="s">
        <v>13204</v>
      </c>
      <c r="PKZ1" s="9" t="s">
        <v>13205</v>
      </c>
      <c r="PLA1" s="9" t="s">
        <v>13206</v>
      </c>
      <c r="PLB1" s="9" t="s">
        <v>13207</v>
      </c>
      <c r="PLC1" s="9" t="s">
        <v>13208</v>
      </c>
      <c r="PLD1" s="9" t="s">
        <v>13209</v>
      </c>
      <c r="PLE1" s="9" t="s">
        <v>13210</v>
      </c>
      <c r="PLF1" s="9" t="s">
        <v>13211</v>
      </c>
      <c r="PLG1" s="9" t="s">
        <v>13212</v>
      </c>
      <c r="PLH1" s="9" t="s">
        <v>13213</v>
      </c>
      <c r="PLI1" s="9" t="s">
        <v>13214</v>
      </c>
      <c r="PLJ1" s="9" t="s">
        <v>13215</v>
      </c>
      <c r="PLK1" s="9" t="s">
        <v>13216</v>
      </c>
      <c r="PLL1" s="9" t="s">
        <v>13217</v>
      </c>
      <c r="PLM1" s="9" t="s">
        <v>13218</v>
      </c>
      <c r="PLN1" s="9" t="s">
        <v>13219</v>
      </c>
      <c r="PLO1" s="9" t="s">
        <v>13220</v>
      </c>
      <c r="PLP1" s="9" t="s">
        <v>13221</v>
      </c>
      <c r="PLQ1" s="9" t="s">
        <v>13222</v>
      </c>
      <c r="PLR1" s="9" t="s">
        <v>13223</v>
      </c>
      <c r="PLS1" s="9" t="s">
        <v>13224</v>
      </c>
      <c r="PLT1" s="9" t="s">
        <v>13225</v>
      </c>
      <c r="PLU1" s="9" t="s">
        <v>13226</v>
      </c>
      <c r="PLV1" s="9" t="s">
        <v>13227</v>
      </c>
      <c r="PLW1" s="9" t="s">
        <v>13228</v>
      </c>
      <c r="PLX1" s="9" t="s">
        <v>13229</v>
      </c>
      <c r="PLY1" s="9" t="s">
        <v>13230</v>
      </c>
      <c r="PLZ1" s="9" t="s">
        <v>13231</v>
      </c>
      <c r="PMA1" s="9" t="s">
        <v>13232</v>
      </c>
      <c r="PMB1" s="9" t="s">
        <v>13233</v>
      </c>
      <c r="PMC1" s="9" t="s">
        <v>13234</v>
      </c>
      <c r="PMD1" s="9" t="s">
        <v>13235</v>
      </c>
      <c r="PME1" s="9" t="s">
        <v>13236</v>
      </c>
      <c r="PMF1" s="9" t="s">
        <v>13237</v>
      </c>
      <c r="PMG1" s="9" t="s">
        <v>13238</v>
      </c>
      <c r="PMH1" s="9" t="s">
        <v>13239</v>
      </c>
      <c r="PMI1" s="9" t="s">
        <v>13240</v>
      </c>
      <c r="PMJ1" s="9" t="s">
        <v>13241</v>
      </c>
      <c r="PMK1" s="9" t="s">
        <v>13242</v>
      </c>
      <c r="PML1" s="9" t="s">
        <v>13243</v>
      </c>
      <c r="PMM1" s="9" t="s">
        <v>13244</v>
      </c>
      <c r="PMN1" s="9" t="s">
        <v>13245</v>
      </c>
      <c r="PMO1" s="9" t="s">
        <v>13246</v>
      </c>
      <c r="PMP1" s="9" t="s">
        <v>13247</v>
      </c>
      <c r="PMQ1" s="9" t="s">
        <v>13248</v>
      </c>
      <c r="PMR1" s="9" t="s">
        <v>13249</v>
      </c>
      <c r="PMS1" s="9" t="s">
        <v>13250</v>
      </c>
      <c r="PMT1" s="9" t="s">
        <v>13251</v>
      </c>
      <c r="PMU1" s="9" t="s">
        <v>13252</v>
      </c>
      <c r="PMV1" s="9" t="s">
        <v>13253</v>
      </c>
      <c r="PMW1" s="9" t="s">
        <v>13254</v>
      </c>
      <c r="PMX1" s="9" t="s">
        <v>13255</v>
      </c>
      <c r="PMY1" s="9" t="s">
        <v>13256</v>
      </c>
      <c r="PMZ1" s="9" t="s">
        <v>13257</v>
      </c>
      <c r="PNA1" s="9" t="s">
        <v>13258</v>
      </c>
      <c r="PNB1" s="9" t="s">
        <v>13259</v>
      </c>
      <c r="PNC1" s="9" t="s">
        <v>13260</v>
      </c>
      <c r="PND1" s="9" t="s">
        <v>13261</v>
      </c>
      <c r="PNE1" s="9" t="s">
        <v>13262</v>
      </c>
      <c r="PNF1" s="9" t="s">
        <v>13263</v>
      </c>
      <c r="PNG1" s="9" t="s">
        <v>13264</v>
      </c>
      <c r="PNH1" s="9" t="s">
        <v>13265</v>
      </c>
      <c r="PNI1" s="9" t="s">
        <v>13266</v>
      </c>
      <c r="PNJ1" s="9" t="s">
        <v>13267</v>
      </c>
      <c r="PNK1" s="9" t="s">
        <v>13268</v>
      </c>
      <c r="PNL1" s="9" t="s">
        <v>13269</v>
      </c>
      <c r="PNM1" s="9" t="s">
        <v>13270</v>
      </c>
      <c r="PNN1" s="9" t="s">
        <v>13271</v>
      </c>
      <c r="PNO1" s="9" t="s">
        <v>13272</v>
      </c>
      <c r="PNP1" s="9" t="s">
        <v>13273</v>
      </c>
      <c r="PNQ1" s="9" t="s">
        <v>13274</v>
      </c>
      <c r="PNR1" s="9" t="s">
        <v>13275</v>
      </c>
      <c r="PNS1" s="9" t="s">
        <v>13276</v>
      </c>
      <c r="PNT1" s="9" t="s">
        <v>13277</v>
      </c>
      <c r="PNU1" s="9" t="s">
        <v>13278</v>
      </c>
      <c r="PNV1" s="9" t="s">
        <v>13279</v>
      </c>
      <c r="PNW1" s="9" t="s">
        <v>13280</v>
      </c>
      <c r="PNX1" s="9" t="s">
        <v>13281</v>
      </c>
      <c r="PNY1" s="9" t="s">
        <v>13282</v>
      </c>
      <c r="PNZ1" s="9" t="s">
        <v>13283</v>
      </c>
      <c r="POA1" s="9" t="s">
        <v>13284</v>
      </c>
      <c r="POB1" s="9" t="s">
        <v>13285</v>
      </c>
      <c r="POC1" s="9" t="s">
        <v>13286</v>
      </c>
      <c r="POD1" s="9" t="s">
        <v>13287</v>
      </c>
      <c r="POE1" s="9" t="s">
        <v>13288</v>
      </c>
      <c r="POF1" s="9" t="s">
        <v>13289</v>
      </c>
      <c r="POG1" s="9" t="s">
        <v>13290</v>
      </c>
      <c r="POH1" s="9" t="s">
        <v>13291</v>
      </c>
      <c r="POI1" s="9" t="s">
        <v>13292</v>
      </c>
      <c r="POJ1" s="9" t="s">
        <v>13293</v>
      </c>
      <c r="POK1" s="9" t="s">
        <v>13294</v>
      </c>
      <c r="POL1" s="9" t="s">
        <v>13295</v>
      </c>
      <c r="POM1" s="9" t="s">
        <v>13296</v>
      </c>
      <c r="PON1" s="9" t="s">
        <v>13297</v>
      </c>
      <c r="POO1" s="9" t="s">
        <v>13298</v>
      </c>
      <c r="POP1" s="9" t="s">
        <v>13299</v>
      </c>
      <c r="POQ1" s="9" t="s">
        <v>13300</v>
      </c>
      <c r="POR1" s="9" t="s">
        <v>13301</v>
      </c>
      <c r="POS1" s="9" t="s">
        <v>13302</v>
      </c>
      <c r="POT1" s="9" t="s">
        <v>13303</v>
      </c>
      <c r="POU1" s="9" t="s">
        <v>13304</v>
      </c>
      <c r="POV1" s="9" t="s">
        <v>13305</v>
      </c>
      <c r="POW1" s="9" t="s">
        <v>13306</v>
      </c>
      <c r="POX1" s="9" t="s">
        <v>13307</v>
      </c>
      <c r="POY1" s="9" t="s">
        <v>13308</v>
      </c>
      <c r="POZ1" s="9" t="s">
        <v>13309</v>
      </c>
      <c r="PPA1" s="9" t="s">
        <v>13310</v>
      </c>
      <c r="PPB1" s="9" t="s">
        <v>13311</v>
      </c>
      <c r="PPC1" s="9" t="s">
        <v>13312</v>
      </c>
      <c r="PPD1" s="9" t="s">
        <v>13313</v>
      </c>
      <c r="PPE1" s="9" t="s">
        <v>13314</v>
      </c>
      <c r="PPF1" s="9" t="s">
        <v>13315</v>
      </c>
      <c r="PPG1" s="9" t="s">
        <v>13316</v>
      </c>
      <c r="PPH1" s="9" t="s">
        <v>13317</v>
      </c>
      <c r="PPI1" s="9" t="s">
        <v>13318</v>
      </c>
      <c r="PPJ1" s="9" t="s">
        <v>13319</v>
      </c>
      <c r="PPK1" s="9" t="s">
        <v>13320</v>
      </c>
      <c r="PPL1" s="9" t="s">
        <v>13321</v>
      </c>
      <c r="PPM1" s="9" t="s">
        <v>13322</v>
      </c>
      <c r="PPN1" s="9" t="s">
        <v>13323</v>
      </c>
      <c r="PPO1" s="9" t="s">
        <v>13324</v>
      </c>
      <c r="PPP1" s="9" t="s">
        <v>13325</v>
      </c>
      <c r="PPQ1" s="9" t="s">
        <v>13326</v>
      </c>
      <c r="PPR1" s="9" t="s">
        <v>13327</v>
      </c>
      <c r="PPS1" s="9" t="s">
        <v>13328</v>
      </c>
      <c r="PPT1" s="9" t="s">
        <v>13329</v>
      </c>
      <c r="PPU1" s="9" t="s">
        <v>13330</v>
      </c>
      <c r="PPV1" s="9" t="s">
        <v>13331</v>
      </c>
      <c r="PPW1" s="9" t="s">
        <v>13332</v>
      </c>
      <c r="PPX1" s="9" t="s">
        <v>13333</v>
      </c>
      <c r="PPY1" s="9" t="s">
        <v>13334</v>
      </c>
      <c r="PPZ1" s="9" t="s">
        <v>13335</v>
      </c>
      <c r="PQA1" s="9" t="s">
        <v>13336</v>
      </c>
      <c r="PQB1" s="9" t="s">
        <v>13337</v>
      </c>
      <c r="PQC1" s="9" t="s">
        <v>13338</v>
      </c>
      <c r="PQD1" s="9" t="s">
        <v>13339</v>
      </c>
      <c r="PQE1" s="9" t="s">
        <v>13340</v>
      </c>
      <c r="PQF1" s="9" t="s">
        <v>13341</v>
      </c>
      <c r="PQG1" s="9" t="s">
        <v>13342</v>
      </c>
      <c r="PQH1" s="9" t="s">
        <v>13343</v>
      </c>
      <c r="PQI1" s="9" t="s">
        <v>13344</v>
      </c>
      <c r="PQJ1" s="9" t="s">
        <v>13345</v>
      </c>
      <c r="PQK1" s="9" t="s">
        <v>13346</v>
      </c>
      <c r="PQL1" s="9" t="s">
        <v>13347</v>
      </c>
      <c r="PQM1" s="9" t="s">
        <v>13348</v>
      </c>
      <c r="PQN1" s="9" t="s">
        <v>13349</v>
      </c>
      <c r="PQO1" s="9" t="s">
        <v>13350</v>
      </c>
      <c r="PQP1" s="9" t="s">
        <v>13351</v>
      </c>
      <c r="PQQ1" s="9" t="s">
        <v>13352</v>
      </c>
      <c r="PQR1" s="9" t="s">
        <v>13353</v>
      </c>
      <c r="PQS1" s="9" t="s">
        <v>13354</v>
      </c>
      <c r="PQT1" s="9" t="s">
        <v>13355</v>
      </c>
      <c r="PQU1" s="9" t="s">
        <v>13356</v>
      </c>
      <c r="PQV1" s="9" t="s">
        <v>13357</v>
      </c>
      <c r="PQW1" s="9" t="s">
        <v>13358</v>
      </c>
      <c r="PQX1" s="9" t="s">
        <v>13359</v>
      </c>
      <c r="PQY1" s="9" t="s">
        <v>13360</v>
      </c>
      <c r="PQZ1" s="9" t="s">
        <v>13361</v>
      </c>
      <c r="PRA1" s="9" t="s">
        <v>13362</v>
      </c>
      <c r="PRB1" s="9" t="s">
        <v>13363</v>
      </c>
      <c r="PRC1" s="9" t="s">
        <v>13364</v>
      </c>
      <c r="PRD1" s="9" t="s">
        <v>13365</v>
      </c>
      <c r="PRE1" s="9" t="s">
        <v>13366</v>
      </c>
      <c r="PRF1" s="9" t="s">
        <v>13367</v>
      </c>
      <c r="PRG1" s="9" t="s">
        <v>13368</v>
      </c>
      <c r="PRH1" s="9" t="s">
        <v>13369</v>
      </c>
      <c r="PRI1" s="9" t="s">
        <v>13370</v>
      </c>
      <c r="PRJ1" s="9" t="s">
        <v>13371</v>
      </c>
      <c r="PRK1" s="9" t="s">
        <v>13372</v>
      </c>
      <c r="PRL1" s="9" t="s">
        <v>13373</v>
      </c>
      <c r="PRM1" s="9" t="s">
        <v>13374</v>
      </c>
      <c r="PRN1" s="9" t="s">
        <v>13375</v>
      </c>
      <c r="PRO1" s="9" t="s">
        <v>13376</v>
      </c>
      <c r="PRP1" s="9" t="s">
        <v>13377</v>
      </c>
      <c r="PRQ1" s="9" t="s">
        <v>13378</v>
      </c>
      <c r="PRR1" s="9" t="s">
        <v>13379</v>
      </c>
      <c r="PRS1" s="9" t="s">
        <v>13380</v>
      </c>
      <c r="PRT1" s="9" t="s">
        <v>13381</v>
      </c>
      <c r="PRU1" s="9" t="s">
        <v>13382</v>
      </c>
      <c r="PRV1" s="9" t="s">
        <v>13383</v>
      </c>
      <c r="PRW1" s="9" t="s">
        <v>13384</v>
      </c>
      <c r="PRX1" s="9" t="s">
        <v>13385</v>
      </c>
      <c r="PRY1" s="9" t="s">
        <v>13386</v>
      </c>
      <c r="PRZ1" s="9" t="s">
        <v>13387</v>
      </c>
      <c r="PSA1" s="9" t="s">
        <v>13388</v>
      </c>
      <c r="PSB1" s="9" t="s">
        <v>13389</v>
      </c>
      <c r="PSC1" s="9" t="s">
        <v>13390</v>
      </c>
      <c r="PSD1" s="9" t="s">
        <v>13391</v>
      </c>
      <c r="PSE1" s="9" t="s">
        <v>13392</v>
      </c>
      <c r="PSF1" s="9" t="s">
        <v>13393</v>
      </c>
      <c r="PSG1" s="9" t="s">
        <v>13394</v>
      </c>
      <c r="PSH1" s="9" t="s">
        <v>13395</v>
      </c>
      <c r="PSI1" s="9" t="s">
        <v>13396</v>
      </c>
      <c r="PSJ1" s="9" t="s">
        <v>13397</v>
      </c>
      <c r="PSK1" s="9" t="s">
        <v>13398</v>
      </c>
      <c r="PSL1" s="9" t="s">
        <v>13399</v>
      </c>
      <c r="PSM1" s="9" t="s">
        <v>13400</v>
      </c>
      <c r="PSN1" s="9" t="s">
        <v>13401</v>
      </c>
      <c r="PSO1" s="9" t="s">
        <v>13402</v>
      </c>
      <c r="PSP1" s="9" t="s">
        <v>13403</v>
      </c>
      <c r="PSQ1" s="9" t="s">
        <v>13404</v>
      </c>
      <c r="PSR1" s="9" t="s">
        <v>13405</v>
      </c>
      <c r="PSS1" s="9" t="s">
        <v>13406</v>
      </c>
      <c r="PST1" s="9" t="s">
        <v>13407</v>
      </c>
      <c r="PSU1" s="9" t="s">
        <v>13408</v>
      </c>
      <c r="PSV1" s="9" t="s">
        <v>13409</v>
      </c>
      <c r="PSW1" s="9" t="s">
        <v>13410</v>
      </c>
      <c r="PSX1" s="9" t="s">
        <v>13411</v>
      </c>
      <c r="PSY1" s="9" t="s">
        <v>13412</v>
      </c>
      <c r="PSZ1" s="9" t="s">
        <v>13413</v>
      </c>
      <c r="PTA1" s="9" t="s">
        <v>13414</v>
      </c>
      <c r="PTB1" s="9" t="s">
        <v>13415</v>
      </c>
      <c r="PTC1" s="9" t="s">
        <v>13416</v>
      </c>
      <c r="PTD1" s="9" t="s">
        <v>13417</v>
      </c>
      <c r="PTE1" s="9" t="s">
        <v>13418</v>
      </c>
      <c r="PTF1" s="9" t="s">
        <v>13419</v>
      </c>
      <c r="PTG1" s="9" t="s">
        <v>13420</v>
      </c>
      <c r="PTH1" s="9" t="s">
        <v>13421</v>
      </c>
      <c r="PTI1" s="9" t="s">
        <v>13422</v>
      </c>
      <c r="PTJ1" s="9" t="s">
        <v>13423</v>
      </c>
      <c r="PTK1" s="9" t="s">
        <v>13424</v>
      </c>
      <c r="PTL1" s="9" t="s">
        <v>13425</v>
      </c>
      <c r="PTM1" s="9" t="s">
        <v>13426</v>
      </c>
      <c r="PTN1" s="9" t="s">
        <v>13427</v>
      </c>
      <c r="PTO1" s="9" t="s">
        <v>13428</v>
      </c>
      <c r="PTP1" s="9" t="s">
        <v>13429</v>
      </c>
      <c r="PTQ1" s="9" t="s">
        <v>13430</v>
      </c>
      <c r="PTR1" s="9" t="s">
        <v>13431</v>
      </c>
      <c r="PTS1" s="9" t="s">
        <v>13432</v>
      </c>
      <c r="PTT1" s="9" t="s">
        <v>13433</v>
      </c>
      <c r="PTU1" s="9" t="s">
        <v>13434</v>
      </c>
      <c r="PTV1" s="9" t="s">
        <v>13435</v>
      </c>
      <c r="PTW1" s="9" t="s">
        <v>13436</v>
      </c>
      <c r="PTX1" s="9" t="s">
        <v>13437</v>
      </c>
      <c r="PTY1" s="9" t="s">
        <v>13438</v>
      </c>
      <c r="PTZ1" s="9" t="s">
        <v>13439</v>
      </c>
      <c r="PUA1" s="9" t="s">
        <v>13440</v>
      </c>
      <c r="PUB1" s="9" t="s">
        <v>13441</v>
      </c>
      <c r="PUC1" s="9" t="s">
        <v>13442</v>
      </c>
      <c r="PUD1" s="9" t="s">
        <v>13443</v>
      </c>
      <c r="PUE1" s="9" t="s">
        <v>13444</v>
      </c>
      <c r="PUF1" s="9" t="s">
        <v>13445</v>
      </c>
      <c r="PUG1" s="9" t="s">
        <v>13446</v>
      </c>
      <c r="PUH1" s="9" t="s">
        <v>13447</v>
      </c>
      <c r="PUI1" s="9" t="s">
        <v>13448</v>
      </c>
      <c r="PUJ1" s="9" t="s">
        <v>13449</v>
      </c>
      <c r="PUK1" s="9" t="s">
        <v>13450</v>
      </c>
      <c r="PUL1" s="9" t="s">
        <v>13451</v>
      </c>
      <c r="PUM1" s="9" t="s">
        <v>13452</v>
      </c>
      <c r="PUN1" s="9" t="s">
        <v>13453</v>
      </c>
      <c r="PUO1" s="9" t="s">
        <v>13454</v>
      </c>
      <c r="PUP1" s="9" t="s">
        <v>13455</v>
      </c>
      <c r="PUQ1" s="9" t="s">
        <v>13456</v>
      </c>
      <c r="PUR1" s="9" t="s">
        <v>13457</v>
      </c>
      <c r="PUS1" s="9" t="s">
        <v>13458</v>
      </c>
      <c r="PUT1" s="9" t="s">
        <v>13459</v>
      </c>
      <c r="PUU1" s="9" t="s">
        <v>13460</v>
      </c>
      <c r="PUV1" s="9" t="s">
        <v>13461</v>
      </c>
      <c r="PUW1" s="9" t="s">
        <v>13462</v>
      </c>
      <c r="PUX1" s="9" t="s">
        <v>13463</v>
      </c>
      <c r="PUY1" s="9" t="s">
        <v>13464</v>
      </c>
      <c r="PUZ1" s="9" t="s">
        <v>13465</v>
      </c>
      <c r="PVA1" s="9" t="s">
        <v>13466</v>
      </c>
      <c r="PVB1" s="9" t="s">
        <v>13467</v>
      </c>
      <c r="PVC1" s="9" t="s">
        <v>13468</v>
      </c>
      <c r="PVD1" s="9" t="s">
        <v>13469</v>
      </c>
      <c r="PVE1" s="9" t="s">
        <v>13470</v>
      </c>
      <c r="PVF1" s="9" t="s">
        <v>13471</v>
      </c>
      <c r="PVG1" s="9" t="s">
        <v>13472</v>
      </c>
      <c r="PVH1" s="9" t="s">
        <v>13473</v>
      </c>
      <c r="PVI1" s="9" t="s">
        <v>13474</v>
      </c>
      <c r="PVJ1" s="9" t="s">
        <v>13475</v>
      </c>
      <c r="PVK1" s="9" t="s">
        <v>13476</v>
      </c>
      <c r="PVL1" s="9" t="s">
        <v>13477</v>
      </c>
      <c r="PVM1" s="9" t="s">
        <v>13478</v>
      </c>
      <c r="PVN1" s="9" t="s">
        <v>13479</v>
      </c>
      <c r="PVO1" s="9" t="s">
        <v>13480</v>
      </c>
      <c r="PVP1" s="9" t="s">
        <v>13481</v>
      </c>
      <c r="PVQ1" s="9" t="s">
        <v>13482</v>
      </c>
      <c r="PVR1" s="9" t="s">
        <v>13483</v>
      </c>
      <c r="PVS1" s="9" t="s">
        <v>13484</v>
      </c>
      <c r="PVT1" s="9" t="s">
        <v>13485</v>
      </c>
      <c r="PVU1" s="9" t="s">
        <v>13486</v>
      </c>
      <c r="PVV1" s="9" t="s">
        <v>13487</v>
      </c>
      <c r="PVW1" s="9" t="s">
        <v>13488</v>
      </c>
      <c r="PVX1" s="9" t="s">
        <v>13489</v>
      </c>
      <c r="PVY1" s="9" t="s">
        <v>13490</v>
      </c>
      <c r="PVZ1" s="9" t="s">
        <v>13491</v>
      </c>
      <c r="PWA1" s="9" t="s">
        <v>13492</v>
      </c>
      <c r="PWB1" s="9" t="s">
        <v>13493</v>
      </c>
      <c r="PWC1" s="9" t="s">
        <v>13494</v>
      </c>
      <c r="PWD1" s="9" t="s">
        <v>13495</v>
      </c>
      <c r="PWE1" s="9" t="s">
        <v>13496</v>
      </c>
      <c r="PWF1" s="9" t="s">
        <v>13497</v>
      </c>
      <c r="PWG1" s="9" t="s">
        <v>13498</v>
      </c>
      <c r="PWH1" s="9" t="s">
        <v>13499</v>
      </c>
      <c r="PWI1" s="9" t="s">
        <v>13500</v>
      </c>
      <c r="PWJ1" s="9" t="s">
        <v>13501</v>
      </c>
      <c r="PWK1" s="9" t="s">
        <v>13502</v>
      </c>
      <c r="PWL1" s="9" t="s">
        <v>13503</v>
      </c>
      <c r="PWM1" s="9" t="s">
        <v>13504</v>
      </c>
      <c r="PWN1" s="9" t="s">
        <v>13505</v>
      </c>
      <c r="PWO1" s="9" t="s">
        <v>13506</v>
      </c>
      <c r="PWP1" s="9" t="s">
        <v>13507</v>
      </c>
      <c r="PWQ1" s="9" t="s">
        <v>13508</v>
      </c>
      <c r="PWR1" s="9" t="s">
        <v>13509</v>
      </c>
      <c r="PWS1" s="9" t="s">
        <v>13510</v>
      </c>
      <c r="PWT1" s="9" t="s">
        <v>13511</v>
      </c>
      <c r="PWU1" s="9" t="s">
        <v>13512</v>
      </c>
      <c r="PWV1" s="9" t="s">
        <v>13513</v>
      </c>
      <c r="PWW1" s="9" t="s">
        <v>13514</v>
      </c>
      <c r="PWX1" s="9" t="s">
        <v>13515</v>
      </c>
      <c r="PWY1" s="9" t="s">
        <v>13516</v>
      </c>
      <c r="PWZ1" s="9" t="s">
        <v>13517</v>
      </c>
      <c r="PXA1" s="9" t="s">
        <v>13518</v>
      </c>
      <c r="PXB1" s="9" t="s">
        <v>13519</v>
      </c>
      <c r="PXC1" s="9" t="s">
        <v>13520</v>
      </c>
      <c r="PXD1" s="9" t="s">
        <v>13521</v>
      </c>
      <c r="PXE1" s="9" t="s">
        <v>13522</v>
      </c>
      <c r="PXF1" s="9" t="s">
        <v>13523</v>
      </c>
      <c r="PXG1" s="9" t="s">
        <v>13524</v>
      </c>
      <c r="PXH1" s="9" t="s">
        <v>13525</v>
      </c>
      <c r="PXI1" s="9" t="s">
        <v>13526</v>
      </c>
      <c r="PXJ1" s="9" t="s">
        <v>13527</v>
      </c>
      <c r="PXK1" s="9" t="s">
        <v>13528</v>
      </c>
      <c r="PXL1" s="9" t="s">
        <v>13529</v>
      </c>
      <c r="PXM1" s="9" t="s">
        <v>13530</v>
      </c>
      <c r="PXN1" s="9" t="s">
        <v>13531</v>
      </c>
      <c r="PXO1" s="9" t="s">
        <v>13532</v>
      </c>
      <c r="PXP1" s="9" t="s">
        <v>13533</v>
      </c>
      <c r="PXQ1" s="9" t="s">
        <v>13534</v>
      </c>
      <c r="PXR1" s="9" t="s">
        <v>13535</v>
      </c>
      <c r="PXS1" s="9" t="s">
        <v>13536</v>
      </c>
      <c r="PXT1" s="9" t="s">
        <v>13537</v>
      </c>
      <c r="PXU1" s="9" t="s">
        <v>13538</v>
      </c>
      <c r="PXV1" s="9" t="s">
        <v>13539</v>
      </c>
      <c r="PXW1" s="9" t="s">
        <v>13540</v>
      </c>
      <c r="PXX1" s="9" t="s">
        <v>13541</v>
      </c>
      <c r="PXY1" s="9" t="s">
        <v>13542</v>
      </c>
      <c r="PXZ1" s="9" t="s">
        <v>13543</v>
      </c>
      <c r="PYA1" s="9" t="s">
        <v>13544</v>
      </c>
      <c r="PYB1" s="9" t="s">
        <v>13545</v>
      </c>
      <c r="PYC1" s="9" t="s">
        <v>13546</v>
      </c>
      <c r="PYD1" s="9" t="s">
        <v>13547</v>
      </c>
      <c r="PYE1" s="9" t="s">
        <v>13548</v>
      </c>
      <c r="PYF1" s="9" t="s">
        <v>13549</v>
      </c>
      <c r="PYG1" s="9" t="s">
        <v>13550</v>
      </c>
      <c r="PYH1" s="9" t="s">
        <v>13551</v>
      </c>
      <c r="PYI1" s="9" t="s">
        <v>13552</v>
      </c>
      <c r="PYJ1" s="9" t="s">
        <v>13553</v>
      </c>
      <c r="PYK1" s="9" t="s">
        <v>13554</v>
      </c>
      <c r="PYL1" s="9" t="s">
        <v>13555</v>
      </c>
      <c r="PYM1" s="9" t="s">
        <v>13556</v>
      </c>
      <c r="PYN1" s="9" t="s">
        <v>13557</v>
      </c>
      <c r="PYO1" s="9" t="s">
        <v>13558</v>
      </c>
      <c r="PYP1" s="9" t="s">
        <v>13559</v>
      </c>
      <c r="PYQ1" s="9" t="s">
        <v>13560</v>
      </c>
      <c r="PYR1" s="9" t="s">
        <v>13561</v>
      </c>
      <c r="PYS1" s="9" t="s">
        <v>13562</v>
      </c>
      <c r="PYT1" s="9" t="s">
        <v>13563</v>
      </c>
      <c r="PYU1" s="9" t="s">
        <v>13564</v>
      </c>
      <c r="PYV1" s="9" t="s">
        <v>13565</v>
      </c>
      <c r="PYW1" s="9" t="s">
        <v>13566</v>
      </c>
      <c r="PYX1" s="9" t="s">
        <v>13567</v>
      </c>
      <c r="PYY1" s="9" t="s">
        <v>13568</v>
      </c>
      <c r="PYZ1" s="9" t="s">
        <v>13569</v>
      </c>
      <c r="PZA1" s="9" t="s">
        <v>13570</v>
      </c>
      <c r="PZB1" s="9" t="s">
        <v>13571</v>
      </c>
      <c r="PZC1" s="9" t="s">
        <v>13572</v>
      </c>
      <c r="PZD1" s="9" t="s">
        <v>13573</v>
      </c>
      <c r="PZE1" s="9" t="s">
        <v>13574</v>
      </c>
      <c r="PZF1" s="9" t="s">
        <v>13575</v>
      </c>
      <c r="PZG1" s="9" t="s">
        <v>13576</v>
      </c>
      <c r="PZH1" s="9" t="s">
        <v>13577</v>
      </c>
      <c r="PZI1" s="9" t="s">
        <v>13578</v>
      </c>
      <c r="PZJ1" s="9" t="s">
        <v>13579</v>
      </c>
      <c r="PZK1" s="9" t="s">
        <v>13580</v>
      </c>
      <c r="PZL1" s="9" t="s">
        <v>13581</v>
      </c>
      <c r="PZM1" s="9" t="s">
        <v>13582</v>
      </c>
      <c r="PZN1" s="9" t="s">
        <v>13583</v>
      </c>
      <c r="PZO1" s="9" t="s">
        <v>13584</v>
      </c>
      <c r="PZP1" s="9" t="s">
        <v>13585</v>
      </c>
      <c r="PZQ1" s="9" t="s">
        <v>13586</v>
      </c>
      <c r="PZR1" s="9" t="s">
        <v>13587</v>
      </c>
      <c r="PZS1" s="9" t="s">
        <v>13588</v>
      </c>
      <c r="PZT1" s="9" t="s">
        <v>13589</v>
      </c>
      <c r="PZU1" s="9" t="s">
        <v>13590</v>
      </c>
      <c r="PZV1" s="9" t="s">
        <v>13591</v>
      </c>
      <c r="PZW1" s="9" t="s">
        <v>13592</v>
      </c>
      <c r="PZX1" s="9" t="s">
        <v>13593</v>
      </c>
      <c r="PZY1" s="9" t="s">
        <v>13594</v>
      </c>
      <c r="PZZ1" s="9" t="s">
        <v>13595</v>
      </c>
      <c r="QAA1" s="9" t="s">
        <v>13596</v>
      </c>
      <c r="QAB1" s="9" t="s">
        <v>13597</v>
      </c>
      <c r="QAC1" s="9" t="s">
        <v>13598</v>
      </c>
      <c r="QAD1" s="9" t="s">
        <v>13599</v>
      </c>
      <c r="QAE1" s="9" t="s">
        <v>13600</v>
      </c>
      <c r="QAF1" s="9" t="s">
        <v>13601</v>
      </c>
      <c r="QAG1" s="9" t="s">
        <v>13602</v>
      </c>
      <c r="QAH1" s="9" t="s">
        <v>13603</v>
      </c>
      <c r="QAI1" s="9" t="s">
        <v>13604</v>
      </c>
      <c r="QAJ1" s="9" t="s">
        <v>13605</v>
      </c>
      <c r="QAK1" s="9" t="s">
        <v>13606</v>
      </c>
      <c r="QAL1" s="9" t="s">
        <v>13607</v>
      </c>
      <c r="QAM1" s="9" t="s">
        <v>13608</v>
      </c>
      <c r="QAN1" s="9" t="s">
        <v>13609</v>
      </c>
      <c r="QAO1" s="9" t="s">
        <v>13610</v>
      </c>
      <c r="QAP1" s="9" t="s">
        <v>13611</v>
      </c>
      <c r="QAQ1" s="9" t="s">
        <v>13612</v>
      </c>
      <c r="QAR1" s="9" t="s">
        <v>13613</v>
      </c>
      <c r="QAS1" s="9" t="s">
        <v>13614</v>
      </c>
      <c r="QAT1" s="9" t="s">
        <v>13615</v>
      </c>
      <c r="QAU1" s="9" t="s">
        <v>13616</v>
      </c>
      <c r="QAV1" s="9" t="s">
        <v>13617</v>
      </c>
      <c r="QAW1" s="9" t="s">
        <v>13618</v>
      </c>
      <c r="QAX1" s="9" t="s">
        <v>13619</v>
      </c>
      <c r="QAY1" s="9" t="s">
        <v>13620</v>
      </c>
      <c r="QAZ1" s="9" t="s">
        <v>13621</v>
      </c>
      <c r="QBA1" s="9" t="s">
        <v>13622</v>
      </c>
      <c r="QBB1" s="9" t="s">
        <v>13623</v>
      </c>
      <c r="QBC1" s="9" t="s">
        <v>13624</v>
      </c>
      <c r="QBD1" s="9" t="s">
        <v>13625</v>
      </c>
      <c r="QBE1" s="9" t="s">
        <v>13626</v>
      </c>
      <c r="QBF1" s="9" t="s">
        <v>13627</v>
      </c>
      <c r="QBG1" s="9" t="s">
        <v>13628</v>
      </c>
      <c r="QBH1" s="9" t="s">
        <v>13629</v>
      </c>
      <c r="QBI1" s="9" t="s">
        <v>13630</v>
      </c>
      <c r="QBJ1" s="9" t="s">
        <v>13631</v>
      </c>
      <c r="QBK1" s="9" t="s">
        <v>13632</v>
      </c>
      <c r="QBL1" s="9" t="s">
        <v>13633</v>
      </c>
      <c r="QBM1" s="9" t="s">
        <v>13634</v>
      </c>
      <c r="QBN1" s="9" t="s">
        <v>13635</v>
      </c>
      <c r="QBO1" s="9" t="s">
        <v>13636</v>
      </c>
      <c r="QBP1" s="9" t="s">
        <v>13637</v>
      </c>
      <c r="QBQ1" s="9" t="s">
        <v>13638</v>
      </c>
      <c r="QBR1" s="9" t="s">
        <v>13639</v>
      </c>
      <c r="QBS1" s="9" t="s">
        <v>13640</v>
      </c>
      <c r="QBT1" s="9" t="s">
        <v>13641</v>
      </c>
      <c r="QBU1" s="9" t="s">
        <v>13642</v>
      </c>
      <c r="QBV1" s="9" t="s">
        <v>13643</v>
      </c>
      <c r="QBW1" s="9" t="s">
        <v>13644</v>
      </c>
      <c r="QBX1" s="9" t="s">
        <v>13645</v>
      </c>
      <c r="QBY1" s="9" t="s">
        <v>13646</v>
      </c>
      <c r="QBZ1" s="9" t="s">
        <v>13647</v>
      </c>
      <c r="QCA1" s="9" t="s">
        <v>13648</v>
      </c>
      <c r="QCB1" s="9" t="s">
        <v>13649</v>
      </c>
      <c r="QCC1" s="9" t="s">
        <v>13650</v>
      </c>
      <c r="QCD1" s="9" t="s">
        <v>13651</v>
      </c>
      <c r="QCE1" s="9" t="s">
        <v>13652</v>
      </c>
      <c r="QCF1" s="9" t="s">
        <v>13653</v>
      </c>
      <c r="QCG1" s="9" t="s">
        <v>13654</v>
      </c>
      <c r="QCH1" s="9" t="s">
        <v>13655</v>
      </c>
      <c r="QCI1" s="9" t="s">
        <v>13656</v>
      </c>
      <c r="QCJ1" s="9" t="s">
        <v>13657</v>
      </c>
      <c r="QCK1" s="9" t="s">
        <v>13658</v>
      </c>
      <c r="QCL1" s="9" t="s">
        <v>13659</v>
      </c>
      <c r="QCM1" s="9" t="s">
        <v>13660</v>
      </c>
      <c r="QCN1" s="9" t="s">
        <v>13661</v>
      </c>
      <c r="QCO1" s="9" t="s">
        <v>13662</v>
      </c>
      <c r="QCP1" s="9" t="s">
        <v>13663</v>
      </c>
      <c r="QCQ1" s="9" t="s">
        <v>13664</v>
      </c>
      <c r="QCR1" s="9" t="s">
        <v>13665</v>
      </c>
      <c r="QCS1" s="9" t="s">
        <v>13666</v>
      </c>
      <c r="QCT1" s="9" t="s">
        <v>13667</v>
      </c>
      <c r="QCU1" s="9" t="s">
        <v>13668</v>
      </c>
      <c r="QCV1" s="9" t="s">
        <v>13669</v>
      </c>
      <c r="QCW1" s="9" t="s">
        <v>13670</v>
      </c>
      <c r="QCX1" s="9" t="s">
        <v>13671</v>
      </c>
      <c r="QCY1" s="9" t="s">
        <v>13672</v>
      </c>
      <c r="QCZ1" s="9" t="s">
        <v>13673</v>
      </c>
      <c r="QDA1" s="9" t="s">
        <v>13674</v>
      </c>
      <c r="QDB1" s="9" t="s">
        <v>13675</v>
      </c>
      <c r="QDC1" s="9" t="s">
        <v>13676</v>
      </c>
      <c r="QDD1" s="9" t="s">
        <v>13677</v>
      </c>
      <c r="QDE1" s="9" t="s">
        <v>13678</v>
      </c>
      <c r="QDF1" s="9" t="s">
        <v>13679</v>
      </c>
      <c r="QDG1" s="9" t="s">
        <v>13680</v>
      </c>
      <c r="QDH1" s="9" t="s">
        <v>13681</v>
      </c>
      <c r="QDI1" s="9" t="s">
        <v>13682</v>
      </c>
      <c r="QDJ1" s="9" t="s">
        <v>13683</v>
      </c>
      <c r="QDK1" s="9" t="s">
        <v>13684</v>
      </c>
      <c r="QDL1" s="9" t="s">
        <v>13685</v>
      </c>
      <c r="QDM1" s="9" t="s">
        <v>13686</v>
      </c>
      <c r="QDN1" s="9" t="s">
        <v>13687</v>
      </c>
      <c r="QDO1" s="9" t="s">
        <v>13688</v>
      </c>
      <c r="QDP1" s="9" t="s">
        <v>13689</v>
      </c>
      <c r="QDQ1" s="9" t="s">
        <v>13690</v>
      </c>
      <c r="QDR1" s="9" t="s">
        <v>13691</v>
      </c>
      <c r="QDS1" s="9" t="s">
        <v>13692</v>
      </c>
      <c r="QDT1" s="9" t="s">
        <v>13693</v>
      </c>
      <c r="QDU1" s="9" t="s">
        <v>13694</v>
      </c>
      <c r="QDV1" s="9" t="s">
        <v>13695</v>
      </c>
      <c r="QDW1" s="9" t="s">
        <v>13696</v>
      </c>
      <c r="QDX1" s="9" t="s">
        <v>13697</v>
      </c>
      <c r="QDY1" s="9" t="s">
        <v>13698</v>
      </c>
      <c r="QDZ1" s="9" t="s">
        <v>13699</v>
      </c>
      <c r="QEA1" s="9" t="s">
        <v>13700</v>
      </c>
      <c r="QEB1" s="9" t="s">
        <v>13701</v>
      </c>
      <c r="QEC1" s="9" t="s">
        <v>13702</v>
      </c>
      <c r="QED1" s="9" t="s">
        <v>13703</v>
      </c>
      <c r="QEE1" s="9" t="s">
        <v>13704</v>
      </c>
      <c r="QEF1" s="9" t="s">
        <v>13705</v>
      </c>
      <c r="QEG1" s="9" t="s">
        <v>13706</v>
      </c>
      <c r="QEH1" s="9" t="s">
        <v>13707</v>
      </c>
      <c r="QEI1" s="9" t="s">
        <v>13708</v>
      </c>
      <c r="QEJ1" s="9" t="s">
        <v>13709</v>
      </c>
      <c r="QEK1" s="9" t="s">
        <v>13710</v>
      </c>
      <c r="QEL1" s="9" t="s">
        <v>13711</v>
      </c>
      <c r="QEM1" s="9" t="s">
        <v>13712</v>
      </c>
      <c r="QEN1" s="9" t="s">
        <v>13713</v>
      </c>
      <c r="QEO1" s="9" t="s">
        <v>13714</v>
      </c>
      <c r="QEP1" s="9" t="s">
        <v>13715</v>
      </c>
      <c r="QEQ1" s="9" t="s">
        <v>13716</v>
      </c>
      <c r="QER1" s="9" t="s">
        <v>13717</v>
      </c>
      <c r="QES1" s="9" t="s">
        <v>13718</v>
      </c>
      <c r="QET1" s="9" t="s">
        <v>13719</v>
      </c>
      <c r="QEU1" s="9" t="s">
        <v>13720</v>
      </c>
      <c r="QEV1" s="9" t="s">
        <v>13721</v>
      </c>
      <c r="QEW1" s="9" t="s">
        <v>13722</v>
      </c>
      <c r="QEX1" s="9" t="s">
        <v>13723</v>
      </c>
      <c r="QEY1" s="9" t="s">
        <v>13724</v>
      </c>
      <c r="QEZ1" s="9" t="s">
        <v>13725</v>
      </c>
      <c r="QFA1" s="9" t="s">
        <v>13726</v>
      </c>
      <c r="QFB1" s="9" t="s">
        <v>13727</v>
      </c>
      <c r="QFC1" s="9" t="s">
        <v>13728</v>
      </c>
      <c r="QFD1" s="9" t="s">
        <v>13729</v>
      </c>
      <c r="QFE1" s="9" t="s">
        <v>13730</v>
      </c>
      <c r="QFF1" s="9" t="s">
        <v>13731</v>
      </c>
      <c r="QFG1" s="9" t="s">
        <v>13732</v>
      </c>
      <c r="QFH1" s="9" t="s">
        <v>13733</v>
      </c>
      <c r="QFI1" s="9" t="s">
        <v>13734</v>
      </c>
      <c r="QFJ1" s="9" t="s">
        <v>13735</v>
      </c>
      <c r="QFK1" s="9" t="s">
        <v>13736</v>
      </c>
      <c r="QFL1" s="9" t="s">
        <v>13737</v>
      </c>
      <c r="QFM1" s="9" t="s">
        <v>13738</v>
      </c>
      <c r="QFN1" s="9" t="s">
        <v>13739</v>
      </c>
      <c r="QFO1" s="9" t="s">
        <v>13740</v>
      </c>
      <c r="QFP1" s="9" t="s">
        <v>13741</v>
      </c>
      <c r="QFQ1" s="9" t="s">
        <v>13742</v>
      </c>
      <c r="QFR1" s="9" t="s">
        <v>13743</v>
      </c>
      <c r="QFS1" s="9" t="s">
        <v>13744</v>
      </c>
      <c r="QFT1" s="9" t="s">
        <v>13745</v>
      </c>
      <c r="QFU1" s="9" t="s">
        <v>13746</v>
      </c>
      <c r="QFV1" s="9" t="s">
        <v>13747</v>
      </c>
      <c r="QFW1" s="9" t="s">
        <v>13748</v>
      </c>
      <c r="QFX1" s="9" t="s">
        <v>13749</v>
      </c>
      <c r="QFY1" s="9" t="s">
        <v>13750</v>
      </c>
      <c r="QFZ1" s="9" t="s">
        <v>13751</v>
      </c>
      <c r="QGA1" s="9" t="s">
        <v>13752</v>
      </c>
      <c r="QGB1" s="9" t="s">
        <v>13753</v>
      </c>
      <c r="QGC1" s="9" t="s">
        <v>13754</v>
      </c>
      <c r="QGD1" s="9" t="s">
        <v>13755</v>
      </c>
      <c r="QGE1" s="9" t="s">
        <v>13756</v>
      </c>
      <c r="QGF1" s="9" t="s">
        <v>13757</v>
      </c>
      <c r="QGG1" s="9" t="s">
        <v>13758</v>
      </c>
      <c r="QGH1" s="9" t="s">
        <v>13759</v>
      </c>
      <c r="QGI1" s="9" t="s">
        <v>13760</v>
      </c>
      <c r="QGJ1" s="9" t="s">
        <v>13761</v>
      </c>
      <c r="QGK1" s="9" t="s">
        <v>13762</v>
      </c>
      <c r="QGL1" s="9" t="s">
        <v>13763</v>
      </c>
      <c r="QGM1" s="9" t="s">
        <v>13764</v>
      </c>
      <c r="QGN1" s="9" t="s">
        <v>13765</v>
      </c>
      <c r="QGO1" s="9" t="s">
        <v>13766</v>
      </c>
      <c r="QGP1" s="9" t="s">
        <v>13767</v>
      </c>
      <c r="QGQ1" s="9" t="s">
        <v>13768</v>
      </c>
      <c r="QGR1" s="9" t="s">
        <v>13769</v>
      </c>
      <c r="QGS1" s="9" t="s">
        <v>13770</v>
      </c>
      <c r="QGT1" s="9" t="s">
        <v>13771</v>
      </c>
      <c r="QGU1" s="9" t="s">
        <v>13772</v>
      </c>
      <c r="QGV1" s="9" t="s">
        <v>13773</v>
      </c>
      <c r="QGW1" s="9" t="s">
        <v>13774</v>
      </c>
      <c r="QGX1" s="9" t="s">
        <v>13775</v>
      </c>
      <c r="QGY1" s="9" t="s">
        <v>13776</v>
      </c>
      <c r="QGZ1" s="9" t="s">
        <v>13777</v>
      </c>
      <c r="QHA1" s="9" t="s">
        <v>13778</v>
      </c>
      <c r="QHB1" s="9" t="s">
        <v>13779</v>
      </c>
      <c r="QHC1" s="9" t="s">
        <v>13780</v>
      </c>
      <c r="QHD1" s="9" t="s">
        <v>13781</v>
      </c>
      <c r="QHE1" s="9" t="s">
        <v>13782</v>
      </c>
      <c r="QHF1" s="9" t="s">
        <v>13783</v>
      </c>
      <c r="QHG1" s="9" t="s">
        <v>13784</v>
      </c>
      <c r="QHH1" s="9" t="s">
        <v>13785</v>
      </c>
      <c r="QHI1" s="9" t="s">
        <v>13786</v>
      </c>
      <c r="QHJ1" s="9" t="s">
        <v>13787</v>
      </c>
      <c r="QHK1" s="9" t="s">
        <v>13788</v>
      </c>
      <c r="QHL1" s="9" t="s">
        <v>13789</v>
      </c>
      <c r="QHM1" s="9" t="s">
        <v>13790</v>
      </c>
      <c r="QHN1" s="9" t="s">
        <v>13791</v>
      </c>
      <c r="QHO1" s="9" t="s">
        <v>13792</v>
      </c>
      <c r="QHP1" s="9" t="s">
        <v>13793</v>
      </c>
      <c r="QHQ1" s="9" t="s">
        <v>13794</v>
      </c>
      <c r="QHR1" s="9" t="s">
        <v>13795</v>
      </c>
      <c r="QHS1" s="9" t="s">
        <v>13796</v>
      </c>
      <c r="QHT1" s="9" t="s">
        <v>13797</v>
      </c>
      <c r="QHU1" s="9" t="s">
        <v>13798</v>
      </c>
      <c r="QHV1" s="9" t="s">
        <v>13799</v>
      </c>
      <c r="QHW1" s="9" t="s">
        <v>13800</v>
      </c>
      <c r="QHX1" s="9" t="s">
        <v>13801</v>
      </c>
      <c r="QHY1" s="9" t="s">
        <v>13802</v>
      </c>
      <c r="QHZ1" s="9" t="s">
        <v>13803</v>
      </c>
      <c r="QIA1" s="9" t="s">
        <v>13804</v>
      </c>
      <c r="QIB1" s="9" t="s">
        <v>13805</v>
      </c>
      <c r="QIC1" s="9" t="s">
        <v>13806</v>
      </c>
      <c r="QID1" s="9" t="s">
        <v>13807</v>
      </c>
      <c r="QIE1" s="9" t="s">
        <v>13808</v>
      </c>
      <c r="QIF1" s="9" t="s">
        <v>13809</v>
      </c>
      <c r="QIG1" s="9" t="s">
        <v>13810</v>
      </c>
      <c r="QIH1" s="9" t="s">
        <v>13811</v>
      </c>
      <c r="QII1" s="9" t="s">
        <v>13812</v>
      </c>
      <c r="QIJ1" s="9" t="s">
        <v>13813</v>
      </c>
      <c r="QIK1" s="9" t="s">
        <v>13814</v>
      </c>
      <c r="QIL1" s="9" t="s">
        <v>13815</v>
      </c>
      <c r="QIM1" s="9" t="s">
        <v>13816</v>
      </c>
      <c r="QIN1" s="9" t="s">
        <v>13817</v>
      </c>
      <c r="QIO1" s="9" t="s">
        <v>13818</v>
      </c>
      <c r="QIP1" s="9" t="s">
        <v>13819</v>
      </c>
      <c r="QIQ1" s="9" t="s">
        <v>13820</v>
      </c>
      <c r="QIR1" s="9" t="s">
        <v>13821</v>
      </c>
      <c r="QIS1" s="9" t="s">
        <v>13822</v>
      </c>
      <c r="QIT1" s="9" t="s">
        <v>13823</v>
      </c>
      <c r="QIU1" s="9" t="s">
        <v>13824</v>
      </c>
      <c r="QIV1" s="9" t="s">
        <v>13825</v>
      </c>
      <c r="QIW1" s="9" t="s">
        <v>13826</v>
      </c>
      <c r="QIX1" s="9" t="s">
        <v>13827</v>
      </c>
      <c r="QIY1" s="9" t="s">
        <v>13828</v>
      </c>
      <c r="QIZ1" s="9" t="s">
        <v>13829</v>
      </c>
      <c r="QJA1" s="9" t="s">
        <v>13830</v>
      </c>
      <c r="QJB1" s="9" t="s">
        <v>13831</v>
      </c>
      <c r="QJC1" s="9" t="s">
        <v>13832</v>
      </c>
      <c r="QJD1" s="9" t="s">
        <v>13833</v>
      </c>
      <c r="QJE1" s="9" t="s">
        <v>13834</v>
      </c>
      <c r="QJF1" s="9" t="s">
        <v>13835</v>
      </c>
      <c r="QJG1" s="9" t="s">
        <v>13836</v>
      </c>
      <c r="QJH1" s="9" t="s">
        <v>13837</v>
      </c>
      <c r="QJI1" s="9" t="s">
        <v>13838</v>
      </c>
      <c r="QJJ1" s="9" t="s">
        <v>13839</v>
      </c>
      <c r="QJK1" s="9" t="s">
        <v>13840</v>
      </c>
      <c r="QJL1" s="9" t="s">
        <v>13841</v>
      </c>
      <c r="QJM1" s="9" t="s">
        <v>13842</v>
      </c>
      <c r="QJN1" s="9" t="s">
        <v>13843</v>
      </c>
      <c r="QJO1" s="9" t="s">
        <v>13844</v>
      </c>
      <c r="QJP1" s="9" t="s">
        <v>13845</v>
      </c>
      <c r="QJQ1" s="9" t="s">
        <v>13846</v>
      </c>
      <c r="QJR1" s="9" t="s">
        <v>13847</v>
      </c>
      <c r="QJS1" s="9" t="s">
        <v>13848</v>
      </c>
      <c r="QJT1" s="9" t="s">
        <v>13849</v>
      </c>
      <c r="QJU1" s="9" t="s">
        <v>13850</v>
      </c>
      <c r="QJV1" s="9" t="s">
        <v>13851</v>
      </c>
      <c r="QJW1" s="9" t="s">
        <v>13852</v>
      </c>
      <c r="QJX1" s="9" t="s">
        <v>13853</v>
      </c>
      <c r="QJY1" s="9" t="s">
        <v>13854</v>
      </c>
      <c r="QJZ1" s="9" t="s">
        <v>13855</v>
      </c>
      <c r="QKA1" s="9" t="s">
        <v>13856</v>
      </c>
      <c r="QKB1" s="9" t="s">
        <v>13857</v>
      </c>
      <c r="QKC1" s="9" t="s">
        <v>13858</v>
      </c>
      <c r="QKD1" s="9" t="s">
        <v>13859</v>
      </c>
      <c r="QKE1" s="9" t="s">
        <v>13860</v>
      </c>
      <c r="QKF1" s="9" t="s">
        <v>13861</v>
      </c>
      <c r="QKG1" s="9" t="s">
        <v>13862</v>
      </c>
      <c r="QKH1" s="9" t="s">
        <v>13863</v>
      </c>
      <c r="QKI1" s="9" t="s">
        <v>13864</v>
      </c>
      <c r="QKJ1" s="9" t="s">
        <v>13865</v>
      </c>
      <c r="QKK1" s="9" t="s">
        <v>13866</v>
      </c>
      <c r="QKL1" s="9" t="s">
        <v>13867</v>
      </c>
      <c r="QKM1" s="9" t="s">
        <v>13868</v>
      </c>
      <c r="QKN1" s="9" t="s">
        <v>13869</v>
      </c>
      <c r="QKO1" s="9" t="s">
        <v>13870</v>
      </c>
      <c r="QKP1" s="9" t="s">
        <v>13871</v>
      </c>
      <c r="QKQ1" s="9" t="s">
        <v>13872</v>
      </c>
      <c r="QKR1" s="9" t="s">
        <v>13873</v>
      </c>
      <c r="QKS1" s="9" t="s">
        <v>13874</v>
      </c>
      <c r="QKT1" s="9" t="s">
        <v>13875</v>
      </c>
      <c r="QKU1" s="9" t="s">
        <v>13876</v>
      </c>
      <c r="QKV1" s="9" t="s">
        <v>13877</v>
      </c>
      <c r="QKW1" s="9" t="s">
        <v>13878</v>
      </c>
      <c r="QKX1" s="9" t="s">
        <v>13879</v>
      </c>
      <c r="QKY1" s="9" t="s">
        <v>13880</v>
      </c>
      <c r="QKZ1" s="9" t="s">
        <v>13881</v>
      </c>
      <c r="QLA1" s="9" t="s">
        <v>13882</v>
      </c>
      <c r="QLB1" s="9" t="s">
        <v>13883</v>
      </c>
      <c r="QLC1" s="9" t="s">
        <v>13884</v>
      </c>
      <c r="QLD1" s="9" t="s">
        <v>13885</v>
      </c>
      <c r="QLE1" s="9" t="s">
        <v>13886</v>
      </c>
      <c r="QLF1" s="9" t="s">
        <v>13887</v>
      </c>
      <c r="QLG1" s="9" t="s">
        <v>13888</v>
      </c>
      <c r="QLH1" s="9" t="s">
        <v>13889</v>
      </c>
      <c r="QLI1" s="9" t="s">
        <v>13890</v>
      </c>
      <c r="QLJ1" s="9" t="s">
        <v>13891</v>
      </c>
      <c r="QLK1" s="9" t="s">
        <v>13892</v>
      </c>
      <c r="QLL1" s="9" t="s">
        <v>13893</v>
      </c>
      <c r="QLM1" s="9" t="s">
        <v>13894</v>
      </c>
      <c r="QLN1" s="9" t="s">
        <v>13895</v>
      </c>
      <c r="QLO1" s="9" t="s">
        <v>13896</v>
      </c>
      <c r="QLP1" s="9" t="s">
        <v>13897</v>
      </c>
      <c r="QLQ1" s="9" t="s">
        <v>13898</v>
      </c>
      <c r="QLR1" s="9" t="s">
        <v>13899</v>
      </c>
      <c r="QLS1" s="9" t="s">
        <v>13900</v>
      </c>
      <c r="QLT1" s="9" t="s">
        <v>13901</v>
      </c>
      <c r="QLU1" s="9" t="s">
        <v>13902</v>
      </c>
      <c r="QLV1" s="9" t="s">
        <v>13903</v>
      </c>
      <c r="QLW1" s="9" t="s">
        <v>13904</v>
      </c>
      <c r="QLX1" s="9" t="s">
        <v>13905</v>
      </c>
      <c r="QLY1" s="9" t="s">
        <v>13906</v>
      </c>
      <c r="QLZ1" s="9" t="s">
        <v>13907</v>
      </c>
      <c r="QMA1" s="9" t="s">
        <v>13908</v>
      </c>
      <c r="QMB1" s="9" t="s">
        <v>13909</v>
      </c>
      <c r="QMC1" s="9" t="s">
        <v>13910</v>
      </c>
      <c r="QMD1" s="9" t="s">
        <v>13911</v>
      </c>
      <c r="QME1" s="9" t="s">
        <v>13912</v>
      </c>
      <c r="QMF1" s="9" t="s">
        <v>13913</v>
      </c>
      <c r="QMG1" s="9" t="s">
        <v>13914</v>
      </c>
      <c r="QMH1" s="9" t="s">
        <v>13915</v>
      </c>
      <c r="QMI1" s="9" t="s">
        <v>13916</v>
      </c>
      <c r="QMJ1" s="9" t="s">
        <v>13917</v>
      </c>
      <c r="QMK1" s="9" t="s">
        <v>13918</v>
      </c>
      <c r="QML1" s="9" t="s">
        <v>13919</v>
      </c>
      <c r="QMM1" s="9" t="s">
        <v>13920</v>
      </c>
      <c r="QMN1" s="9" t="s">
        <v>13921</v>
      </c>
      <c r="QMO1" s="9" t="s">
        <v>13922</v>
      </c>
      <c r="QMP1" s="9" t="s">
        <v>13923</v>
      </c>
      <c r="QMQ1" s="9" t="s">
        <v>13924</v>
      </c>
      <c r="QMR1" s="9" t="s">
        <v>13925</v>
      </c>
      <c r="QMS1" s="9" t="s">
        <v>13926</v>
      </c>
      <c r="QMT1" s="9" t="s">
        <v>13927</v>
      </c>
      <c r="QMU1" s="9" t="s">
        <v>13928</v>
      </c>
      <c r="QMV1" s="9" t="s">
        <v>13929</v>
      </c>
      <c r="QMW1" s="9" t="s">
        <v>13930</v>
      </c>
      <c r="QMX1" s="9" t="s">
        <v>13931</v>
      </c>
      <c r="QMY1" s="9" t="s">
        <v>13932</v>
      </c>
      <c r="QMZ1" s="9" t="s">
        <v>13933</v>
      </c>
      <c r="QNA1" s="9" t="s">
        <v>13934</v>
      </c>
      <c r="QNB1" s="9" t="s">
        <v>13935</v>
      </c>
      <c r="QNC1" s="9" t="s">
        <v>13936</v>
      </c>
      <c r="QND1" s="9" t="s">
        <v>13937</v>
      </c>
      <c r="QNE1" s="9" t="s">
        <v>13938</v>
      </c>
      <c r="QNF1" s="9" t="s">
        <v>13939</v>
      </c>
      <c r="QNG1" s="9" t="s">
        <v>13940</v>
      </c>
      <c r="QNH1" s="9" t="s">
        <v>13941</v>
      </c>
      <c r="QNI1" s="9" t="s">
        <v>13942</v>
      </c>
      <c r="QNJ1" s="9" t="s">
        <v>13943</v>
      </c>
      <c r="QNK1" s="9" t="s">
        <v>13944</v>
      </c>
      <c r="QNL1" s="9" t="s">
        <v>13945</v>
      </c>
      <c r="QNM1" s="9" t="s">
        <v>13946</v>
      </c>
      <c r="QNN1" s="9" t="s">
        <v>13947</v>
      </c>
      <c r="QNO1" s="9" t="s">
        <v>13948</v>
      </c>
      <c r="QNP1" s="9" t="s">
        <v>13949</v>
      </c>
      <c r="QNQ1" s="9" t="s">
        <v>13950</v>
      </c>
      <c r="QNR1" s="9" t="s">
        <v>13951</v>
      </c>
      <c r="QNS1" s="9" t="s">
        <v>13952</v>
      </c>
      <c r="QNT1" s="9" t="s">
        <v>13953</v>
      </c>
      <c r="QNU1" s="9" t="s">
        <v>13954</v>
      </c>
      <c r="QNV1" s="9" t="s">
        <v>13955</v>
      </c>
      <c r="QNW1" s="9" t="s">
        <v>13956</v>
      </c>
      <c r="QNX1" s="9" t="s">
        <v>13957</v>
      </c>
      <c r="QNY1" s="9" t="s">
        <v>13958</v>
      </c>
      <c r="QNZ1" s="9" t="s">
        <v>13959</v>
      </c>
      <c r="QOA1" s="9" t="s">
        <v>13960</v>
      </c>
      <c r="QOB1" s="9" t="s">
        <v>13961</v>
      </c>
      <c r="QOC1" s="9" t="s">
        <v>13962</v>
      </c>
      <c r="QOD1" s="9" t="s">
        <v>13963</v>
      </c>
      <c r="QOE1" s="9" t="s">
        <v>13964</v>
      </c>
      <c r="QOF1" s="9" t="s">
        <v>13965</v>
      </c>
      <c r="QOG1" s="9" t="s">
        <v>13966</v>
      </c>
      <c r="QOH1" s="9" t="s">
        <v>13967</v>
      </c>
      <c r="QOI1" s="9" t="s">
        <v>13968</v>
      </c>
      <c r="QOJ1" s="9" t="s">
        <v>13969</v>
      </c>
      <c r="QOK1" s="9" t="s">
        <v>13970</v>
      </c>
      <c r="QOL1" s="9" t="s">
        <v>13971</v>
      </c>
      <c r="QOM1" s="9" t="s">
        <v>13972</v>
      </c>
      <c r="QON1" s="9" t="s">
        <v>13973</v>
      </c>
      <c r="QOO1" s="9" t="s">
        <v>13974</v>
      </c>
      <c r="QOP1" s="9" t="s">
        <v>13975</v>
      </c>
      <c r="QOQ1" s="9" t="s">
        <v>13976</v>
      </c>
      <c r="QOR1" s="9" t="s">
        <v>13977</v>
      </c>
      <c r="QOS1" s="9" t="s">
        <v>13978</v>
      </c>
      <c r="QOT1" s="9" t="s">
        <v>13979</v>
      </c>
      <c r="QOU1" s="9" t="s">
        <v>13980</v>
      </c>
      <c r="QOV1" s="9" t="s">
        <v>13981</v>
      </c>
      <c r="QOW1" s="9" t="s">
        <v>13982</v>
      </c>
      <c r="QOX1" s="9" t="s">
        <v>13983</v>
      </c>
      <c r="QOY1" s="9" t="s">
        <v>13984</v>
      </c>
      <c r="QOZ1" s="9" t="s">
        <v>13985</v>
      </c>
      <c r="QPA1" s="9" t="s">
        <v>13986</v>
      </c>
      <c r="QPB1" s="9" t="s">
        <v>13987</v>
      </c>
      <c r="QPC1" s="9" t="s">
        <v>13988</v>
      </c>
      <c r="QPD1" s="9" t="s">
        <v>13989</v>
      </c>
      <c r="QPE1" s="9" t="s">
        <v>13990</v>
      </c>
      <c r="QPF1" s="9" t="s">
        <v>13991</v>
      </c>
      <c r="QPG1" s="9" t="s">
        <v>13992</v>
      </c>
      <c r="QPH1" s="9" t="s">
        <v>13993</v>
      </c>
      <c r="QPI1" s="9" t="s">
        <v>13994</v>
      </c>
      <c r="QPJ1" s="9" t="s">
        <v>13995</v>
      </c>
      <c r="QPK1" s="9" t="s">
        <v>13996</v>
      </c>
      <c r="QPL1" s="9" t="s">
        <v>13997</v>
      </c>
      <c r="QPM1" s="9" t="s">
        <v>13998</v>
      </c>
      <c r="QPN1" s="9" t="s">
        <v>13999</v>
      </c>
      <c r="QPO1" s="9" t="s">
        <v>14000</v>
      </c>
      <c r="QPP1" s="9" t="s">
        <v>14001</v>
      </c>
      <c r="QPQ1" s="9" t="s">
        <v>14002</v>
      </c>
      <c r="QPR1" s="9" t="s">
        <v>14003</v>
      </c>
      <c r="QPS1" s="9" t="s">
        <v>14004</v>
      </c>
      <c r="QPT1" s="9" t="s">
        <v>14005</v>
      </c>
      <c r="QPU1" s="9" t="s">
        <v>14006</v>
      </c>
      <c r="QPV1" s="9" t="s">
        <v>14007</v>
      </c>
      <c r="QPW1" s="9" t="s">
        <v>14008</v>
      </c>
      <c r="QPX1" s="9" t="s">
        <v>14009</v>
      </c>
      <c r="QPY1" s="9" t="s">
        <v>14010</v>
      </c>
      <c r="QPZ1" s="9" t="s">
        <v>14011</v>
      </c>
      <c r="QQA1" s="9" t="s">
        <v>14012</v>
      </c>
      <c r="QQB1" s="9" t="s">
        <v>14013</v>
      </c>
      <c r="QQC1" s="9" t="s">
        <v>14014</v>
      </c>
      <c r="QQD1" s="9" t="s">
        <v>14015</v>
      </c>
      <c r="QQE1" s="9" t="s">
        <v>14016</v>
      </c>
      <c r="QQF1" s="9" t="s">
        <v>14017</v>
      </c>
      <c r="QQG1" s="9" t="s">
        <v>14018</v>
      </c>
      <c r="QQH1" s="9" t="s">
        <v>14019</v>
      </c>
      <c r="QQI1" s="9" t="s">
        <v>14020</v>
      </c>
      <c r="QQJ1" s="9" t="s">
        <v>14021</v>
      </c>
      <c r="QQK1" s="9" t="s">
        <v>14022</v>
      </c>
      <c r="QQL1" s="9" t="s">
        <v>14023</v>
      </c>
      <c r="QQM1" s="9" t="s">
        <v>14024</v>
      </c>
      <c r="QQN1" s="9" t="s">
        <v>14025</v>
      </c>
      <c r="QQO1" s="9" t="s">
        <v>14026</v>
      </c>
      <c r="QQP1" s="9" t="s">
        <v>14027</v>
      </c>
      <c r="QQQ1" s="9" t="s">
        <v>14028</v>
      </c>
      <c r="QQR1" s="9" t="s">
        <v>14029</v>
      </c>
      <c r="QQS1" s="9" t="s">
        <v>14030</v>
      </c>
      <c r="QQT1" s="9" t="s">
        <v>14031</v>
      </c>
      <c r="QQU1" s="9" t="s">
        <v>14032</v>
      </c>
      <c r="QQV1" s="9" t="s">
        <v>14033</v>
      </c>
      <c r="QQW1" s="9" t="s">
        <v>14034</v>
      </c>
      <c r="QQX1" s="9" t="s">
        <v>14035</v>
      </c>
      <c r="QQY1" s="9" t="s">
        <v>14036</v>
      </c>
      <c r="QQZ1" s="9" t="s">
        <v>14037</v>
      </c>
      <c r="QRA1" s="9" t="s">
        <v>14038</v>
      </c>
      <c r="QRB1" s="9" t="s">
        <v>14039</v>
      </c>
      <c r="QRC1" s="9" t="s">
        <v>14040</v>
      </c>
      <c r="QRD1" s="9" t="s">
        <v>14041</v>
      </c>
      <c r="QRE1" s="9" t="s">
        <v>14042</v>
      </c>
      <c r="QRF1" s="9" t="s">
        <v>14043</v>
      </c>
      <c r="QRG1" s="9" t="s">
        <v>14044</v>
      </c>
      <c r="QRH1" s="9" t="s">
        <v>14045</v>
      </c>
      <c r="QRI1" s="9" t="s">
        <v>14046</v>
      </c>
      <c r="QRJ1" s="9" t="s">
        <v>14047</v>
      </c>
      <c r="QRK1" s="9" t="s">
        <v>14048</v>
      </c>
      <c r="QRL1" s="9" t="s">
        <v>14049</v>
      </c>
      <c r="QRM1" s="9" t="s">
        <v>14050</v>
      </c>
      <c r="QRN1" s="9" t="s">
        <v>14051</v>
      </c>
      <c r="QRO1" s="9" t="s">
        <v>14052</v>
      </c>
      <c r="QRP1" s="9" t="s">
        <v>14053</v>
      </c>
      <c r="QRQ1" s="9" t="s">
        <v>14054</v>
      </c>
      <c r="QRR1" s="9" t="s">
        <v>14055</v>
      </c>
      <c r="QRS1" s="9" t="s">
        <v>14056</v>
      </c>
      <c r="QRT1" s="9" t="s">
        <v>14057</v>
      </c>
      <c r="QRU1" s="9" t="s">
        <v>14058</v>
      </c>
      <c r="QRV1" s="9" t="s">
        <v>14059</v>
      </c>
      <c r="QRW1" s="9" t="s">
        <v>14060</v>
      </c>
      <c r="QRX1" s="9" t="s">
        <v>14061</v>
      </c>
      <c r="QRY1" s="9" t="s">
        <v>14062</v>
      </c>
      <c r="QRZ1" s="9" t="s">
        <v>14063</v>
      </c>
      <c r="QSA1" s="9" t="s">
        <v>14064</v>
      </c>
      <c r="QSB1" s="9" t="s">
        <v>14065</v>
      </c>
      <c r="QSC1" s="9" t="s">
        <v>14066</v>
      </c>
      <c r="QSD1" s="9" t="s">
        <v>14067</v>
      </c>
      <c r="QSE1" s="9" t="s">
        <v>14068</v>
      </c>
      <c r="QSF1" s="9" t="s">
        <v>14069</v>
      </c>
      <c r="QSG1" s="9" t="s">
        <v>14070</v>
      </c>
      <c r="QSH1" s="9" t="s">
        <v>14071</v>
      </c>
      <c r="QSI1" s="9" t="s">
        <v>14072</v>
      </c>
      <c r="QSJ1" s="9" t="s">
        <v>14073</v>
      </c>
      <c r="QSK1" s="9" t="s">
        <v>14074</v>
      </c>
      <c r="QSL1" s="9" t="s">
        <v>14075</v>
      </c>
      <c r="QSM1" s="9" t="s">
        <v>14076</v>
      </c>
      <c r="QSN1" s="9" t="s">
        <v>14077</v>
      </c>
      <c r="QSO1" s="9" t="s">
        <v>14078</v>
      </c>
      <c r="QSP1" s="9" t="s">
        <v>14079</v>
      </c>
      <c r="QSQ1" s="9" t="s">
        <v>14080</v>
      </c>
      <c r="QSR1" s="9" t="s">
        <v>14081</v>
      </c>
      <c r="QSS1" s="9" t="s">
        <v>14082</v>
      </c>
      <c r="QST1" s="9" t="s">
        <v>14083</v>
      </c>
      <c r="QSU1" s="9" t="s">
        <v>14084</v>
      </c>
      <c r="QSV1" s="9" t="s">
        <v>14085</v>
      </c>
      <c r="QSW1" s="9" t="s">
        <v>14086</v>
      </c>
      <c r="QSX1" s="9" t="s">
        <v>14087</v>
      </c>
      <c r="QSY1" s="9" t="s">
        <v>14088</v>
      </c>
      <c r="QSZ1" s="9" t="s">
        <v>14089</v>
      </c>
      <c r="QTA1" s="9" t="s">
        <v>14090</v>
      </c>
      <c r="QTB1" s="9" t="s">
        <v>14091</v>
      </c>
      <c r="QTC1" s="9" t="s">
        <v>14092</v>
      </c>
      <c r="QTD1" s="9" t="s">
        <v>14093</v>
      </c>
      <c r="QTE1" s="9" t="s">
        <v>14094</v>
      </c>
      <c r="QTF1" s="9" t="s">
        <v>14095</v>
      </c>
      <c r="QTG1" s="9" t="s">
        <v>14096</v>
      </c>
      <c r="QTH1" s="9" t="s">
        <v>14097</v>
      </c>
      <c r="QTI1" s="9" t="s">
        <v>14098</v>
      </c>
      <c r="QTJ1" s="9" t="s">
        <v>14099</v>
      </c>
      <c r="QTK1" s="9" t="s">
        <v>14100</v>
      </c>
      <c r="QTL1" s="9" t="s">
        <v>14101</v>
      </c>
      <c r="QTM1" s="9" t="s">
        <v>14102</v>
      </c>
      <c r="QTN1" s="9" t="s">
        <v>14103</v>
      </c>
      <c r="QTO1" s="9" t="s">
        <v>14104</v>
      </c>
      <c r="QTP1" s="9" t="s">
        <v>14105</v>
      </c>
      <c r="QTQ1" s="9" t="s">
        <v>14106</v>
      </c>
      <c r="QTR1" s="9" t="s">
        <v>14107</v>
      </c>
      <c r="QTS1" s="9" t="s">
        <v>14108</v>
      </c>
      <c r="QTT1" s="9" t="s">
        <v>14109</v>
      </c>
      <c r="QTU1" s="9" t="s">
        <v>14110</v>
      </c>
      <c r="QTV1" s="9" t="s">
        <v>14111</v>
      </c>
      <c r="QTW1" s="9" t="s">
        <v>14112</v>
      </c>
      <c r="QTX1" s="9" t="s">
        <v>14113</v>
      </c>
      <c r="QTY1" s="9" t="s">
        <v>14114</v>
      </c>
      <c r="QTZ1" s="9" t="s">
        <v>14115</v>
      </c>
      <c r="QUA1" s="9" t="s">
        <v>14116</v>
      </c>
      <c r="QUB1" s="9" t="s">
        <v>14117</v>
      </c>
      <c r="QUC1" s="9" t="s">
        <v>14118</v>
      </c>
      <c r="QUD1" s="9" t="s">
        <v>14119</v>
      </c>
      <c r="QUE1" s="9" t="s">
        <v>14120</v>
      </c>
      <c r="QUF1" s="9" t="s">
        <v>14121</v>
      </c>
      <c r="QUG1" s="9" t="s">
        <v>14122</v>
      </c>
      <c r="QUH1" s="9" t="s">
        <v>14123</v>
      </c>
      <c r="QUI1" s="9" t="s">
        <v>14124</v>
      </c>
      <c r="QUJ1" s="9" t="s">
        <v>14125</v>
      </c>
      <c r="QUK1" s="9" t="s">
        <v>14126</v>
      </c>
      <c r="QUL1" s="9" t="s">
        <v>14127</v>
      </c>
      <c r="QUM1" s="9" t="s">
        <v>14128</v>
      </c>
      <c r="QUN1" s="9" t="s">
        <v>14129</v>
      </c>
      <c r="QUO1" s="9" t="s">
        <v>14130</v>
      </c>
      <c r="QUP1" s="9" t="s">
        <v>14131</v>
      </c>
      <c r="QUQ1" s="9" t="s">
        <v>14132</v>
      </c>
      <c r="QUR1" s="9" t="s">
        <v>14133</v>
      </c>
      <c r="QUS1" s="9" t="s">
        <v>14134</v>
      </c>
      <c r="QUT1" s="9" t="s">
        <v>14135</v>
      </c>
      <c r="QUU1" s="9" t="s">
        <v>14136</v>
      </c>
      <c r="QUV1" s="9" t="s">
        <v>14137</v>
      </c>
      <c r="QUW1" s="9" t="s">
        <v>14138</v>
      </c>
      <c r="QUX1" s="9" t="s">
        <v>14139</v>
      </c>
      <c r="QUY1" s="9" t="s">
        <v>14140</v>
      </c>
      <c r="QUZ1" s="9" t="s">
        <v>14141</v>
      </c>
      <c r="QVA1" s="9" t="s">
        <v>14142</v>
      </c>
      <c r="QVB1" s="9" t="s">
        <v>14143</v>
      </c>
      <c r="QVC1" s="9" t="s">
        <v>14144</v>
      </c>
      <c r="QVD1" s="9" t="s">
        <v>14145</v>
      </c>
      <c r="QVE1" s="9" t="s">
        <v>14146</v>
      </c>
      <c r="QVF1" s="9" t="s">
        <v>14147</v>
      </c>
      <c r="QVG1" s="9" t="s">
        <v>14148</v>
      </c>
      <c r="QVH1" s="9" t="s">
        <v>14149</v>
      </c>
      <c r="QVI1" s="9" t="s">
        <v>14150</v>
      </c>
      <c r="QVJ1" s="9" t="s">
        <v>14151</v>
      </c>
      <c r="QVK1" s="9" t="s">
        <v>14152</v>
      </c>
      <c r="QVL1" s="9" t="s">
        <v>14153</v>
      </c>
      <c r="QVM1" s="9" t="s">
        <v>14154</v>
      </c>
      <c r="QVN1" s="9" t="s">
        <v>14155</v>
      </c>
      <c r="QVO1" s="9" t="s">
        <v>14156</v>
      </c>
      <c r="QVP1" s="9" t="s">
        <v>14157</v>
      </c>
      <c r="QVQ1" s="9" t="s">
        <v>14158</v>
      </c>
      <c r="QVR1" s="9" t="s">
        <v>14159</v>
      </c>
      <c r="QVS1" s="9" t="s">
        <v>14160</v>
      </c>
      <c r="QVT1" s="9" t="s">
        <v>14161</v>
      </c>
      <c r="QVU1" s="9" t="s">
        <v>14162</v>
      </c>
      <c r="QVV1" s="9" t="s">
        <v>14163</v>
      </c>
      <c r="QVW1" s="9" t="s">
        <v>14164</v>
      </c>
      <c r="QVX1" s="9" t="s">
        <v>14165</v>
      </c>
      <c r="QVY1" s="9" t="s">
        <v>14166</v>
      </c>
      <c r="QVZ1" s="9" t="s">
        <v>14167</v>
      </c>
      <c r="QWA1" s="9" t="s">
        <v>14168</v>
      </c>
      <c r="QWB1" s="9" t="s">
        <v>14169</v>
      </c>
      <c r="QWC1" s="9" t="s">
        <v>14170</v>
      </c>
      <c r="QWD1" s="9" t="s">
        <v>14171</v>
      </c>
      <c r="QWE1" s="9" t="s">
        <v>14172</v>
      </c>
      <c r="QWF1" s="9" t="s">
        <v>14173</v>
      </c>
      <c r="QWG1" s="9" t="s">
        <v>14174</v>
      </c>
      <c r="QWH1" s="9" t="s">
        <v>14175</v>
      </c>
      <c r="QWI1" s="9" t="s">
        <v>14176</v>
      </c>
      <c r="QWJ1" s="9" t="s">
        <v>14177</v>
      </c>
      <c r="QWK1" s="9" t="s">
        <v>14178</v>
      </c>
      <c r="QWL1" s="9" t="s">
        <v>14179</v>
      </c>
      <c r="QWM1" s="9" t="s">
        <v>14180</v>
      </c>
      <c r="QWN1" s="9" t="s">
        <v>14181</v>
      </c>
      <c r="QWO1" s="9" t="s">
        <v>14182</v>
      </c>
      <c r="QWP1" s="9" t="s">
        <v>14183</v>
      </c>
      <c r="QWQ1" s="9" t="s">
        <v>14184</v>
      </c>
      <c r="QWR1" s="9" t="s">
        <v>14185</v>
      </c>
      <c r="QWS1" s="9" t="s">
        <v>14186</v>
      </c>
      <c r="QWT1" s="9" t="s">
        <v>14187</v>
      </c>
      <c r="QWU1" s="9" t="s">
        <v>14188</v>
      </c>
      <c r="QWV1" s="9" t="s">
        <v>14189</v>
      </c>
      <c r="QWW1" s="9" t="s">
        <v>14190</v>
      </c>
      <c r="QWX1" s="9" t="s">
        <v>14191</v>
      </c>
      <c r="QWY1" s="9" t="s">
        <v>14192</v>
      </c>
      <c r="QWZ1" s="9" t="s">
        <v>14193</v>
      </c>
      <c r="QXA1" s="9" t="s">
        <v>14194</v>
      </c>
      <c r="QXB1" s="9" t="s">
        <v>14195</v>
      </c>
      <c r="QXC1" s="9" t="s">
        <v>14196</v>
      </c>
      <c r="QXD1" s="9" t="s">
        <v>14197</v>
      </c>
      <c r="QXE1" s="9" t="s">
        <v>14198</v>
      </c>
      <c r="QXF1" s="9" t="s">
        <v>14199</v>
      </c>
      <c r="QXG1" s="9" t="s">
        <v>14200</v>
      </c>
      <c r="QXH1" s="9" t="s">
        <v>14201</v>
      </c>
      <c r="QXI1" s="9" t="s">
        <v>14202</v>
      </c>
      <c r="QXJ1" s="9" t="s">
        <v>14203</v>
      </c>
      <c r="QXK1" s="9" t="s">
        <v>14204</v>
      </c>
      <c r="QXL1" s="9" t="s">
        <v>14205</v>
      </c>
      <c r="QXM1" s="9" t="s">
        <v>14206</v>
      </c>
      <c r="QXN1" s="9" t="s">
        <v>14207</v>
      </c>
      <c r="QXO1" s="9" t="s">
        <v>14208</v>
      </c>
      <c r="QXP1" s="9" t="s">
        <v>14209</v>
      </c>
      <c r="QXQ1" s="9" t="s">
        <v>14210</v>
      </c>
      <c r="QXR1" s="9" t="s">
        <v>14211</v>
      </c>
      <c r="QXS1" s="9" t="s">
        <v>14212</v>
      </c>
      <c r="QXT1" s="9" t="s">
        <v>14213</v>
      </c>
      <c r="QXU1" s="9" t="s">
        <v>14214</v>
      </c>
      <c r="QXV1" s="9" t="s">
        <v>14215</v>
      </c>
      <c r="QXW1" s="9" t="s">
        <v>14216</v>
      </c>
      <c r="QXX1" s="9" t="s">
        <v>14217</v>
      </c>
      <c r="QXY1" s="9" t="s">
        <v>14218</v>
      </c>
      <c r="QXZ1" s="9" t="s">
        <v>14219</v>
      </c>
      <c r="QYA1" s="9" t="s">
        <v>14220</v>
      </c>
      <c r="QYB1" s="9" t="s">
        <v>14221</v>
      </c>
      <c r="QYC1" s="9" t="s">
        <v>14222</v>
      </c>
      <c r="QYD1" s="9" t="s">
        <v>14223</v>
      </c>
      <c r="QYE1" s="9" t="s">
        <v>14224</v>
      </c>
      <c r="QYF1" s="9" t="s">
        <v>14225</v>
      </c>
      <c r="QYG1" s="9" t="s">
        <v>14226</v>
      </c>
      <c r="QYH1" s="9" t="s">
        <v>14227</v>
      </c>
      <c r="QYI1" s="9" t="s">
        <v>14228</v>
      </c>
      <c r="QYJ1" s="9" t="s">
        <v>14229</v>
      </c>
      <c r="QYK1" s="9" t="s">
        <v>14230</v>
      </c>
      <c r="QYL1" s="9" t="s">
        <v>14231</v>
      </c>
      <c r="QYM1" s="9" t="s">
        <v>14232</v>
      </c>
      <c r="QYN1" s="9" t="s">
        <v>14233</v>
      </c>
      <c r="QYO1" s="9" t="s">
        <v>14234</v>
      </c>
      <c r="QYP1" s="9" t="s">
        <v>14235</v>
      </c>
      <c r="QYQ1" s="9" t="s">
        <v>14236</v>
      </c>
      <c r="QYR1" s="9" t="s">
        <v>14237</v>
      </c>
      <c r="QYS1" s="9" t="s">
        <v>14238</v>
      </c>
      <c r="QYT1" s="9" t="s">
        <v>14239</v>
      </c>
      <c r="QYU1" s="9" t="s">
        <v>14240</v>
      </c>
      <c r="QYV1" s="9" t="s">
        <v>14241</v>
      </c>
      <c r="QYW1" s="9" t="s">
        <v>14242</v>
      </c>
      <c r="QYX1" s="9" t="s">
        <v>14243</v>
      </c>
      <c r="QYY1" s="9" t="s">
        <v>14244</v>
      </c>
      <c r="QYZ1" s="9" t="s">
        <v>14245</v>
      </c>
      <c r="QZA1" s="9" t="s">
        <v>14246</v>
      </c>
      <c r="QZB1" s="9" t="s">
        <v>14247</v>
      </c>
      <c r="QZC1" s="9" t="s">
        <v>14248</v>
      </c>
      <c r="QZD1" s="9" t="s">
        <v>14249</v>
      </c>
      <c r="QZE1" s="9" t="s">
        <v>14250</v>
      </c>
      <c r="QZF1" s="9" t="s">
        <v>14251</v>
      </c>
      <c r="QZG1" s="9" t="s">
        <v>14252</v>
      </c>
      <c r="QZH1" s="9" t="s">
        <v>14253</v>
      </c>
      <c r="QZI1" s="9" t="s">
        <v>14254</v>
      </c>
      <c r="QZJ1" s="9" t="s">
        <v>14255</v>
      </c>
      <c r="QZK1" s="9" t="s">
        <v>14256</v>
      </c>
      <c r="QZL1" s="9" t="s">
        <v>14257</v>
      </c>
      <c r="QZM1" s="9" t="s">
        <v>14258</v>
      </c>
      <c r="QZN1" s="9" t="s">
        <v>14259</v>
      </c>
      <c r="QZO1" s="9" t="s">
        <v>14260</v>
      </c>
      <c r="QZP1" s="9" t="s">
        <v>14261</v>
      </c>
      <c r="QZQ1" s="9" t="s">
        <v>14262</v>
      </c>
      <c r="QZR1" s="9" t="s">
        <v>14263</v>
      </c>
      <c r="QZS1" s="9" t="s">
        <v>14264</v>
      </c>
      <c r="QZT1" s="9" t="s">
        <v>14265</v>
      </c>
      <c r="QZU1" s="9" t="s">
        <v>14266</v>
      </c>
      <c r="QZV1" s="9" t="s">
        <v>14267</v>
      </c>
      <c r="QZW1" s="9" t="s">
        <v>14268</v>
      </c>
      <c r="QZX1" s="9" t="s">
        <v>14269</v>
      </c>
      <c r="QZY1" s="9" t="s">
        <v>14270</v>
      </c>
      <c r="QZZ1" s="9" t="s">
        <v>14271</v>
      </c>
      <c r="RAA1" s="9" t="s">
        <v>14272</v>
      </c>
      <c r="RAB1" s="9" t="s">
        <v>14273</v>
      </c>
      <c r="RAC1" s="9" t="s">
        <v>14274</v>
      </c>
      <c r="RAD1" s="9" t="s">
        <v>14275</v>
      </c>
      <c r="RAE1" s="9" t="s">
        <v>14276</v>
      </c>
      <c r="RAF1" s="9" t="s">
        <v>14277</v>
      </c>
      <c r="RAG1" s="9" t="s">
        <v>14278</v>
      </c>
      <c r="RAH1" s="9" t="s">
        <v>14279</v>
      </c>
      <c r="RAI1" s="9" t="s">
        <v>14280</v>
      </c>
      <c r="RAJ1" s="9" t="s">
        <v>14281</v>
      </c>
      <c r="RAK1" s="9" t="s">
        <v>14282</v>
      </c>
      <c r="RAL1" s="9" t="s">
        <v>14283</v>
      </c>
      <c r="RAM1" s="9" t="s">
        <v>14284</v>
      </c>
      <c r="RAN1" s="9" t="s">
        <v>14285</v>
      </c>
      <c r="RAO1" s="9" t="s">
        <v>14286</v>
      </c>
      <c r="RAP1" s="9" t="s">
        <v>14287</v>
      </c>
      <c r="RAQ1" s="9" t="s">
        <v>14288</v>
      </c>
      <c r="RAR1" s="9" t="s">
        <v>14289</v>
      </c>
      <c r="RAS1" s="9" t="s">
        <v>14290</v>
      </c>
      <c r="RAT1" s="9" t="s">
        <v>14291</v>
      </c>
      <c r="RAU1" s="9" t="s">
        <v>14292</v>
      </c>
      <c r="RAV1" s="9" t="s">
        <v>14293</v>
      </c>
      <c r="RAW1" s="9" t="s">
        <v>14294</v>
      </c>
      <c r="RAX1" s="9" t="s">
        <v>14295</v>
      </c>
      <c r="RAY1" s="9" t="s">
        <v>14296</v>
      </c>
      <c r="RAZ1" s="9" t="s">
        <v>14297</v>
      </c>
      <c r="RBA1" s="9" t="s">
        <v>14298</v>
      </c>
      <c r="RBB1" s="9" t="s">
        <v>14299</v>
      </c>
      <c r="RBC1" s="9" t="s">
        <v>14300</v>
      </c>
      <c r="RBD1" s="9" t="s">
        <v>14301</v>
      </c>
      <c r="RBE1" s="9" t="s">
        <v>14302</v>
      </c>
      <c r="RBF1" s="9" t="s">
        <v>14303</v>
      </c>
      <c r="RBG1" s="9" t="s">
        <v>14304</v>
      </c>
      <c r="RBH1" s="9" t="s">
        <v>14305</v>
      </c>
      <c r="RBI1" s="9" t="s">
        <v>14306</v>
      </c>
      <c r="RBJ1" s="9" t="s">
        <v>14307</v>
      </c>
      <c r="RBK1" s="9" t="s">
        <v>14308</v>
      </c>
      <c r="RBL1" s="9" t="s">
        <v>14309</v>
      </c>
      <c r="RBM1" s="9" t="s">
        <v>14310</v>
      </c>
      <c r="RBN1" s="9" t="s">
        <v>14311</v>
      </c>
      <c r="RBO1" s="9" t="s">
        <v>14312</v>
      </c>
      <c r="RBP1" s="9" t="s">
        <v>14313</v>
      </c>
      <c r="RBQ1" s="9" t="s">
        <v>14314</v>
      </c>
      <c r="RBR1" s="9" t="s">
        <v>14315</v>
      </c>
      <c r="RBS1" s="9" t="s">
        <v>14316</v>
      </c>
      <c r="RBT1" s="9" t="s">
        <v>14317</v>
      </c>
      <c r="RBU1" s="9" t="s">
        <v>14318</v>
      </c>
      <c r="RBV1" s="9" t="s">
        <v>14319</v>
      </c>
      <c r="RBW1" s="9" t="s">
        <v>14320</v>
      </c>
      <c r="RBX1" s="9" t="s">
        <v>14321</v>
      </c>
      <c r="RBY1" s="9" t="s">
        <v>14322</v>
      </c>
      <c r="RBZ1" s="9" t="s">
        <v>14323</v>
      </c>
      <c r="RCA1" s="9" t="s">
        <v>14324</v>
      </c>
      <c r="RCB1" s="9" t="s">
        <v>14325</v>
      </c>
      <c r="RCC1" s="9" t="s">
        <v>14326</v>
      </c>
      <c r="RCD1" s="9" t="s">
        <v>14327</v>
      </c>
      <c r="RCE1" s="9" t="s">
        <v>14328</v>
      </c>
      <c r="RCF1" s="9" t="s">
        <v>14329</v>
      </c>
      <c r="RCG1" s="9" t="s">
        <v>14330</v>
      </c>
      <c r="RCH1" s="9" t="s">
        <v>14331</v>
      </c>
      <c r="RCI1" s="9" t="s">
        <v>14332</v>
      </c>
      <c r="RCJ1" s="9" t="s">
        <v>14333</v>
      </c>
      <c r="RCK1" s="9" t="s">
        <v>14334</v>
      </c>
      <c r="RCL1" s="9" t="s">
        <v>14335</v>
      </c>
      <c r="RCM1" s="9" t="s">
        <v>14336</v>
      </c>
      <c r="RCN1" s="9" t="s">
        <v>14337</v>
      </c>
      <c r="RCO1" s="9" t="s">
        <v>14338</v>
      </c>
      <c r="RCP1" s="9" t="s">
        <v>14339</v>
      </c>
      <c r="RCQ1" s="9" t="s">
        <v>14340</v>
      </c>
      <c r="RCR1" s="9" t="s">
        <v>14341</v>
      </c>
      <c r="RCS1" s="9" t="s">
        <v>14342</v>
      </c>
      <c r="RCT1" s="9" t="s">
        <v>14343</v>
      </c>
      <c r="RCU1" s="9" t="s">
        <v>14344</v>
      </c>
      <c r="RCV1" s="9" t="s">
        <v>14345</v>
      </c>
      <c r="RCW1" s="9" t="s">
        <v>14346</v>
      </c>
      <c r="RCX1" s="9" t="s">
        <v>14347</v>
      </c>
      <c r="RCY1" s="9" t="s">
        <v>14348</v>
      </c>
      <c r="RCZ1" s="9" t="s">
        <v>14349</v>
      </c>
      <c r="RDA1" s="9" t="s">
        <v>14350</v>
      </c>
      <c r="RDB1" s="9" t="s">
        <v>14351</v>
      </c>
      <c r="RDC1" s="9" t="s">
        <v>14352</v>
      </c>
      <c r="RDD1" s="9" t="s">
        <v>14353</v>
      </c>
      <c r="RDE1" s="9" t="s">
        <v>14354</v>
      </c>
      <c r="RDF1" s="9" t="s">
        <v>14355</v>
      </c>
      <c r="RDG1" s="9" t="s">
        <v>14356</v>
      </c>
      <c r="RDH1" s="9" t="s">
        <v>14357</v>
      </c>
      <c r="RDI1" s="9" t="s">
        <v>14358</v>
      </c>
      <c r="RDJ1" s="9" t="s">
        <v>14359</v>
      </c>
      <c r="RDK1" s="9" t="s">
        <v>14360</v>
      </c>
      <c r="RDL1" s="9" t="s">
        <v>14361</v>
      </c>
      <c r="RDM1" s="9" t="s">
        <v>14362</v>
      </c>
      <c r="RDN1" s="9" t="s">
        <v>14363</v>
      </c>
      <c r="RDO1" s="9" t="s">
        <v>14364</v>
      </c>
      <c r="RDP1" s="9" t="s">
        <v>14365</v>
      </c>
      <c r="RDQ1" s="9" t="s">
        <v>14366</v>
      </c>
      <c r="RDR1" s="9" t="s">
        <v>14367</v>
      </c>
      <c r="RDS1" s="9" t="s">
        <v>14368</v>
      </c>
      <c r="RDT1" s="9" t="s">
        <v>14369</v>
      </c>
      <c r="RDU1" s="9" t="s">
        <v>14370</v>
      </c>
      <c r="RDV1" s="9" t="s">
        <v>14371</v>
      </c>
      <c r="RDW1" s="9" t="s">
        <v>14372</v>
      </c>
      <c r="RDX1" s="9" t="s">
        <v>14373</v>
      </c>
      <c r="RDY1" s="9" t="s">
        <v>14374</v>
      </c>
      <c r="RDZ1" s="9" t="s">
        <v>14375</v>
      </c>
      <c r="REA1" s="9" t="s">
        <v>14376</v>
      </c>
      <c r="REB1" s="9" t="s">
        <v>14377</v>
      </c>
      <c r="REC1" s="9" t="s">
        <v>14378</v>
      </c>
      <c r="RED1" s="9" t="s">
        <v>14379</v>
      </c>
      <c r="REE1" s="9" t="s">
        <v>14380</v>
      </c>
      <c r="REF1" s="9" t="s">
        <v>14381</v>
      </c>
      <c r="REG1" s="9" t="s">
        <v>14382</v>
      </c>
      <c r="REH1" s="9" t="s">
        <v>14383</v>
      </c>
      <c r="REI1" s="9" t="s">
        <v>14384</v>
      </c>
      <c r="REJ1" s="9" t="s">
        <v>14385</v>
      </c>
      <c r="REK1" s="9" t="s">
        <v>14386</v>
      </c>
      <c r="REL1" s="9" t="s">
        <v>14387</v>
      </c>
      <c r="REM1" s="9" t="s">
        <v>14388</v>
      </c>
      <c r="REN1" s="9" t="s">
        <v>14389</v>
      </c>
      <c r="REO1" s="9" t="s">
        <v>14390</v>
      </c>
      <c r="REP1" s="9" t="s">
        <v>14391</v>
      </c>
      <c r="REQ1" s="9" t="s">
        <v>14392</v>
      </c>
      <c r="RER1" s="9" t="s">
        <v>14393</v>
      </c>
      <c r="RES1" s="9" t="s">
        <v>14394</v>
      </c>
      <c r="RET1" s="9" t="s">
        <v>14395</v>
      </c>
      <c r="REU1" s="9" t="s">
        <v>14396</v>
      </c>
      <c r="REV1" s="9" t="s">
        <v>14397</v>
      </c>
      <c r="REW1" s="9" t="s">
        <v>14398</v>
      </c>
      <c r="REX1" s="9" t="s">
        <v>14399</v>
      </c>
      <c r="REY1" s="9" t="s">
        <v>14400</v>
      </c>
      <c r="REZ1" s="9" t="s">
        <v>14401</v>
      </c>
      <c r="RFA1" s="9" t="s">
        <v>14402</v>
      </c>
      <c r="RFB1" s="9" t="s">
        <v>14403</v>
      </c>
      <c r="RFC1" s="9" t="s">
        <v>14404</v>
      </c>
      <c r="RFD1" s="9" t="s">
        <v>14405</v>
      </c>
      <c r="RFE1" s="9" t="s">
        <v>14406</v>
      </c>
      <c r="RFF1" s="9" t="s">
        <v>14407</v>
      </c>
      <c r="RFG1" s="9" t="s">
        <v>14408</v>
      </c>
      <c r="RFH1" s="9" t="s">
        <v>14409</v>
      </c>
      <c r="RFI1" s="9" t="s">
        <v>14410</v>
      </c>
      <c r="RFJ1" s="9" t="s">
        <v>14411</v>
      </c>
      <c r="RFK1" s="9" t="s">
        <v>14412</v>
      </c>
      <c r="RFL1" s="9" t="s">
        <v>14413</v>
      </c>
      <c r="RFM1" s="9" t="s">
        <v>14414</v>
      </c>
      <c r="RFN1" s="9" t="s">
        <v>14415</v>
      </c>
      <c r="RFO1" s="9" t="s">
        <v>14416</v>
      </c>
      <c r="RFP1" s="9" t="s">
        <v>14417</v>
      </c>
      <c r="RFQ1" s="9" t="s">
        <v>14418</v>
      </c>
      <c r="RFR1" s="9" t="s">
        <v>14419</v>
      </c>
      <c r="RFS1" s="9" t="s">
        <v>14420</v>
      </c>
      <c r="RFT1" s="9" t="s">
        <v>14421</v>
      </c>
      <c r="RFU1" s="9" t="s">
        <v>14422</v>
      </c>
      <c r="RFV1" s="9" t="s">
        <v>14423</v>
      </c>
      <c r="RFW1" s="9" t="s">
        <v>14424</v>
      </c>
      <c r="RFX1" s="9" t="s">
        <v>14425</v>
      </c>
      <c r="RFY1" s="9" t="s">
        <v>14426</v>
      </c>
      <c r="RFZ1" s="9" t="s">
        <v>14427</v>
      </c>
      <c r="RGA1" s="9" t="s">
        <v>14428</v>
      </c>
      <c r="RGB1" s="9" t="s">
        <v>14429</v>
      </c>
      <c r="RGC1" s="9" t="s">
        <v>14430</v>
      </c>
      <c r="RGD1" s="9" t="s">
        <v>14431</v>
      </c>
      <c r="RGE1" s="9" t="s">
        <v>14432</v>
      </c>
      <c r="RGF1" s="9" t="s">
        <v>14433</v>
      </c>
      <c r="RGG1" s="9" t="s">
        <v>14434</v>
      </c>
      <c r="RGH1" s="9" t="s">
        <v>14435</v>
      </c>
      <c r="RGI1" s="9" t="s">
        <v>14436</v>
      </c>
      <c r="RGJ1" s="9" t="s">
        <v>14437</v>
      </c>
      <c r="RGK1" s="9" t="s">
        <v>14438</v>
      </c>
      <c r="RGL1" s="9" t="s">
        <v>14439</v>
      </c>
      <c r="RGM1" s="9" t="s">
        <v>14440</v>
      </c>
      <c r="RGN1" s="9" t="s">
        <v>14441</v>
      </c>
      <c r="RGO1" s="9" t="s">
        <v>14442</v>
      </c>
      <c r="RGP1" s="9" t="s">
        <v>14443</v>
      </c>
      <c r="RGQ1" s="9" t="s">
        <v>14444</v>
      </c>
      <c r="RGR1" s="9" t="s">
        <v>14445</v>
      </c>
      <c r="RGS1" s="9" t="s">
        <v>14446</v>
      </c>
      <c r="RGT1" s="9" t="s">
        <v>14447</v>
      </c>
      <c r="RGU1" s="9" t="s">
        <v>14448</v>
      </c>
      <c r="RGV1" s="9" t="s">
        <v>14449</v>
      </c>
      <c r="RGW1" s="9" t="s">
        <v>14450</v>
      </c>
      <c r="RGX1" s="9" t="s">
        <v>14451</v>
      </c>
      <c r="RGY1" s="9" t="s">
        <v>14452</v>
      </c>
      <c r="RGZ1" s="9" t="s">
        <v>14453</v>
      </c>
      <c r="RHA1" s="9" t="s">
        <v>14454</v>
      </c>
      <c r="RHB1" s="9" t="s">
        <v>14455</v>
      </c>
      <c r="RHC1" s="9" t="s">
        <v>14456</v>
      </c>
      <c r="RHD1" s="9" t="s">
        <v>14457</v>
      </c>
      <c r="RHE1" s="9" t="s">
        <v>14458</v>
      </c>
      <c r="RHF1" s="9" t="s">
        <v>14459</v>
      </c>
      <c r="RHG1" s="9" t="s">
        <v>14460</v>
      </c>
      <c r="RHH1" s="9" t="s">
        <v>14461</v>
      </c>
      <c r="RHI1" s="9" t="s">
        <v>14462</v>
      </c>
      <c r="RHJ1" s="9" t="s">
        <v>14463</v>
      </c>
      <c r="RHK1" s="9" t="s">
        <v>14464</v>
      </c>
      <c r="RHL1" s="9" t="s">
        <v>14465</v>
      </c>
      <c r="RHM1" s="9" t="s">
        <v>14466</v>
      </c>
      <c r="RHN1" s="9" t="s">
        <v>14467</v>
      </c>
      <c r="RHO1" s="9" t="s">
        <v>14468</v>
      </c>
      <c r="RHP1" s="9" t="s">
        <v>14469</v>
      </c>
      <c r="RHQ1" s="9" t="s">
        <v>14470</v>
      </c>
      <c r="RHR1" s="9" t="s">
        <v>14471</v>
      </c>
      <c r="RHS1" s="9" t="s">
        <v>14472</v>
      </c>
      <c r="RHT1" s="9" t="s">
        <v>14473</v>
      </c>
      <c r="RHU1" s="9" t="s">
        <v>14474</v>
      </c>
      <c r="RHV1" s="9" t="s">
        <v>14475</v>
      </c>
      <c r="RHW1" s="9" t="s">
        <v>14476</v>
      </c>
      <c r="RHX1" s="9" t="s">
        <v>14477</v>
      </c>
      <c r="RHY1" s="9" t="s">
        <v>14478</v>
      </c>
      <c r="RHZ1" s="9" t="s">
        <v>14479</v>
      </c>
      <c r="RIA1" s="9" t="s">
        <v>14480</v>
      </c>
      <c r="RIB1" s="9" t="s">
        <v>14481</v>
      </c>
      <c r="RIC1" s="9" t="s">
        <v>14482</v>
      </c>
      <c r="RID1" s="9" t="s">
        <v>14483</v>
      </c>
      <c r="RIE1" s="9" t="s">
        <v>14484</v>
      </c>
      <c r="RIF1" s="9" t="s">
        <v>14485</v>
      </c>
      <c r="RIG1" s="9" t="s">
        <v>14486</v>
      </c>
      <c r="RIH1" s="9" t="s">
        <v>14487</v>
      </c>
      <c r="RII1" s="9" t="s">
        <v>14488</v>
      </c>
      <c r="RIJ1" s="9" t="s">
        <v>14489</v>
      </c>
      <c r="RIK1" s="9" t="s">
        <v>14490</v>
      </c>
      <c r="RIL1" s="9" t="s">
        <v>14491</v>
      </c>
      <c r="RIM1" s="9" t="s">
        <v>14492</v>
      </c>
      <c r="RIN1" s="9" t="s">
        <v>14493</v>
      </c>
      <c r="RIO1" s="9" t="s">
        <v>14494</v>
      </c>
      <c r="RIP1" s="9" t="s">
        <v>14495</v>
      </c>
      <c r="RIQ1" s="9" t="s">
        <v>14496</v>
      </c>
      <c r="RIR1" s="9" t="s">
        <v>14497</v>
      </c>
      <c r="RIS1" s="9" t="s">
        <v>14498</v>
      </c>
      <c r="RIT1" s="9" t="s">
        <v>14499</v>
      </c>
      <c r="RIU1" s="9" t="s">
        <v>14500</v>
      </c>
      <c r="RIV1" s="9" t="s">
        <v>14501</v>
      </c>
      <c r="RIW1" s="9" t="s">
        <v>14502</v>
      </c>
      <c r="RIX1" s="9" t="s">
        <v>14503</v>
      </c>
      <c r="RIY1" s="9" t="s">
        <v>14504</v>
      </c>
      <c r="RIZ1" s="9" t="s">
        <v>14505</v>
      </c>
      <c r="RJA1" s="9" t="s">
        <v>14506</v>
      </c>
      <c r="RJB1" s="9" t="s">
        <v>14507</v>
      </c>
      <c r="RJC1" s="9" t="s">
        <v>14508</v>
      </c>
      <c r="RJD1" s="9" t="s">
        <v>14509</v>
      </c>
      <c r="RJE1" s="9" t="s">
        <v>14510</v>
      </c>
      <c r="RJF1" s="9" t="s">
        <v>14511</v>
      </c>
      <c r="RJG1" s="9" t="s">
        <v>14512</v>
      </c>
      <c r="RJH1" s="9" t="s">
        <v>14513</v>
      </c>
      <c r="RJI1" s="9" t="s">
        <v>14514</v>
      </c>
      <c r="RJJ1" s="9" t="s">
        <v>14515</v>
      </c>
      <c r="RJK1" s="9" t="s">
        <v>14516</v>
      </c>
      <c r="RJL1" s="9" t="s">
        <v>14517</v>
      </c>
      <c r="RJM1" s="9" t="s">
        <v>14518</v>
      </c>
      <c r="RJN1" s="9" t="s">
        <v>14519</v>
      </c>
      <c r="RJO1" s="9" t="s">
        <v>14520</v>
      </c>
      <c r="RJP1" s="9" t="s">
        <v>14521</v>
      </c>
      <c r="RJQ1" s="9" t="s">
        <v>14522</v>
      </c>
      <c r="RJR1" s="9" t="s">
        <v>14523</v>
      </c>
      <c r="RJS1" s="9" t="s">
        <v>14524</v>
      </c>
      <c r="RJT1" s="9" t="s">
        <v>14525</v>
      </c>
      <c r="RJU1" s="9" t="s">
        <v>14526</v>
      </c>
      <c r="RJV1" s="9" t="s">
        <v>14527</v>
      </c>
      <c r="RJW1" s="9" t="s">
        <v>14528</v>
      </c>
      <c r="RJX1" s="9" t="s">
        <v>14529</v>
      </c>
      <c r="RJY1" s="9" t="s">
        <v>14530</v>
      </c>
      <c r="RJZ1" s="9" t="s">
        <v>14531</v>
      </c>
      <c r="RKA1" s="9" t="s">
        <v>14532</v>
      </c>
      <c r="RKB1" s="9" t="s">
        <v>14533</v>
      </c>
      <c r="RKC1" s="9" t="s">
        <v>14534</v>
      </c>
      <c r="RKD1" s="9" t="s">
        <v>14535</v>
      </c>
      <c r="RKE1" s="9" t="s">
        <v>14536</v>
      </c>
      <c r="RKF1" s="9" t="s">
        <v>14537</v>
      </c>
      <c r="RKG1" s="9" t="s">
        <v>14538</v>
      </c>
      <c r="RKH1" s="9" t="s">
        <v>14539</v>
      </c>
      <c r="RKI1" s="9" t="s">
        <v>14540</v>
      </c>
      <c r="RKJ1" s="9" t="s">
        <v>14541</v>
      </c>
      <c r="RKK1" s="9" t="s">
        <v>14542</v>
      </c>
      <c r="RKL1" s="9" t="s">
        <v>14543</v>
      </c>
      <c r="RKM1" s="9" t="s">
        <v>14544</v>
      </c>
      <c r="RKN1" s="9" t="s">
        <v>14545</v>
      </c>
      <c r="RKO1" s="9" t="s">
        <v>14546</v>
      </c>
      <c r="RKP1" s="9" t="s">
        <v>14547</v>
      </c>
      <c r="RKQ1" s="9" t="s">
        <v>14548</v>
      </c>
      <c r="RKR1" s="9" t="s">
        <v>14549</v>
      </c>
      <c r="RKS1" s="9" t="s">
        <v>14550</v>
      </c>
      <c r="RKT1" s="9" t="s">
        <v>14551</v>
      </c>
      <c r="RKU1" s="9" t="s">
        <v>14552</v>
      </c>
      <c r="RKV1" s="9" t="s">
        <v>14553</v>
      </c>
      <c r="RKW1" s="9" t="s">
        <v>14554</v>
      </c>
      <c r="RKX1" s="9" t="s">
        <v>14555</v>
      </c>
      <c r="RKY1" s="9" t="s">
        <v>14556</v>
      </c>
      <c r="RKZ1" s="9" t="s">
        <v>14557</v>
      </c>
      <c r="RLA1" s="9" t="s">
        <v>14558</v>
      </c>
      <c r="RLB1" s="9" t="s">
        <v>14559</v>
      </c>
      <c r="RLC1" s="9" t="s">
        <v>14560</v>
      </c>
      <c r="RLD1" s="9" t="s">
        <v>14561</v>
      </c>
      <c r="RLE1" s="9" t="s">
        <v>14562</v>
      </c>
      <c r="RLF1" s="9" t="s">
        <v>14563</v>
      </c>
      <c r="RLG1" s="9" t="s">
        <v>14564</v>
      </c>
      <c r="RLH1" s="9" t="s">
        <v>14565</v>
      </c>
      <c r="RLI1" s="9" t="s">
        <v>14566</v>
      </c>
      <c r="RLJ1" s="9" t="s">
        <v>14567</v>
      </c>
      <c r="RLK1" s="9" t="s">
        <v>14568</v>
      </c>
      <c r="RLL1" s="9" t="s">
        <v>14569</v>
      </c>
      <c r="RLM1" s="9" t="s">
        <v>14570</v>
      </c>
      <c r="RLN1" s="9" t="s">
        <v>14571</v>
      </c>
      <c r="RLO1" s="9" t="s">
        <v>14572</v>
      </c>
      <c r="RLP1" s="9" t="s">
        <v>14573</v>
      </c>
      <c r="RLQ1" s="9" t="s">
        <v>14574</v>
      </c>
      <c r="RLR1" s="9" t="s">
        <v>14575</v>
      </c>
      <c r="RLS1" s="9" t="s">
        <v>14576</v>
      </c>
      <c r="RLT1" s="9" t="s">
        <v>14577</v>
      </c>
      <c r="RLU1" s="9" t="s">
        <v>14578</v>
      </c>
      <c r="RLV1" s="9" t="s">
        <v>14579</v>
      </c>
      <c r="RLW1" s="9" t="s">
        <v>14580</v>
      </c>
      <c r="RLX1" s="9" t="s">
        <v>14581</v>
      </c>
      <c r="RLY1" s="9" t="s">
        <v>14582</v>
      </c>
      <c r="RLZ1" s="9" t="s">
        <v>14583</v>
      </c>
      <c r="RMA1" s="9" t="s">
        <v>14584</v>
      </c>
      <c r="RMB1" s="9" t="s">
        <v>14585</v>
      </c>
      <c r="RMC1" s="9" t="s">
        <v>14586</v>
      </c>
      <c r="RMD1" s="9" t="s">
        <v>14587</v>
      </c>
      <c r="RME1" s="9" t="s">
        <v>14588</v>
      </c>
      <c r="RMF1" s="9" t="s">
        <v>14589</v>
      </c>
      <c r="RMG1" s="9" t="s">
        <v>14590</v>
      </c>
      <c r="RMH1" s="9" t="s">
        <v>14591</v>
      </c>
      <c r="RMI1" s="9" t="s">
        <v>14592</v>
      </c>
      <c r="RMJ1" s="9" t="s">
        <v>14593</v>
      </c>
      <c r="RMK1" s="9" t="s">
        <v>14594</v>
      </c>
      <c r="RML1" s="9" t="s">
        <v>14595</v>
      </c>
      <c r="RMM1" s="9" t="s">
        <v>14596</v>
      </c>
      <c r="RMN1" s="9" t="s">
        <v>14597</v>
      </c>
      <c r="RMO1" s="9" t="s">
        <v>14598</v>
      </c>
      <c r="RMP1" s="9" t="s">
        <v>14599</v>
      </c>
      <c r="RMQ1" s="9" t="s">
        <v>14600</v>
      </c>
      <c r="RMR1" s="9" t="s">
        <v>14601</v>
      </c>
      <c r="RMS1" s="9" t="s">
        <v>14602</v>
      </c>
      <c r="RMT1" s="9" t="s">
        <v>14603</v>
      </c>
      <c r="RMU1" s="9" t="s">
        <v>14604</v>
      </c>
      <c r="RMV1" s="9" t="s">
        <v>14605</v>
      </c>
      <c r="RMW1" s="9" t="s">
        <v>14606</v>
      </c>
      <c r="RMX1" s="9" t="s">
        <v>14607</v>
      </c>
      <c r="RMY1" s="9" t="s">
        <v>14608</v>
      </c>
      <c r="RMZ1" s="9" t="s">
        <v>14609</v>
      </c>
      <c r="RNA1" s="9" t="s">
        <v>14610</v>
      </c>
      <c r="RNB1" s="9" t="s">
        <v>14611</v>
      </c>
      <c r="RNC1" s="9" t="s">
        <v>14612</v>
      </c>
      <c r="RND1" s="9" t="s">
        <v>14613</v>
      </c>
      <c r="RNE1" s="9" t="s">
        <v>14614</v>
      </c>
      <c r="RNF1" s="9" t="s">
        <v>14615</v>
      </c>
      <c r="RNG1" s="9" t="s">
        <v>14616</v>
      </c>
      <c r="RNH1" s="9" t="s">
        <v>14617</v>
      </c>
      <c r="RNI1" s="9" t="s">
        <v>14618</v>
      </c>
      <c r="RNJ1" s="9" t="s">
        <v>14619</v>
      </c>
      <c r="RNK1" s="9" t="s">
        <v>14620</v>
      </c>
      <c r="RNL1" s="9" t="s">
        <v>14621</v>
      </c>
      <c r="RNM1" s="9" t="s">
        <v>14622</v>
      </c>
      <c r="RNN1" s="9" t="s">
        <v>14623</v>
      </c>
      <c r="RNO1" s="9" t="s">
        <v>14624</v>
      </c>
      <c r="RNP1" s="9" t="s">
        <v>14625</v>
      </c>
      <c r="RNQ1" s="9" t="s">
        <v>14626</v>
      </c>
      <c r="RNR1" s="9" t="s">
        <v>14627</v>
      </c>
      <c r="RNS1" s="9" t="s">
        <v>14628</v>
      </c>
      <c r="RNT1" s="9" t="s">
        <v>14629</v>
      </c>
      <c r="RNU1" s="9" t="s">
        <v>14630</v>
      </c>
      <c r="RNV1" s="9" t="s">
        <v>14631</v>
      </c>
      <c r="RNW1" s="9" t="s">
        <v>14632</v>
      </c>
      <c r="RNX1" s="9" t="s">
        <v>14633</v>
      </c>
      <c r="RNY1" s="9" t="s">
        <v>14634</v>
      </c>
      <c r="RNZ1" s="9" t="s">
        <v>14635</v>
      </c>
      <c r="ROA1" s="9" t="s">
        <v>14636</v>
      </c>
      <c r="ROB1" s="9" t="s">
        <v>14637</v>
      </c>
      <c r="ROC1" s="9" t="s">
        <v>14638</v>
      </c>
      <c r="ROD1" s="9" t="s">
        <v>14639</v>
      </c>
      <c r="ROE1" s="9" t="s">
        <v>14640</v>
      </c>
      <c r="ROF1" s="9" t="s">
        <v>14641</v>
      </c>
      <c r="ROG1" s="9" t="s">
        <v>14642</v>
      </c>
      <c r="ROH1" s="9" t="s">
        <v>14643</v>
      </c>
      <c r="ROI1" s="9" t="s">
        <v>14644</v>
      </c>
      <c r="ROJ1" s="9" t="s">
        <v>14645</v>
      </c>
      <c r="ROK1" s="9" t="s">
        <v>14646</v>
      </c>
      <c r="ROL1" s="9" t="s">
        <v>14647</v>
      </c>
      <c r="ROM1" s="9" t="s">
        <v>14648</v>
      </c>
      <c r="RON1" s="9" t="s">
        <v>14649</v>
      </c>
      <c r="ROO1" s="9" t="s">
        <v>14650</v>
      </c>
      <c r="ROP1" s="9" t="s">
        <v>14651</v>
      </c>
      <c r="ROQ1" s="9" t="s">
        <v>14652</v>
      </c>
      <c r="ROR1" s="9" t="s">
        <v>14653</v>
      </c>
      <c r="ROS1" s="9" t="s">
        <v>14654</v>
      </c>
      <c r="ROT1" s="9" t="s">
        <v>14655</v>
      </c>
      <c r="ROU1" s="9" t="s">
        <v>14656</v>
      </c>
      <c r="ROV1" s="9" t="s">
        <v>14657</v>
      </c>
      <c r="ROW1" s="9" t="s">
        <v>14658</v>
      </c>
      <c r="ROX1" s="9" t="s">
        <v>14659</v>
      </c>
      <c r="ROY1" s="9" t="s">
        <v>14660</v>
      </c>
      <c r="ROZ1" s="9" t="s">
        <v>14661</v>
      </c>
      <c r="RPA1" s="9" t="s">
        <v>14662</v>
      </c>
      <c r="RPB1" s="9" t="s">
        <v>14663</v>
      </c>
      <c r="RPC1" s="9" t="s">
        <v>14664</v>
      </c>
      <c r="RPD1" s="9" t="s">
        <v>14665</v>
      </c>
      <c r="RPE1" s="9" t="s">
        <v>14666</v>
      </c>
      <c r="RPF1" s="9" t="s">
        <v>14667</v>
      </c>
      <c r="RPG1" s="9" t="s">
        <v>14668</v>
      </c>
      <c r="RPH1" s="9" t="s">
        <v>14669</v>
      </c>
      <c r="RPI1" s="9" t="s">
        <v>14670</v>
      </c>
      <c r="RPJ1" s="9" t="s">
        <v>14671</v>
      </c>
      <c r="RPK1" s="9" t="s">
        <v>14672</v>
      </c>
      <c r="RPL1" s="9" t="s">
        <v>14673</v>
      </c>
      <c r="RPM1" s="9" t="s">
        <v>14674</v>
      </c>
      <c r="RPN1" s="9" t="s">
        <v>14675</v>
      </c>
      <c r="RPO1" s="9" t="s">
        <v>14676</v>
      </c>
      <c r="RPP1" s="9" t="s">
        <v>14677</v>
      </c>
      <c r="RPQ1" s="9" t="s">
        <v>14678</v>
      </c>
      <c r="RPR1" s="9" t="s">
        <v>14679</v>
      </c>
      <c r="RPS1" s="9" t="s">
        <v>14680</v>
      </c>
      <c r="RPT1" s="9" t="s">
        <v>14681</v>
      </c>
      <c r="RPU1" s="9" t="s">
        <v>14682</v>
      </c>
      <c r="RPV1" s="9" t="s">
        <v>14683</v>
      </c>
      <c r="RPW1" s="9" t="s">
        <v>14684</v>
      </c>
      <c r="RPX1" s="9" t="s">
        <v>14685</v>
      </c>
      <c r="RPY1" s="9" t="s">
        <v>14686</v>
      </c>
      <c r="RPZ1" s="9" t="s">
        <v>14687</v>
      </c>
      <c r="RQA1" s="9" t="s">
        <v>14688</v>
      </c>
      <c r="RQB1" s="9" t="s">
        <v>14689</v>
      </c>
      <c r="RQC1" s="9" t="s">
        <v>14690</v>
      </c>
      <c r="RQD1" s="9" t="s">
        <v>14691</v>
      </c>
      <c r="RQE1" s="9" t="s">
        <v>14692</v>
      </c>
      <c r="RQF1" s="9" t="s">
        <v>14693</v>
      </c>
      <c r="RQG1" s="9" t="s">
        <v>14694</v>
      </c>
      <c r="RQH1" s="9" t="s">
        <v>14695</v>
      </c>
      <c r="RQI1" s="9" t="s">
        <v>14696</v>
      </c>
      <c r="RQJ1" s="9" t="s">
        <v>14697</v>
      </c>
      <c r="RQK1" s="9" t="s">
        <v>14698</v>
      </c>
      <c r="RQL1" s="9" t="s">
        <v>14699</v>
      </c>
      <c r="RQM1" s="9" t="s">
        <v>14700</v>
      </c>
      <c r="RQN1" s="9" t="s">
        <v>14701</v>
      </c>
      <c r="RQO1" s="9" t="s">
        <v>14702</v>
      </c>
      <c r="RQP1" s="9" t="s">
        <v>14703</v>
      </c>
      <c r="RQQ1" s="9" t="s">
        <v>14704</v>
      </c>
      <c r="RQR1" s="9" t="s">
        <v>14705</v>
      </c>
      <c r="RQS1" s="9" t="s">
        <v>14706</v>
      </c>
      <c r="RQT1" s="9" t="s">
        <v>14707</v>
      </c>
      <c r="RQU1" s="9" t="s">
        <v>14708</v>
      </c>
      <c r="RQV1" s="9" t="s">
        <v>14709</v>
      </c>
      <c r="RQW1" s="9" t="s">
        <v>14710</v>
      </c>
      <c r="RQX1" s="9" t="s">
        <v>14711</v>
      </c>
      <c r="RQY1" s="9" t="s">
        <v>14712</v>
      </c>
      <c r="RQZ1" s="9" t="s">
        <v>14713</v>
      </c>
      <c r="RRA1" s="9" t="s">
        <v>14714</v>
      </c>
      <c r="RRB1" s="9" t="s">
        <v>14715</v>
      </c>
      <c r="RRC1" s="9" t="s">
        <v>14716</v>
      </c>
      <c r="RRD1" s="9" t="s">
        <v>14717</v>
      </c>
      <c r="RRE1" s="9" t="s">
        <v>14718</v>
      </c>
      <c r="RRF1" s="9" t="s">
        <v>14719</v>
      </c>
      <c r="RRG1" s="9" t="s">
        <v>14720</v>
      </c>
      <c r="RRH1" s="9" t="s">
        <v>14721</v>
      </c>
      <c r="RRI1" s="9" t="s">
        <v>14722</v>
      </c>
      <c r="RRJ1" s="9" t="s">
        <v>14723</v>
      </c>
      <c r="RRK1" s="9" t="s">
        <v>14724</v>
      </c>
      <c r="RRL1" s="9" t="s">
        <v>14725</v>
      </c>
      <c r="RRM1" s="9" t="s">
        <v>14726</v>
      </c>
      <c r="RRN1" s="9" t="s">
        <v>14727</v>
      </c>
      <c r="RRO1" s="9" t="s">
        <v>14728</v>
      </c>
      <c r="RRP1" s="9" t="s">
        <v>14729</v>
      </c>
      <c r="RRQ1" s="9" t="s">
        <v>14730</v>
      </c>
      <c r="RRR1" s="9" t="s">
        <v>14731</v>
      </c>
      <c r="RRS1" s="9" t="s">
        <v>14732</v>
      </c>
      <c r="RRT1" s="9" t="s">
        <v>14733</v>
      </c>
      <c r="RRU1" s="9" t="s">
        <v>14734</v>
      </c>
      <c r="RRV1" s="9" t="s">
        <v>14735</v>
      </c>
      <c r="RRW1" s="9" t="s">
        <v>14736</v>
      </c>
      <c r="RRX1" s="9" t="s">
        <v>14737</v>
      </c>
      <c r="RRY1" s="9" t="s">
        <v>14738</v>
      </c>
      <c r="RRZ1" s="9" t="s">
        <v>14739</v>
      </c>
      <c r="RSA1" s="9" t="s">
        <v>14740</v>
      </c>
      <c r="RSB1" s="9" t="s">
        <v>14741</v>
      </c>
      <c r="RSC1" s="9" t="s">
        <v>14742</v>
      </c>
      <c r="RSD1" s="9" t="s">
        <v>14743</v>
      </c>
      <c r="RSE1" s="9" t="s">
        <v>14744</v>
      </c>
      <c r="RSF1" s="9" t="s">
        <v>14745</v>
      </c>
      <c r="RSG1" s="9" t="s">
        <v>14746</v>
      </c>
      <c r="RSH1" s="9" t="s">
        <v>14747</v>
      </c>
      <c r="RSI1" s="9" t="s">
        <v>14748</v>
      </c>
      <c r="RSJ1" s="9" t="s">
        <v>14749</v>
      </c>
      <c r="RSK1" s="9" t="s">
        <v>14750</v>
      </c>
      <c r="RSL1" s="9" t="s">
        <v>14751</v>
      </c>
      <c r="RSM1" s="9" t="s">
        <v>14752</v>
      </c>
      <c r="RSN1" s="9" t="s">
        <v>14753</v>
      </c>
      <c r="RSO1" s="9" t="s">
        <v>14754</v>
      </c>
      <c r="RSP1" s="9" t="s">
        <v>14755</v>
      </c>
      <c r="RSQ1" s="9" t="s">
        <v>14756</v>
      </c>
      <c r="RSR1" s="9" t="s">
        <v>14757</v>
      </c>
      <c r="RSS1" s="9" t="s">
        <v>14758</v>
      </c>
      <c r="RST1" s="9" t="s">
        <v>14759</v>
      </c>
      <c r="RSU1" s="9" t="s">
        <v>14760</v>
      </c>
      <c r="RSV1" s="9" t="s">
        <v>14761</v>
      </c>
      <c r="RSW1" s="9" t="s">
        <v>14762</v>
      </c>
      <c r="RSX1" s="9" t="s">
        <v>14763</v>
      </c>
      <c r="RSY1" s="9" t="s">
        <v>14764</v>
      </c>
      <c r="RSZ1" s="9" t="s">
        <v>14765</v>
      </c>
      <c r="RTA1" s="9" t="s">
        <v>14766</v>
      </c>
      <c r="RTB1" s="9" t="s">
        <v>14767</v>
      </c>
      <c r="RTC1" s="9" t="s">
        <v>14768</v>
      </c>
      <c r="RTD1" s="9" t="s">
        <v>14769</v>
      </c>
      <c r="RTE1" s="9" t="s">
        <v>14770</v>
      </c>
      <c r="RTF1" s="9" t="s">
        <v>14771</v>
      </c>
      <c r="RTG1" s="9" t="s">
        <v>14772</v>
      </c>
      <c r="RTH1" s="9" t="s">
        <v>14773</v>
      </c>
      <c r="RTI1" s="9" t="s">
        <v>14774</v>
      </c>
      <c r="RTJ1" s="9" t="s">
        <v>14775</v>
      </c>
      <c r="RTK1" s="9" t="s">
        <v>14776</v>
      </c>
      <c r="RTL1" s="9" t="s">
        <v>14777</v>
      </c>
      <c r="RTM1" s="9" t="s">
        <v>14778</v>
      </c>
      <c r="RTN1" s="9" t="s">
        <v>14779</v>
      </c>
      <c r="RTO1" s="9" t="s">
        <v>14780</v>
      </c>
      <c r="RTP1" s="9" t="s">
        <v>14781</v>
      </c>
      <c r="RTQ1" s="9" t="s">
        <v>14782</v>
      </c>
      <c r="RTR1" s="9" t="s">
        <v>14783</v>
      </c>
      <c r="RTS1" s="9" t="s">
        <v>14784</v>
      </c>
      <c r="RTT1" s="9" t="s">
        <v>14785</v>
      </c>
      <c r="RTU1" s="9" t="s">
        <v>14786</v>
      </c>
      <c r="RTV1" s="9" t="s">
        <v>14787</v>
      </c>
      <c r="RTW1" s="9" t="s">
        <v>14788</v>
      </c>
      <c r="RTX1" s="9" t="s">
        <v>14789</v>
      </c>
      <c r="RTY1" s="9" t="s">
        <v>14790</v>
      </c>
      <c r="RTZ1" s="9" t="s">
        <v>14791</v>
      </c>
      <c r="RUA1" s="9" t="s">
        <v>14792</v>
      </c>
      <c r="RUB1" s="9" t="s">
        <v>14793</v>
      </c>
      <c r="RUC1" s="9" t="s">
        <v>14794</v>
      </c>
      <c r="RUD1" s="9" t="s">
        <v>14795</v>
      </c>
      <c r="RUE1" s="9" t="s">
        <v>14796</v>
      </c>
      <c r="RUF1" s="9" t="s">
        <v>14797</v>
      </c>
      <c r="RUG1" s="9" t="s">
        <v>14798</v>
      </c>
      <c r="RUH1" s="9" t="s">
        <v>14799</v>
      </c>
      <c r="RUI1" s="9" t="s">
        <v>14800</v>
      </c>
      <c r="RUJ1" s="9" t="s">
        <v>14801</v>
      </c>
      <c r="RUK1" s="9" t="s">
        <v>14802</v>
      </c>
      <c r="RUL1" s="9" t="s">
        <v>14803</v>
      </c>
      <c r="RUM1" s="9" t="s">
        <v>14804</v>
      </c>
      <c r="RUN1" s="9" t="s">
        <v>14805</v>
      </c>
      <c r="RUO1" s="9" t="s">
        <v>14806</v>
      </c>
      <c r="RUP1" s="9" t="s">
        <v>14807</v>
      </c>
      <c r="RUQ1" s="9" t="s">
        <v>14808</v>
      </c>
      <c r="RUR1" s="9" t="s">
        <v>14809</v>
      </c>
      <c r="RUS1" s="9" t="s">
        <v>14810</v>
      </c>
      <c r="RUT1" s="9" t="s">
        <v>14811</v>
      </c>
      <c r="RUU1" s="9" t="s">
        <v>14812</v>
      </c>
      <c r="RUV1" s="9" t="s">
        <v>14813</v>
      </c>
      <c r="RUW1" s="9" t="s">
        <v>14814</v>
      </c>
      <c r="RUX1" s="9" t="s">
        <v>14815</v>
      </c>
      <c r="RUY1" s="9" t="s">
        <v>14816</v>
      </c>
      <c r="RUZ1" s="9" t="s">
        <v>14817</v>
      </c>
      <c r="RVA1" s="9" t="s">
        <v>14818</v>
      </c>
      <c r="RVB1" s="9" t="s">
        <v>14819</v>
      </c>
      <c r="RVC1" s="9" t="s">
        <v>14820</v>
      </c>
      <c r="RVD1" s="9" t="s">
        <v>14821</v>
      </c>
      <c r="RVE1" s="9" t="s">
        <v>14822</v>
      </c>
      <c r="RVF1" s="9" t="s">
        <v>14823</v>
      </c>
      <c r="RVG1" s="9" t="s">
        <v>14824</v>
      </c>
      <c r="RVH1" s="9" t="s">
        <v>14825</v>
      </c>
      <c r="RVI1" s="9" t="s">
        <v>14826</v>
      </c>
      <c r="RVJ1" s="9" t="s">
        <v>14827</v>
      </c>
      <c r="RVK1" s="9" t="s">
        <v>14828</v>
      </c>
      <c r="RVL1" s="9" t="s">
        <v>14829</v>
      </c>
      <c r="RVM1" s="9" t="s">
        <v>14830</v>
      </c>
      <c r="RVN1" s="9" t="s">
        <v>14831</v>
      </c>
      <c r="RVO1" s="9" t="s">
        <v>14832</v>
      </c>
      <c r="RVP1" s="9" t="s">
        <v>14833</v>
      </c>
      <c r="RVQ1" s="9" t="s">
        <v>14834</v>
      </c>
      <c r="RVR1" s="9" t="s">
        <v>14835</v>
      </c>
      <c r="RVS1" s="9" t="s">
        <v>14836</v>
      </c>
      <c r="RVT1" s="9" t="s">
        <v>14837</v>
      </c>
      <c r="RVU1" s="9" t="s">
        <v>14838</v>
      </c>
      <c r="RVV1" s="9" t="s">
        <v>14839</v>
      </c>
      <c r="RVW1" s="9" t="s">
        <v>14840</v>
      </c>
      <c r="RVX1" s="9" t="s">
        <v>14841</v>
      </c>
      <c r="RVY1" s="9" t="s">
        <v>14842</v>
      </c>
      <c r="RVZ1" s="9" t="s">
        <v>14843</v>
      </c>
      <c r="RWA1" s="9" t="s">
        <v>14844</v>
      </c>
      <c r="RWB1" s="9" t="s">
        <v>14845</v>
      </c>
      <c r="RWC1" s="9" t="s">
        <v>14846</v>
      </c>
      <c r="RWD1" s="9" t="s">
        <v>14847</v>
      </c>
      <c r="RWE1" s="9" t="s">
        <v>14848</v>
      </c>
      <c r="RWF1" s="9" t="s">
        <v>14849</v>
      </c>
      <c r="RWG1" s="9" t="s">
        <v>14850</v>
      </c>
      <c r="RWH1" s="9" t="s">
        <v>14851</v>
      </c>
      <c r="RWI1" s="9" t="s">
        <v>14852</v>
      </c>
      <c r="RWJ1" s="9" t="s">
        <v>14853</v>
      </c>
      <c r="RWK1" s="9" t="s">
        <v>14854</v>
      </c>
      <c r="RWL1" s="9" t="s">
        <v>14855</v>
      </c>
      <c r="RWM1" s="9" t="s">
        <v>14856</v>
      </c>
      <c r="RWN1" s="9" t="s">
        <v>14857</v>
      </c>
      <c r="RWO1" s="9" t="s">
        <v>14858</v>
      </c>
      <c r="RWP1" s="9" t="s">
        <v>14859</v>
      </c>
      <c r="RWQ1" s="9" t="s">
        <v>14860</v>
      </c>
      <c r="RWR1" s="9" t="s">
        <v>14861</v>
      </c>
      <c r="RWS1" s="9" t="s">
        <v>14862</v>
      </c>
      <c r="RWT1" s="9" t="s">
        <v>14863</v>
      </c>
      <c r="RWU1" s="9" t="s">
        <v>14864</v>
      </c>
      <c r="RWV1" s="9" t="s">
        <v>14865</v>
      </c>
      <c r="RWW1" s="9" t="s">
        <v>14866</v>
      </c>
      <c r="RWX1" s="9" t="s">
        <v>14867</v>
      </c>
      <c r="RWY1" s="9" t="s">
        <v>14868</v>
      </c>
      <c r="RWZ1" s="9" t="s">
        <v>14869</v>
      </c>
      <c r="RXA1" s="9" t="s">
        <v>14870</v>
      </c>
      <c r="RXB1" s="9" t="s">
        <v>14871</v>
      </c>
      <c r="RXC1" s="9" t="s">
        <v>14872</v>
      </c>
      <c r="RXD1" s="9" t="s">
        <v>14873</v>
      </c>
      <c r="RXE1" s="9" t="s">
        <v>14874</v>
      </c>
      <c r="RXF1" s="9" t="s">
        <v>14875</v>
      </c>
      <c r="RXG1" s="9" t="s">
        <v>14876</v>
      </c>
      <c r="RXH1" s="9" t="s">
        <v>14877</v>
      </c>
      <c r="RXI1" s="9" t="s">
        <v>14878</v>
      </c>
      <c r="RXJ1" s="9" t="s">
        <v>14879</v>
      </c>
      <c r="RXK1" s="9" t="s">
        <v>14880</v>
      </c>
      <c r="RXL1" s="9" t="s">
        <v>14881</v>
      </c>
      <c r="RXM1" s="9" t="s">
        <v>14882</v>
      </c>
      <c r="RXN1" s="9" t="s">
        <v>14883</v>
      </c>
      <c r="RXO1" s="9" t="s">
        <v>14884</v>
      </c>
      <c r="RXP1" s="9" t="s">
        <v>14885</v>
      </c>
      <c r="RXQ1" s="9" t="s">
        <v>14886</v>
      </c>
      <c r="RXR1" s="9" t="s">
        <v>14887</v>
      </c>
      <c r="RXS1" s="9" t="s">
        <v>14888</v>
      </c>
      <c r="RXT1" s="9" t="s">
        <v>14889</v>
      </c>
      <c r="RXU1" s="9" t="s">
        <v>14890</v>
      </c>
      <c r="RXV1" s="9" t="s">
        <v>14891</v>
      </c>
      <c r="RXW1" s="9" t="s">
        <v>14892</v>
      </c>
      <c r="RXX1" s="9" t="s">
        <v>14893</v>
      </c>
      <c r="RXY1" s="9" t="s">
        <v>14894</v>
      </c>
      <c r="RXZ1" s="9" t="s">
        <v>14895</v>
      </c>
      <c r="RYA1" s="9" t="s">
        <v>14896</v>
      </c>
      <c r="RYB1" s="9" t="s">
        <v>14897</v>
      </c>
      <c r="RYC1" s="9" t="s">
        <v>14898</v>
      </c>
      <c r="RYD1" s="9" t="s">
        <v>14899</v>
      </c>
      <c r="RYE1" s="9" t="s">
        <v>14900</v>
      </c>
      <c r="RYF1" s="9" t="s">
        <v>14901</v>
      </c>
      <c r="RYG1" s="9" t="s">
        <v>14902</v>
      </c>
      <c r="RYH1" s="9" t="s">
        <v>14903</v>
      </c>
      <c r="RYI1" s="9" t="s">
        <v>14904</v>
      </c>
      <c r="RYJ1" s="9" t="s">
        <v>14905</v>
      </c>
      <c r="RYK1" s="9" t="s">
        <v>14906</v>
      </c>
      <c r="RYL1" s="9" t="s">
        <v>14907</v>
      </c>
      <c r="RYM1" s="9" t="s">
        <v>14908</v>
      </c>
      <c r="RYN1" s="9" t="s">
        <v>14909</v>
      </c>
      <c r="RYO1" s="9" t="s">
        <v>14910</v>
      </c>
      <c r="RYP1" s="9" t="s">
        <v>14911</v>
      </c>
      <c r="RYQ1" s="9" t="s">
        <v>14912</v>
      </c>
      <c r="RYR1" s="9" t="s">
        <v>14913</v>
      </c>
      <c r="RYS1" s="9" t="s">
        <v>14914</v>
      </c>
      <c r="RYT1" s="9" t="s">
        <v>14915</v>
      </c>
      <c r="RYU1" s="9" t="s">
        <v>14916</v>
      </c>
      <c r="RYV1" s="9" t="s">
        <v>14917</v>
      </c>
      <c r="RYW1" s="9" t="s">
        <v>14918</v>
      </c>
      <c r="RYX1" s="9" t="s">
        <v>14919</v>
      </c>
      <c r="RYY1" s="9" t="s">
        <v>14920</v>
      </c>
      <c r="RYZ1" s="9" t="s">
        <v>14921</v>
      </c>
      <c r="RZA1" s="9" t="s">
        <v>14922</v>
      </c>
      <c r="RZB1" s="9" t="s">
        <v>14923</v>
      </c>
      <c r="RZC1" s="9" t="s">
        <v>14924</v>
      </c>
      <c r="RZD1" s="9" t="s">
        <v>14925</v>
      </c>
      <c r="RZE1" s="9" t="s">
        <v>14926</v>
      </c>
      <c r="RZF1" s="9" t="s">
        <v>14927</v>
      </c>
      <c r="RZG1" s="9" t="s">
        <v>14928</v>
      </c>
      <c r="RZH1" s="9" t="s">
        <v>14929</v>
      </c>
      <c r="RZI1" s="9" t="s">
        <v>14930</v>
      </c>
      <c r="RZJ1" s="9" t="s">
        <v>14931</v>
      </c>
      <c r="RZK1" s="9" t="s">
        <v>14932</v>
      </c>
      <c r="RZL1" s="9" t="s">
        <v>14933</v>
      </c>
      <c r="RZM1" s="9" t="s">
        <v>14934</v>
      </c>
      <c r="RZN1" s="9" t="s">
        <v>14935</v>
      </c>
      <c r="RZO1" s="9" t="s">
        <v>14936</v>
      </c>
      <c r="RZP1" s="9" t="s">
        <v>14937</v>
      </c>
      <c r="RZQ1" s="9" t="s">
        <v>14938</v>
      </c>
      <c r="RZR1" s="9" t="s">
        <v>14939</v>
      </c>
      <c r="RZS1" s="9" t="s">
        <v>14940</v>
      </c>
      <c r="RZT1" s="9" t="s">
        <v>14941</v>
      </c>
      <c r="RZU1" s="9" t="s">
        <v>14942</v>
      </c>
      <c r="RZV1" s="9" t="s">
        <v>14943</v>
      </c>
      <c r="RZW1" s="9" t="s">
        <v>14944</v>
      </c>
      <c r="RZX1" s="9" t="s">
        <v>14945</v>
      </c>
      <c r="RZY1" s="9" t="s">
        <v>14946</v>
      </c>
      <c r="RZZ1" s="9" t="s">
        <v>14947</v>
      </c>
      <c r="SAA1" s="9" t="s">
        <v>14948</v>
      </c>
      <c r="SAB1" s="9" t="s">
        <v>14949</v>
      </c>
      <c r="SAC1" s="9" t="s">
        <v>14950</v>
      </c>
      <c r="SAD1" s="9" t="s">
        <v>14951</v>
      </c>
      <c r="SAE1" s="9" t="s">
        <v>14952</v>
      </c>
      <c r="SAF1" s="9" t="s">
        <v>14953</v>
      </c>
      <c r="SAG1" s="9" t="s">
        <v>14954</v>
      </c>
      <c r="SAH1" s="9" t="s">
        <v>14955</v>
      </c>
      <c r="SAI1" s="9" t="s">
        <v>14956</v>
      </c>
      <c r="SAJ1" s="9" t="s">
        <v>14957</v>
      </c>
      <c r="SAK1" s="9" t="s">
        <v>14958</v>
      </c>
      <c r="SAL1" s="9" t="s">
        <v>14959</v>
      </c>
      <c r="SAM1" s="9" t="s">
        <v>14960</v>
      </c>
      <c r="SAN1" s="9" t="s">
        <v>14961</v>
      </c>
      <c r="SAO1" s="9" t="s">
        <v>14962</v>
      </c>
      <c r="SAP1" s="9" t="s">
        <v>14963</v>
      </c>
      <c r="SAQ1" s="9" t="s">
        <v>14964</v>
      </c>
      <c r="SAR1" s="9" t="s">
        <v>14965</v>
      </c>
      <c r="SAS1" s="9" t="s">
        <v>14966</v>
      </c>
      <c r="SAT1" s="9" t="s">
        <v>14967</v>
      </c>
      <c r="SAU1" s="9" t="s">
        <v>14968</v>
      </c>
      <c r="SAV1" s="9" t="s">
        <v>14969</v>
      </c>
      <c r="SAW1" s="9" t="s">
        <v>14970</v>
      </c>
      <c r="SAX1" s="9" t="s">
        <v>14971</v>
      </c>
      <c r="SAY1" s="9" t="s">
        <v>14972</v>
      </c>
      <c r="SAZ1" s="9" t="s">
        <v>14973</v>
      </c>
      <c r="SBA1" s="9" t="s">
        <v>14974</v>
      </c>
      <c r="SBB1" s="9" t="s">
        <v>14975</v>
      </c>
      <c r="SBC1" s="9" t="s">
        <v>14976</v>
      </c>
      <c r="SBD1" s="9" t="s">
        <v>14977</v>
      </c>
      <c r="SBE1" s="9" t="s">
        <v>14978</v>
      </c>
      <c r="SBF1" s="9" t="s">
        <v>14979</v>
      </c>
      <c r="SBG1" s="9" t="s">
        <v>14980</v>
      </c>
      <c r="SBH1" s="9" t="s">
        <v>14981</v>
      </c>
      <c r="SBI1" s="9" t="s">
        <v>14982</v>
      </c>
      <c r="SBJ1" s="9" t="s">
        <v>14983</v>
      </c>
      <c r="SBK1" s="9" t="s">
        <v>14984</v>
      </c>
      <c r="SBL1" s="9" t="s">
        <v>14985</v>
      </c>
      <c r="SBM1" s="9" t="s">
        <v>14986</v>
      </c>
      <c r="SBN1" s="9" t="s">
        <v>14987</v>
      </c>
      <c r="SBO1" s="9" t="s">
        <v>14988</v>
      </c>
      <c r="SBP1" s="9" t="s">
        <v>14989</v>
      </c>
      <c r="SBQ1" s="9" t="s">
        <v>14990</v>
      </c>
      <c r="SBR1" s="9" t="s">
        <v>14991</v>
      </c>
      <c r="SBS1" s="9" t="s">
        <v>14992</v>
      </c>
      <c r="SBT1" s="9" t="s">
        <v>14993</v>
      </c>
      <c r="SBU1" s="9" t="s">
        <v>14994</v>
      </c>
      <c r="SBV1" s="9" t="s">
        <v>14995</v>
      </c>
      <c r="SBW1" s="9" t="s">
        <v>14996</v>
      </c>
      <c r="SBX1" s="9" t="s">
        <v>14997</v>
      </c>
      <c r="SBY1" s="9" t="s">
        <v>14998</v>
      </c>
      <c r="SBZ1" s="9" t="s">
        <v>14999</v>
      </c>
      <c r="SCA1" s="9" t="s">
        <v>15000</v>
      </c>
      <c r="SCB1" s="9" t="s">
        <v>15001</v>
      </c>
      <c r="SCC1" s="9" t="s">
        <v>15002</v>
      </c>
      <c r="SCD1" s="9" t="s">
        <v>15003</v>
      </c>
      <c r="SCE1" s="9" t="s">
        <v>15004</v>
      </c>
      <c r="SCF1" s="9" t="s">
        <v>15005</v>
      </c>
      <c r="SCG1" s="9" t="s">
        <v>15006</v>
      </c>
      <c r="SCH1" s="9" t="s">
        <v>15007</v>
      </c>
      <c r="SCI1" s="9" t="s">
        <v>15008</v>
      </c>
      <c r="SCJ1" s="9" t="s">
        <v>15009</v>
      </c>
      <c r="SCK1" s="9" t="s">
        <v>15010</v>
      </c>
      <c r="SCL1" s="9" t="s">
        <v>15011</v>
      </c>
      <c r="SCM1" s="9" t="s">
        <v>15012</v>
      </c>
      <c r="SCN1" s="9" t="s">
        <v>15013</v>
      </c>
      <c r="SCO1" s="9" t="s">
        <v>15014</v>
      </c>
      <c r="SCP1" s="9" t="s">
        <v>15015</v>
      </c>
      <c r="SCQ1" s="9" t="s">
        <v>15016</v>
      </c>
      <c r="SCR1" s="9" t="s">
        <v>15017</v>
      </c>
      <c r="SCS1" s="9" t="s">
        <v>15018</v>
      </c>
      <c r="SCT1" s="9" t="s">
        <v>15019</v>
      </c>
      <c r="SCU1" s="9" t="s">
        <v>15020</v>
      </c>
      <c r="SCV1" s="9" t="s">
        <v>15021</v>
      </c>
      <c r="SCW1" s="9" t="s">
        <v>15022</v>
      </c>
      <c r="SCX1" s="9" t="s">
        <v>15023</v>
      </c>
      <c r="SCY1" s="9" t="s">
        <v>15024</v>
      </c>
      <c r="SCZ1" s="9" t="s">
        <v>15025</v>
      </c>
      <c r="SDA1" s="9" t="s">
        <v>15026</v>
      </c>
      <c r="SDB1" s="9" t="s">
        <v>15027</v>
      </c>
      <c r="SDC1" s="9" t="s">
        <v>15028</v>
      </c>
      <c r="SDD1" s="9" t="s">
        <v>15029</v>
      </c>
      <c r="SDE1" s="9" t="s">
        <v>15030</v>
      </c>
      <c r="SDF1" s="9" t="s">
        <v>15031</v>
      </c>
      <c r="SDG1" s="9" t="s">
        <v>15032</v>
      </c>
      <c r="SDH1" s="9" t="s">
        <v>15033</v>
      </c>
      <c r="SDI1" s="9" t="s">
        <v>15034</v>
      </c>
      <c r="SDJ1" s="9" t="s">
        <v>15035</v>
      </c>
      <c r="SDK1" s="9" t="s">
        <v>15036</v>
      </c>
      <c r="SDL1" s="9" t="s">
        <v>15037</v>
      </c>
      <c r="SDM1" s="9" t="s">
        <v>15038</v>
      </c>
      <c r="SDN1" s="9" t="s">
        <v>15039</v>
      </c>
      <c r="SDO1" s="9" t="s">
        <v>15040</v>
      </c>
      <c r="SDP1" s="9" t="s">
        <v>15041</v>
      </c>
      <c r="SDQ1" s="9" t="s">
        <v>15042</v>
      </c>
      <c r="SDR1" s="9" t="s">
        <v>15043</v>
      </c>
      <c r="SDS1" s="9" t="s">
        <v>15044</v>
      </c>
      <c r="SDT1" s="9" t="s">
        <v>15045</v>
      </c>
      <c r="SDU1" s="9" t="s">
        <v>15046</v>
      </c>
      <c r="SDV1" s="9" t="s">
        <v>15047</v>
      </c>
      <c r="SDW1" s="9" t="s">
        <v>15048</v>
      </c>
      <c r="SDX1" s="9" t="s">
        <v>15049</v>
      </c>
      <c r="SDY1" s="9" t="s">
        <v>15050</v>
      </c>
      <c r="SDZ1" s="9" t="s">
        <v>15051</v>
      </c>
      <c r="SEA1" s="9" t="s">
        <v>15052</v>
      </c>
      <c r="SEB1" s="9" t="s">
        <v>15053</v>
      </c>
      <c r="SEC1" s="9" t="s">
        <v>15054</v>
      </c>
      <c r="SED1" s="9" t="s">
        <v>15055</v>
      </c>
      <c r="SEE1" s="9" t="s">
        <v>15056</v>
      </c>
      <c r="SEF1" s="9" t="s">
        <v>15057</v>
      </c>
      <c r="SEG1" s="9" t="s">
        <v>15058</v>
      </c>
      <c r="SEH1" s="9" t="s">
        <v>15059</v>
      </c>
      <c r="SEI1" s="9" t="s">
        <v>15060</v>
      </c>
      <c r="SEJ1" s="9" t="s">
        <v>15061</v>
      </c>
      <c r="SEK1" s="9" t="s">
        <v>15062</v>
      </c>
      <c r="SEL1" s="9" t="s">
        <v>15063</v>
      </c>
      <c r="SEM1" s="9" t="s">
        <v>15064</v>
      </c>
      <c r="SEN1" s="9" t="s">
        <v>15065</v>
      </c>
      <c r="SEO1" s="9" t="s">
        <v>15066</v>
      </c>
      <c r="SEP1" s="9" t="s">
        <v>15067</v>
      </c>
      <c r="SEQ1" s="9" t="s">
        <v>15068</v>
      </c>
      <c r="SER1" s="9" t="s">
        <v>15069</v>
      </c>
      <c r="SES1" s="9" t="s">
        <v>15070</v>
      </c>
      <c r="SET1" s="9" t="s">
        <v>15071</v>
      </c>
      <c r="SEU1" s="9" t="s">
        <v>15072</v>
      </c>
      <c r="SEV1" s="9" t="s">
        <v>15073</v>
      </c>
      <c r="SEW1" s="9" t="s">
        <v>15074</v>
      </c>
      <c r="SEX1" s="9" t="s">
        <v>15075</v>
      </c>
      <c r="SEY1" s="9" t="s">
        <v>15076</v>
      </c>
      <c r="SEZ1" s="9" t="s">
        <v>15077</v>
      </c>
      <c r="SFA1" s="9" t="s">
        <v>15078</v>
      </c>
      <c r="SFB1" s="9" t="s">
        <v>15079</v>
      </c>
      <c r="SFC1" s="9" t="s">
        <v>15080</v>
      </c>
      <c r="SFD1" s="9" t="s">
        <v>15081</v>
      </c>
      <c r="SFE1" s="9" t="s">
        <v>15082</v>
      </c>
      <c r="SFF1" s="9" t="s">
        <v>15083</v>
      </c>
      <c r="SFG1" s="9" t="s">
        <v>15084</v>
      </c>
      <c r="SFH1" s="9" t="s">
        <v>15085</v>
      </c>
      <c r="SFI1" s="9" t="s">
        <v>15086</v>
      </c>
      <c r="SFJ1" s="9" t="s">
        <v>15087</v>
      </c>
      <c r="SFK1" s="9" t="s">
        <v>15088</v>
      </c>
      <c r="SFL1" s="9" t="s">
        <v>15089</v>
      </c>
      <c r="SFM1" s="9" t="s">
        <v>15090</v>
      </c>
      <c r="SFN1" s="9" t="s">
        <v>15091</v>
      </c>
      <c r="SFO1" s="9" t="s">
        <v>15092</v>
      </c>
      <c r="SFP1" s="9" t="s">
        <v>15093</v>
      </c>
      <c r="SFQ1" s="9" t="s">
        <v>15094</v>
      </c>
      <c r="SFR1" s="9" t="s">
        <v>15095</v>
      </c>
      <c r="SFS1" s="9" t="s">
        <v>15096</v>
      </c>
      <c r="SFT1" s="9" t="s">
        <v>15097</v>
      </c>
      <c r="SFU1" s="9" t="s">
        <v>15098</v>
      </c>
      <c r="SFV1" s="9" t="s">
        <v>15099</v>
      </c>
      <c r="SFW1" s="9" t="s">
        <v>15100</v>
      </c>
      <c r="SFX1" s="9" t="s">
        <v>15101</v>
      </c>
      <c r="SFY1" s="9" t="s">
        <v>15102</v>
      </c>
      <c r="SFZ1" s="9" t="s">
        <v>15103</v>
      </c>
      <c r="SGA1" s="9" t="s">
        <v>15104</v>
      </c>
      <c r="SGB1" s="9" t="s">
        <v>15105</v>
      </c>
      <c r="SGC1" s="9" t="s">
        <v>15106</v>
      </c>
      <c r="SGD1" s="9" t="s">
        <v>15107</v>
      </c>
      <c r="SGE1" s="9" t="s">
        <v>15108</v>
      </c>
      <c r="SGF1" s="9" t="s">
        <v>15109</v>
      </c>
      <c r="SGG1" s="9" t="s">
        <v>15110</v>
      </c>
      <c r="SGH1" s="9" t="s">
        <v>15111</v>
      </c>
      <c r="SGI1" s="9" t="s">
        <v>15112</v>
      </c>
      <c r="SGJ1" s="9" t="s">
        <v>15113</v>
      </c>
      <c r="SGK1" s="9" t="s">
        <v>15114</v>
      </c>
      <c r="SGL1" s="9" t="s">
        <v>15115</v>
      </c>
      <c r="SGM1" s="9" t="s">
        <v>15116</v>
      </c>
      <c r="SGN1" s="9" t="s">
        <v>15117</v>
      </c>
      <c r="SGO1" s="9" t="s">
        <v>15118</v>
      </c>
      <c r="SGP1" s="9" t="s">
        <v>15119</v>
      </c>
      <c r="SGQ1" s="9" t="s">
        <v>15120</v>
      </c>
      <c r="SGR1" s="9" t="s">
        <v>15121</v>
      </c>
      <c r="SGS1" s="9" t="s">
        <v>15122</v>
      </c>
      <c r="SGT1" s="9" t="s">
        <v>15123</v>
      </c>
      <c r="SGU1" s="9" t="s">
        <v>15124</v>
      </c>
      <c r="SGV1" s="9" t="s">
        <v>15125</v>
      </c>
      <c r="SGW1" s="9" t="s">
        <v>15126</v>
      </c>
      <c r="SGX1" s="9" t="s">
        <v>15127</v>
      </c>
      <c r="SGY1" s="9" t="s">
        <v>15128</v>
      </c>
      <c r="SGZ1" s="9" t="s">
        <v>15129</v>
      </c>
      <c r="SHA1" s="9" t="s">
        <v>15130</v>
      </c>
      <c r="SHB1" s="9" t="s">
        <v>15131</v>
      </c>
      <c r="SHC1" s="9" t="s">
        <v>15132</v>
      </c>
      <c r="SHD1" s="9" t="s">
        <v>15133</v>
      </c>
      <c r="SHE1" s="9" t="s">
        <v>15134</v>
      </c>
      <c r="SHF1" s="9" t="s">
        <v>15135</v>
      </c>
      <c r="SHG1" s="9" t="s">
        <v>15136</v>
      </c>
      <c r="SHH1" s="9" t="s">
        <v>15137</v>
      </c>
      <c r="SHI1" s="9" t="s">
        <v>15138</v>
      </c>
      <c r="SHJ1" s="9" t="s">
        <v>15139</v>
      </c>
      <c r="SHK1" s="9" t="s">
        <v>15140</v>
      </c>
      <c r="SHL1" s="9" t="s">
        <v>15141</v>
      </c>
      <c r="SHM1" s="9" t="s">
        <v>15142</v>
      </c>
      <c r="SHN1" s="9" t="s">
        <v>15143</v>
      </c>
      <c r="SHO1" s="9" t="s">
        <v>15144</v>
      </c>
      <c r="SHP1" s="9" t="s">
        <v>15145</v>
      </c>
      <c r="SHQ1" s="9" t="s">
        <v>15146</v>
      </c>
      <c r="SHR1" s="9" t="s">
        <v>15147</v>
      </c>
      <c r="SHS1" s="9" t="s">
        <v>15148</v>
      </c>
      <c r="SHT1" s="9" t="s">
        <v>15149</v>
      </c>
      <c r="SHU1" s="9" t="s">
        <v>15150</v>
      </c>
      <c r="SHV1" s="9" t="s">
        <v>15151</v>
      </c>
      <c r="SHW1" s="9" t="s">
        <v>15152</v>
      </c>
      <c r="SHX1" s="9" t="s">
        <v>15153</v>
      </c>
      <c r="SHY1" s="9" t="s">
        <v>15154</v>
      </c>
      <c r="SHZ1" s="9" t="s">
        <v>15155</v>
      </c>
      <c r="SIA1" s="9" t="s">
        <v>15156</v>
      </c>
      <c r="SIB1" s="9" t="s">
        <v>15157</v>
      </c>
      <c r="SIC1" s="9" t="s">
        <v>15158</v>
      </c>
      <c r="SID1" s="9" t="s">
        <v>15159</v>
      </c>
      <c r="SIE1" s="9" t="s">
        <v>15160</v>
      </c>
      <c r="SIF1" s="9" t="s">
        <v>15161</v>
      </c>
      <c r="SIG1" s="9" t="s">
        <v>15162</v>
      </c>
      <c r="SIH1" s="9" t="s">
        <v>15163</v>
      </c>
      <c r="SII1" s="9" t="s">
        <v>15164</v>
      </c>
      <c r="SIJ1" s="9" t="s">
        <v>15165</v>
      </c>
      <c r="SIK1" s="9" t="s">
        <v>15166</v>
      </c>
      <c r="SIL1" s="9" t="s">
        <v>15167</v>
      </c>
      <c r="SIM1" s="9" t="s">
        <v>15168</v>
      </c>
      <c r="SIN1" s="9" t="s">
        <v>15169</v>
      </c>
      <c r="SIO1" s="9" t="s">
        <v>15170</v>
      </c>
      <c r="SIP1" s="9" t="s">
        <v>15171</v>
      </c>
      <c r="SIQ1" s="9" t="s">
        <v>15172</v>
      </c>
      <c r="SIR1" s="9" t="s">
        <v>15173</v>
      </c>
      <c r="SIS1" s="9" t="s">
        <v>15174</v>
      </c>
      <c r="SIT1" s="9" t="s">
        <v>15175</v>
      </c>
      <c r="SIU1" s="9" t="s">
        <v>15176</v>
      </c>
      <c r="SIV1" s="9" t="s">
        <v>15177</v>
      </c>
      <c r="SIW1" s="9" t="s">
        <v>15178</v>
      </c>
      <c r="SIX1" s="9" t="s">
        <v>15179</v>
      </c>
      <c r="SIY1" s="9" t="s">
        <v>15180</v>
      </c>
      <c r="SIZ1" s="9" t="s">
        <v>15181</v>
      </c>
      <c r="SJA1" s="9" t="s">
        <v>15182</v>
      </c>
      <c r="SJB1" s="9" t="s">
        <v>15183</v>
      </c>
      <c r="SJC1" s="9" t="s">
        <v>15184</v>
      </c>
      <c r="SJD1" s="9" t="s">
        <v>15185</v>
      </c>
      <c r="SJE1" s="9" t="s">
        <v>15186</v>
      </c>
      <c r="SJF1" s="9" t="s">
        <v>15187</v>
      </c>
      <c r="SJG1" s="9" t="s">
        <v>15188</v>
      </c>
      <c r="SJH1" s="9" t="s">
        <v>15189</v>
      </c>
      <c r="SJI1" s="9" t="s">
        <v>15190</v>
      </c>
      <c r="SJJ1" s="9" t="s">
        <v>15191</v>
      </c>
      <c r="SJK1" s="9" t="s">
        <v>15192</v>
      </c>
      <c r="SJL1" s="9" t="s">
        <v>15193</v>
      </c>
      <c r="SJM1" s="9" t="s">
        <v>15194</v>
      </c>
      <c r="SJN1" s="9" t="s">
        <v>15195</v>
      </c>
      <c r="SJO1" s="9" t="s">
        <v>15196</v>
      </c>
      <c r="SJP1" s="9" t="s">
        <v>15197</v>
      </c>
      <c r="SJQ1" s="9" t="s">
        <v>15198</v>
      </c>
      <c r="SJR1" s="9" t="s">
        <v>15199</v>
      </c>
      <c r="SJS1" s="9" t="s">
        <v>15200</v>
      </c>
      <c r="SJT1" s="9" t="s">
        <v>15201</v>
      </c>
      <c r="SJU1" s="9" t="s">
        <v>15202</v>
      </c>
      <c r="SJV1" s="9" t="s">
        <v>15203</v>
      </c>
      <c r="SJW1" s="9" t="s">
        <v>15204</v>
      </c>
      <c r="SJX1" s="9" t="s">
        <v>15205</v>
      </c>
      <c r="SJY1" s="9" t="s">
        <v>15206</v>
      </c>
      <c r="SJZ1" s="9" t="s">
        <v>15207</v>
      </c>
      <c r="SKA1" s="9" t="s">
        <v>15208</v>
      </c>
      <c r="SKB1" s="9" t="s">
        <v>15209</v>
      </c>
      <c r="SKC1" s="9" t="s">
        <v>15210</v>
      </c>
      <c r="SKD1" s="9" t="s">
        <v>15211</v>
      </c>
      <c r="SKE1" s="9" t="s">
        <v>15212</v>
      </c>
      <c r="SKF1" s="9" t="s">
        <v>15213</v>
      </c>
      <c r="SKG1" s="9" t="s">
        <v>15214</v>
      </c>
      <c r="SKH1" s="9" t="s">
        <v>15215</v>
      </c>
      <c r="SKI1" s="9" t="s">
        <v>15216</v>
      </c>
      <c r="SKJ1" s="9" t="s">
        <v>15217</v>
      </c>
      <c r="SKK1" s="9" t="s">
        <v>15218</v>
      </c>
      <c r="SKL1" s="9" t="s">
        <v>15219</v>
      </c>
      <c r="SKM1" s="9" t="s">
        <v>15220</v>
      </c>
      <c r="SKN1" s="9" t="s">
        <v>15221</v>
      </c>
      <c r="SKO1" s="9" t="s">
        <v>15222</v>
      </c>
      <c r="SKP1" s="9" t="s">
        <v>15223</v>
      </c>
      <c r="SKQ1" s="9" t="s">
        <v>15224</v>
      </c>
      <c r="SKR1" s="9" t="s">
        <v>15225</v>
      </c>
      <c r="SKS1" s="9" t="s">
        <v>15226</v>
      </c>
      <c r="SKT1" s="9" t="s">
        <v>15227</v>
      </c>
      <c r="SKU1" s="9" t="s">
        <v>15228</v>
      </c>
      <c r="SKV1" s="9" t="s">
        <v>15229</v>
      </c>
      <c r="SKW1" s="9" t="s">
        <v>15230</v>
      </c>
      <c r="SKX1" s="9" t="s">
        <v>15231</v>
      </c>
      <c r="SKY1" s="9" t="s">
        <v>15232</v>
      </c>
      <c r="SKZ1" s="9" t="s">
        <v>15233</v>
      </c>
      <c r="SLA1" s="9" t="s">
        <v>15234</v>
      </c>
      <c r="SLB1" s="9" t="s">
        <v>15235</v>
      </c>
      <c r="SLC1" s="9" t="s">
        <v>15236</v>
      </c>
      <c r="SLD1" s="9" t="s">
        <v>15237</v>
      </c>
      <c r="SLE1" s="9" t="s">
        <v>15238</v>
      </c>
      <c r="SLF1" s="9" t="s">
        <v>15239</v>
      </c>
      <c r="SLG1" s="9" t="s">
        <v>15240</v>
      </c>
      <c r="SLH1" s="9" t="s">
        <v>15241</v>
      </c>
      <c r="SLI1" s="9" t="s">
        <v>15242</v>
      </c>
      <c r="SLJ1" s="9" t="s">
        <v>15243</v>
      </c>
      <c r="SLK1" s="9" t="s">
        <v>15244</v>
      </c>
      <c r="SLL1" s="9" t="s">
        <v>15245</v>
      </c>
      <c r="SLM1" s="9" t="s">
        <v>15246</v>
      </c>
      <c r="SLN1" s="9" t="s">
        <v>15247</v>
      </c>
      <c r="SLO1" s="9" t="s">
        <v>15248</v>
      </c>
      <c r="SLP1" s="9" t="s">
        <v>15249</v>
      </c>
      <c r="SLQ1" s="9" t="s">
        <v>15250</v>
      </c>
      <c r="SLR1" s="9" t="s">
        <v>15251</v>
      </c>
      <c r="SLS1" s="9" t="s">
        <v>15252</v>
      </c>
      <c r="SLT1" s="9" t="s">
        <v>15253</v>
      </c>
      <c r="SLU1" s="9" t="s">
        <v>15254</v>
      </c>
      <c r="SLV1" s="9" t="s">
        <v>15255</v>
      </c>
      <c r="SLW1" s="9" t="s">
        <v>15256</v>
      </c>
      <c r="SLX1" s="9" t="s">
        <v>15257</v>
      </c>
      <c r="SLY1" s="9" t="s">
        <v>15258</v>
      </c>
      <c r="SLZ1" s="9" t="s">
        <v>15259</v>
      </c>
      <c r="SMA1" s="9" t="s">
        <v>15260</v>
      </c>
      <c r="SMB1" s="9" t="s">
        <v>15261</v>
      </c>
      <c r="SMC1" s="9" t="s">
        <v>15262</v>
      </c>
      <c r="SMD1" s="9" t="s">
        <v>15263</v>
      </c>
      <c r="SME1" s="9" t="s">
        <v>15264</v>
      </c>
      <c r="SMF1" s="9" t="s">
        <v>15265</v>
      </c>
      <c r="SMG1" s="9" t="s">
        <v>15266</v>
      </c>
      <c r="SMH1" s="9" t="s">
        <v>15267</v>
      </c>
      <c r="SMI1" s="9" t="s">
        <v>15268</v>
      </c>
      <c r="SMJ1" s="9" t="s">
        <v>15269</v>
      </c>
      <c r="SMK1" s="9" t="s">
        <v>15270</v>
      </c>
      <c r="SML1" s="9" t="s">
        <v>15271</v>
      </c>
      <c r="SMM1" s="9" t="s">
        <v>15272</v>
      </c>
      <c r="SMN1" s="9" t="s">
        <v>15273</v>
      </c>
      <c r="SMO1" s="9" t="s">
        <v>15274</v>
      </c>
      <c r="SMP1" s="9" t="s">
        <v>15275</v>
      </c>
      <c r="SMQ1" s="9" t="s">
        <v>15276</v>
      </c>
      <c r="SMR1" s="9" t="s">
        <v>15277</v>
      </c>
      <c r="SMS1" s="9" t="s">
        <v>15278</v>
      </c>
      <c r="SMT1" s="9" t="s">
        <v>15279</v>
      </c>
      <c r="SMU1" s="9" t="s">
        <v>15280</v>
      </c>
      <c r="SMV1" s="9" t="s">
        <v>15281</v>
      </c>
      <c r="SMW1" s="9" t="s">
        <v>15282</v>
      </c>
      <c r="SMX1" s="9" t="s">
        <v>15283</v>
      </c>
      <c r="SMY1" s="9" t="s">
        <v>15284</v>
      </c>
      <c r="SMZ1" s="9" t="s">
        <v>15285</v>
      </c>
      <c r="SNA1" s="9" t="s">
        <v>15286</v>
      </c>
      <c r="SNB1" s="9" t="s">
        <v>15287</v>
      </c>
      <c r="SNC1" s="9" t="s">
        <v>15288</v>
      </c>
      <c r="SND1" s="9" t="s">
        <v>15289</v>
      </c>
      <c r="SNE1" s="9" t="s">
        <v>15290</v>
      </c>
      <c r="SNF1" s="9" t="s">
        <v>15291</v>
      </c>
      <c r="SNG1" s="9" t="s">
        <v>15292</v>
      </c>
      <c r="SNH1" s="9" t="s">
        <v>15293</v>
      </c>
      <c r="SNI1" s="9" t="s">
        <v>15294</v>
      </c>
      <c r="SNJ1" s="9" t="s">
        <v>15295</v>
      </c>
      <c r="SNK1" s="9" t="s">
        <v>15296</v>
      </c>
      <c r="SNL1" s="9" t="s">
        <v>15297</v>
      </c>
      <c r="SNM1" s="9" t="s">
        <v>15298</v>
      </c>
      <c r="SNN1" s="9" t="s">
        <v>15299</v>
      </c>
      <c r="SNO1" s="9" t="s">
        <v>15300</v>
      </c>
      <c r="SNP1" s="9" t="s">
        <v>15301</v>
      </c>
      <c r="SNQ1" s="9" t="s">
        <v>15302</v>
      </c>
      <c r="SNR1" s="9" t="s">
        <v>15303</v>
      </c>
      <c r="SNS1" s="9" t="s">
        <v>15304</v>
      </c>
      <c r="SNT1" s="9" t="s">
        <v>15305</v>
      </c>
      <c r="SNU1" s="9" t="s">
        <v>15306</v>
      </c>
      <c r="SNV1" s="9" t="s">
        <v>15307</v>
      </c>
      <c r="SNW1" s="9" t="s">
        <v>15308</v>
      </c>
      <c r="SNX1" s="9" t="s">
        <v>15309</v>
      </c>
      <c r="SNY1" s="9" t="s">
        <v>15310</v>
      </c>
      <c r="SNZ1" s="9" t="s">
        <v>15311</v>
      </c>
      <c r="SOA1" s="9" t="s">
        <v>15312</v>
      </c>
      <c r="SOB1" s="9" t="s">
        <v>15313</v>
      </c>
      <c r="SOC1" s="9" t="s">
        <v>15314</v>
      </c>
      <c r="SOD1" s="9" t="s">
        <v>15315</v>
      </c>
      <c r="SOE1" s="9" t="s">
        <v>15316</v>
      </c>
      <c r="SOF1" s="9" t="s">
        <v>15317</v>
      </c>
      <c r="SOG1" s="9" t="s">
        <v>15318</v>
      </c>
      <c r="SOH1" s="9" t="s">
        <v>15319</v>
      </c>
      <c r="SOI1" s="9" t="s">
        <v>15320</v>
      </c>
      <c r="SOJ1" s="9" t="s">
        <v>15321</v>
      </c>
      <c r="SOK1" s="9" t="s">
        <v>15322</v>
      </c>
      <c r="SOL1" s="9" t="s">
        <v>15323</v>
      </c>
      <c r="SOM1" s="9" t="s">
        <v>15324</v>
      </c>
      <c r="SON1" s="9" t="s">
        <v>15325</v>
      </c>
      <c r="SOO1" s="9" t="s">
        <v>15326</v>
      </c>
      <c r="SOP1" s="9" t="s">
        <v>15327</v>
      </c>
      <c r="SOQ1" s="9" t="s">
        <v>15328</v>
      </c>
      <c r="SOR1" s="9" t="s">
        <v>15329</v>
      </c>
      <c r="SOS1" s="9" t="s">
        <v>15330</v>
      </c>
      <c r="SOT1" s="9" t="s">
        <v>15331</v>
      </c>
      <c r="SOU1" s="9" t="s">
        <v>15332</v>
      </c>
      <c r="SOV1" s="9" t="s">
        <v>15333</v>
      </c>
      <c r="SOW1" s="9" t="s">
        <v>15334</v>
      </c>
      <c r="SOX1" s="9" t="s">
        <v>15335</v>
      </c>
      <c r="SOY1" s="9" t="s">
        <v>15336</v>
      </c>
      <c r="SOZ1" s="9" t="s">
        <v>15337</v>
      </c>
      <c r="SPA1" s="9" t="s">
        <v>15338</v>
      </c>
      <c r="SPB1" s="9" t="s">
        <v>15339</v>
      </c>
      <c r="SPC1" s="9" t="s">
        <v>15340</v>
      </c>
      <c r="SPD1" s="9" t="s">
        <v>15341</v>
      </c>
      <c r="SPE1" s="9" t="s">
        <v>15342</v>
      </c>
      <c r="SPF1" s="9" t="s">
        <v>15343</v>
      </c>
      <c r="SPG1" s="9" t="s">
        <v>15344</v>
      </c>
      <c r="SPH1" s="9" t="s">
        <v>15345</v>
      </c>
      <c r="SPI1" s="9" t="s">
        <v>15346</v>
      </c>
      <c r="SPJ1" s="9" t="s">
        <v>15347</v>
      </c>
      <c r="SPK1" s="9" t="s">
        <v>15348</v>
      </c>
      <c r="SPL1" s="9" t="s">
        <v>15349</v>
      </c>
      <c r="SPM1" s="9" t="s">
        <v>15350</v>
      </c>
      <c r="SPN1" s="9" t="s">
        <v>15351</v>
      </c>
      <c r="SPO1" s="9" t="s">
        <v>15352</v>
      </c>
      <c r="SPP1" s="9" t="s">
        <v>15353</v>
      </c>
      <c r="SPQ1" s="9" t="s">
        <v>15354</v>
      </c>
      <c r="SPR1" s="9" t="s">
        <v>15355</v>
      </c>
      <c r="SPS1" s="9" t="s">
        <v>15356</v>
      </c>
      <c r="SPT1" s="9" t="s">
        <v>15357</v>
      </c>
      <c r="SPU1" s="9" t="s">
        <v>15358</v>
      </c>
      <c r="SPV1" s="9" t="s">
        <v>15359</v>
      </c>
      <c r="SPW1" s="9" t="s">
        <v>15360</v>
      </c>
      <c r="SPX1" s="9" t="s">
        <v>15361</v>
      </c>
      <c r="SPY1" s="9" t="s">
        <v>15362</v>
      </c>
      <c r="SPZ1" s="9" t="s">
        <v>15363</v>
      </c>
      <c r="SQA1" s="9" t="s">
        <v>15364</v>
      </c>
      <c r="SQB1" s="9" t="s">
        <v>15365</v>
      </c>
      <c r="SQC1" s="9" t="s">
        <v>15366</v>
      </c>
      <c r="SQD1" s="9" t="s">
        <v>15367</v>
      </c>
      <c r="SQE1" s="9" t="s">
        <v>15368</v>
      </c>
      <c r="SQF1" s="9" t="s">
        <v>15369</v>
      </c>
      <c r="SQG1" s="9" t="s">
        <v>15370</v>
      </c>
      <c r="SQH1" s="9" t="s">
        <v>15371</v>
      </c>
      <c r="SQI1" s="9" t="s">
        <v>15372</v>
      </c>
      <c r="SQJ1" s="9" t="s">
        <v>15373</v>
      </c>
      <c r="SQK1" s="9" t="s">
        <v>15374</v>
      </c>
      <c r="SQL1" s="9" t="s">
        <v>15375</v>
      </c>
      <c r="SQM1" s="9" t="s">
        <v>15376</v>
      </c>
      <c r="SQN1" s="9" t="s">
        <v>15377</v>
      </c>
      <c r="SQO1" s="9" t="s">
        <v>15378</v>
      </c>
      <c r="SQP1" s="9" t="s">
        <v>15379</v>
      </c>
      <c r="SQQ1" s="9" t="s">
        <v>15380</v>
      </c>
      <c r="SQR1" s="9" t="s">
        <v>15381</v>
      </c>
      <c r="SQS1" s="9" t="s">
        <v>15382</v>
      </c>
      <c r="SQT1" s="9" t="s">
        <v>15383</v>
      </c>
      <c r="SQU1" s="9" t="s">
        <v>15384</v>
      </c>
      <c r="SQV1" s="9" t="s">
        <v>15385</v>
      </c>
      <c r="SQW1" s="9" t="s">
        <v>15386</v>
      </c>
      <c r="SQX1" s="9" t="s">
        <v>15387</v>
      </c>
      <c r="SQY1" s="9" t="s">
        <v>15388</v>
      </c>
      <c r="SQZ1" s="9" t="s">
        <v>15389</v>
      </c>
      <c r="SRA1" s="9" t="s">
        <v>15390</v>
      </c>
      <c r="SRB1" s="9" t="s">
        <v>15391</v>
      </c>
      <c r="SRC1" s="9" t="s">
        <v>15392</v>
      </c>
      <c r="SRD1" s="9" t="s">
        <v>15393</v>
      </c>
      <c r="SRE1" s="9" t="s">
        <v>15394</v>
      </c>
      <c r="SRF1" s="9" t="s">
        <v>15395</v>
      </c>
      <c r="SRG1" s="9" t="s">
        <v>15396</v>
      </c>
      <c r="SRH1" s="9" t="s">
        <v>15397</v>
      </c>
      <c r="SRI1" s="9" t="s">
        <v>15398</v>
      </c>
      <c r="SRJ1" s="9" t="s">
        <v>15399</v>
      </c>
      <c r="SRK1" s="9" t="s">
        <v>15400</v>
      </c>
      <c r="SRL1" s="9" t="s">
        <v>15401</v>
      </c>
      <c r="SRM1" s="9" t="s">
        <v>15402</v>
      </c>
      <c r="SRN1" s="9" t="s">
        <v>15403</v>
      </c>
      <c r="SRO1" s="9" t="s">
        <v>15404</v>
      </c>
      <c r="SRP1" s="9" t="s">
        <v>15405</v>
      </c>
      <c r="SRQ1" s="9" t="s">
        <v>15406</v>
      </c>
      <c r="SRR1" s="9" t="s">
        <v>15407</v>
      </c>
      <c r="SRS1" s="9" t="s">
        <v>15408</v>
      </c>
      <c r="SRT1" s="9" t="s">
        <v>15409</v>
      </c>
      <c r="SRU1" s="9" t="s">
        <v>15410</v>
      </c>
      <c r="SRV1" s="9" t="s">
        <v>15411</v>
      </c>
      <c r="SRW1" s="9" t="s">
        <v>15412</v>
      </c>
      <c r="SRX1" s="9" t="s">
        <v>15413</v>
      </c>
      <c r="SRY1" s="9" t="s">
        <v>15414</v>
      </c>
      <c r="SRZ1" s="9" t="s">
        <v>15415</v>
      </c>
      <c r="SSA1" s="9" t="s">
        <v>15416</v>
      </c>
      <c r="SSB1" s="9" t="s">
        <v>15417</v>
      </c>
      <c r="SSC1" s="9" t="s">
        <v>15418</v>
      </c>
      <c r="SSD1" s="9" t="s">
        <v>15419</v>
      </c>
      <c r="SSE1" s="9" t="s">
        <v>15420</v>
      </c>
      <c r="SSF1" s="9" t="s">
        <v>15421</v>
      </c>
      <c r="SSG1" s="9" t="s">
        <v>15422</v>
      </c>
      <c r="SSH1" s="9" t="s">
        <v>15423</v>
      </c>
      <c r="SSI1" s="9" t="s">
        <v>15424</v>
      </c>
      <c r="SSJ1" s="9" t="s">
        <v>15425</v>
      </c>
      <c r="SSK1" s="9" t="s">
        <v>15426</v>
      </c>
      <c r="SSL1" s="9" t="s">
        <v>15427</v>
      </c>
      <c r="SSM1" s="9" t="s">
        <v>15428</v>
      </c>
      <c r="SSN1" s="9" t="s">
        <v>15429</v>
      </c>
      <c r="SSO1" s="9" t="s">
        <v>15430</v>
      </c>
      <c r="SSP1" s="9" t="s">
        <v>15431</v>
      </c>
      <c r="SSQ1" s="9" t="s">
        <v>15432</v>
      </c>
      <c r="SSR1" s="9" t="s">
        <v>15433</v>
      </c>
      <c r="SSS1" s="9" t="s">
        <v>15434</v>
      </c>
      <c r="SST1" s="9" t="s">
        <v>15435</v>
      </c>
      <c r="SSU1" s="9" t="s">
        <v>15436</v>
      </c>
      <c r="SSV1" s="9" t="s">
        <v>15437</v>
      </c>
      <c r="SSW1" s="9" t="s">
        <v>15438</v>
      </c>
      <c r="SSX1" s="9" t="s">
        <v>15439</v>
      </c>
      <c r="SSY1" s="9" t="s">
        <v>15440</v>
      </c>
      <c r="SSZ1" s="9" t="s">
        <v>15441</v>
      </c>
      <c r="STA1" s="9" t="s">
        <v>15442</v>
      </c>
      <c r="STB1" s="9" t="s">
        <v>15443</v>
      </c>
      <c r="STC1" s="9" t="s">
        <v>15444</v>
      </c>
      <c r="STD1" s="9" t="s">
        <v>15445</v>
      </c>
      <c r="STE1" s="9" t="s">
        <v>15446</v>
      </c>
      <c r="STF1" s="9" t="s">
        <v>15447</v>
      </c>
      <c r="STG1" s="9" t="s">
        <v>15448</v>
      </c>
      <c r="STH1" s="9" t="s">
        <v>15449</v>
      </c>
      <c r="STI1" s="9" t="s">
        <v>15450</v>
      </c>
      <c r="STJ1" s="9" t="s">
        <v>15451</v>
      </c>
      <c r="STK1" s="9" t="s">
        <v>15452</v>
      </c>
      <c r="STL1" s="9" t="s">
        <v>15453</v>
      </c>
      <c r="STM1" s="9" t="s">
        <v>15454</v>
      </c>
      <c r="STN1" s="9" t="s">
        <v>15455</v>
      </c>
      <c r="STO1" s="9" t="s">
        <v>15456</v>
      </c>
      <c r="STP1" s="9" t="s">
        <v>15457</v>
      </c>
      <c r="STQ1" s="9" t="s">
        <v>15458</v>
      </c>
      <c r="STR1" s="9" t="s">
        <v>15459</v>
      </c>
      <c r="STS1" s="9" t="s">
        <v>15460</v>
      </c>
      <c r="STT1" s="9" t="s">
        <v>15461</v>
      </c>
      <c r="STU1" s="9" t="s">
        <v>15462</v>
      </c>
      <c r="STV1" s="9" t="s">
        <v>15463</v>
      </c>
      <c r="STW1" s="9" t="s">
        <v>15464</v>
      </c>
      <c r="STX1" s="9" t="s">
        <v>15465</v>
      </c>
      <c r="STY1" s="9" t="s">
        <v>15466</v>
      </c>
      <c r="STZ1" s="9" t="s">
        <v>15467</v>
      </c>
      <c r="SUA1" s="9" t="s">
        <v>15468</v>
      </c>
      <c r="SUB1" s="9" t="s">
        <v>15469</v>
      </c>
      <c r="SUC1" s="9" t="s">
        <v>15470</v>
      </c>
      <c r="SUD1" s="9" t="s">
        <v>15471</v>
      </c>
      <c r="SUE1" s="9" t="s">
        <v>15472</v>
      </c>
      <c r="SUF1" s="9" t="s">
        <v>15473</v>
      </c>
      <c r="SUG1" s="9" t="s">
        <v>15474</v>
      </c>
      <c r="SUH1" s="9" t="s">
        <v>15475</v>
      </c>
      <c r="SUI1" s="9" t="s">
        <v>15476</v>
      </c>
      <c r="SUJ1" s="9" t="s">
        <v>15477</v>
      </c>
      <c r="SUK1" s="9" t="s">
        <v>15478</v>
      </c>
      <c r="SUL1" s="9" t="s">
        <v>15479</v>
      </c>
      <c r="SUM1" s="9" t="s">
        <v>15480</v>
      </c>
      <c r="SUN1" s="9" t="s">
        <v>15481</v>
      </c>
      <c r="SUO1" s="9" t="s">
        <v>15482</v>
      </c>
      <c r="SUP1" s="9" t="s">
        <v>15483</v>
      </c>
      <c r="SUQ1" s="9" t="s">
        <v>15484</v>
      </c>
      <c r="SUR1" s="9" t="s">
        <v>15485</v>
      </c>
      <c r="SUS1" s="9" t="s">
        <v>15486</v>
      </c>
      <c r="SUT1" s="9" t="s">
        <v>15487</v>
      </c>
      <c r="SUU1" s="9" t="s">
        <v>15488</v>
      </c>
      <c r="SUV1" s="9" t="s">
        <v>15489</v>
      </c>
      <c r="SUW1" s="9" t="s">
        <v>15490</v>
      </c>
      <c r="SUX1" s="9" t="s">
        <v>15491</v>
      </c>
      <c r="SUY1" s="9" t="s">
        <v>15492</v>
      </c>
      <c r="SUZ1" s="9" t="s">
        <v>15493</v>
      </c>
      <c r="SVA1" s="9" t="s">
        <v>15494</v>
      </c>
      <c r="SVB1" s="9" t="s">
        <v>15495</v>
      </c>
      <c r="SVC1" s="9" t="s">
        <v>15496</v>
      </c>
      <c r="SVD1" s="9" t="s">
        <v>15497</v>
      </c>
      <c r="SVE1" s="9" t="s">
        <v>15498</v>
      </c>
      <c r="SVF1" s="9" t="s">
        <v>15499</v>
      </c>
      <c r="SVG1" s="9" t="s">
        <v>15500</v>
      </c>
      <c r="SVH1" s="9" t="s">
        <v>15501</v>
      </c>
      <c r="SVI1" s="9" t="s">
        <v>15502</v>
      </c>
      <c r="SVJ1" s="9" t="s">
        <v>15503</v>
      </c>
      <c r="SVK1" s="9" t="s">
        <v>15504</v>
      </c>
      <c r="SVL1" s="9" t="s">
        <v>15505</v>
      </c>
      <c r="SVM1" s="9" t="s">
        <v>15506</v>
      </c>
      <c r="SVN1" s="9" t="s">
        <v>15507</v>
      </c>
      <c r="SVO1" s="9" t="s">
        <v>15508</v>
      </c>
      <c r="SVP1" s="9" t="s">
        <v>15509</v>
      </c>
      <c r="SVQ1" s="9" t="s">
        <v>15510</v>
      </c>
      <c r="SVR1" s="9" t="s">
        <v>15511</v>
      </c>
      <c r="SVS1" s="9" t="s">
        <v>15512</v>
      </c>
      <c r="SVT1" s="9" t="s">
        <v>15513</v>
      </c>
      <c r="SVU1" s="9" t="s">
        <v>15514</v>
      </c>
      <c r="SVV1" s="9" t="s">
        <v>15515</v>
      </c>
      <c r="SVW1" s="9" t="s">
        <v>15516</v>
      </c>
      <c r="SVX1" s="9" t="s">
        <v>15517</v>
      </c>
      <c r="SVY1" s="9" t="s">
        <v>15518</v>
      </c>
      <c r="SVZ1" s="9" t="s">
        <v>15519</v>
      </c>
      <c r="SWA1" s="9" t="s">
        <v>15520</v>
      </c>
      <c r="SWB1" s="9" t="s">
        <v>15521</v>
      </c>
      <c r="SWC1" s="9" t="s">
        <v>15522</v>
      </c>
      <c r="SWD1" s="9" t="s">
        <v>15523</v>
      </c>
      <c r="SWE1" s="9" t="s">
        <v>15524</v>
      </c>
      <c r="SWF1" s="9" t="s">
        <v>15525</v>
      </c>
      <c r="SWG1" s="9" t="s">
        <v>15526</v>
      </c>
      <c r="SWH1" s="9" t="s">
        <v>15527</v>
      </c>
      <c r="SWI1" s="9" t="s">
        <v>15528</v>
      </c>
      <c r="SWJ1" s="9" t="s">
        <v>15529</v>
      </c>
      <c r="SWK1" s="9" t="s">
        <v>15530</v>
      </c>
      <c r="SWL1" s="9" t="s">
        <v>15531</v>
      </c>
      <c r="SWM1" s="9" t="s">
        <v>15532</v>
      </c>
      <c r="SWN1" s="9" t="s">
        <v>15533</v>
      </c>
      <c r="SWO1" s="9" t="s">
        <v>15534</v>
      </c>
      <c r="SWP1" s="9" t="s">
        <v>15535</v>
      </c>
      <c r="SWQ1" s="9" t="s">
        <v>15536</v>
      </c>
      <c r="SWR1" s="9" t="s">
        <v>15537</v>
      </c>
      <c r="SWS1" s="9" t="s">
        <v>15538</v>
      </c>
      <c r="SWT1" s="9" t="s">
        <v>15539</v>
      </c>
      <c r="SWU1" s="9" t="s">
        <v>15540</v>
      </c>
      <c r="SWV1" s="9" t="s">
        <v>15541</v>
      </c>
      <c r="SWW1" s="9" t="s">
        <v>15542</v>
      </c>
      <c r="SWX1" s="9" t="s">
        <v>15543</v>
      </c>
      <c r="SWY1" s="9" t="s">
        <v>15544</v>
      </c>
      <c r="SWZ1" s="9" t="s">
        <v>15545</v>
      </c>
      <c r="SXA1" s="9" t="s">
        <v>15546</v>
      </c>
      <c r="SXB1" s="9" t="s">
        <v>15547</v>
      </c>
      <c r="SXC1" s="9" t="s">
        <v>15548</v>
      </c>
      <c r="SXD1" s="9" t="s">
        <v>15549</v>
      </c>
      <c r="SXE1" s="9" t="s">
        <v>15550</v>
      </c>
      <c r="SXF1" s="9" t="s">
        <v>15551</v>
      </c>
      <c r="SXG1" s="9" t="s">
        <v>15552</v>
      </c>
      <c r="SXH1" s="9" t="s">
        <v>15553</v>
      </c>
      <c r="SXI1" s="9" t="s">
        <v>15554</v>
      </c>
      <c r="SXJ1" s="9" t="s">
        <v>15555</v>
      </c>
      <c r="SXK1" s="9" t="s">
        <v>15556</v>
      </c>
      <c r="SXL1" s="9" t="s">
        <v>15557</v>
      </c>
      <c r="SXM1" s="9" t="s">
        <v>15558</v>
      </c>
      <c r="SXN1" s="9" t="s">
        <v>15559</v>
      </c>
      <c r="SXO1" s="9" t="s">
        <v>15560</v>
      </c>
      <c r="SXP1" s="9" t="s">
        <v>15561</v>
      </c>
      <c r="SXQ1" s="9" t="s">
        <v>15562</v>
      </c>
      <c r="SXR1" s="9" t="s">
        <v>15563</v>
      </c>
      <c r="SXS1" s="9" t="s">
        <v>15564</v>
      </c>
      <c r="SXT1" s="9" t="s">
        <v>15565</v>
      </c>
      <c r="SXU1" s="9" t="s">
        <v>15566</v>
      </c>
      <c r="SXV1" s="9" t="s">
        <v>15567</v>
      </c>
      <c r="SXW1" s="9" t="s">
        <v>15568</v>
      </c>
      <c r="SXX1" s="9" t="s">
        <v>15569</v>
      </c>
      <c r="SXY1" s="9" t="s">
        <v>15570</v>
      </c>
      <c r="SXZ1" s="9" t="s">
        <v>15571</v>
      </c>
      <c r="SYA1" s="9" t="s">
        <v>15572</v>
      </c>
      <c r="SYB1" s="9" t="s">
        <v>15573</v>
      </c>
      <c r="SYC1" s="9" t="s">
        <v>15574</v>
      </c>
      <c r="SYD1" s="9" t="s">
        <v>15575</v>
      </c>
      <c r="SYE1" s="9" t="s">
        <v>15576</v>
      </c>
      <c r="SYF1" s="9" t="s">
        <v>15577</v>
      </c>
      <c r="SYG1" s="9" t="s">
        <v>15578</v>
      </c>
      <c r="SYH1" s="9" t="s">
        <v>15579</v>
      </c>
      <c r="SYI1" s="9" t="s">
        <v>15580</v>
      </c>
      <c r="SYJ1" s="9" t="s">
        <v>15581</v>
      </c>
      <c r="SYK1" s="9" t="s">
        <v>15582</v>
      </c>
      <c r="SYL1" s="9" t="s">
        <v>15583</v>
      </c>
      <c r="SYM1" s="9" t="s">
        <v>15584</v>
      </c>
      <c r="SYN1" s="9" t="s">
        <v>15585</v>
      </c>
      <c r="SYO1" s="9" t="s">
        <v>15586</v>
      </c>
      <c r="SYP1" s="9" t="s">
        <v>15587</v>
      </c>
      <c r="SYQ1" s="9" t="s">
        <v>15588</v>
      </c>
      <c r="SYR1" s="9" t="s">
        <v>15589</v>
      </c>
      <c r="SYS1" s="9" t="s">
        <v>15590</v>
      </c>
      <c r="SYT1" s="9" t="s">
        <v>15591</v>
      </c>
      <c r="SYU1" s="9" t="s">
        <v>15592</v>
      </c>
      <c r="SYV1" s="9" t="s">
        <v>15593</v>
      </c>
      <c r="SYW1" s="9" t="s">
        <v>15594</v>
      </c>
      <c r="SYX1" s="9" t="s">
        <v>15595</v>
      </c>
      <c r="SYY1" s="9" t="s">
        <v>15596</v>
      </c>
      <c r="SYZ1" s="9" t="s">
        <v>15597</v>
      </c>
      <c r="SZA1" s="9" t="s">
        <v>15598</v>
      </c>
      <c r="SZB1" s="9" t="s">
        <v>15599</v>
      </c>
      <c r="SZC1" s="9" t="s">
        <v>15600</v>
      </c>
      <c r="SZD1" s="9" t="s">
        <v>15601</v>
      </c>
      <c r="SZE1" s="9" t="s">
        <v>15602</v>
      </c>
      <c r="SZF1" s="9" t="s">
        <v>15603</v>
      </c>
      <c r="SZG1" s="9" t="s">
        <v>15604</v>
      </c>
      <c r="SZH1" s="9" t="s">
        <v>15605</v>
      </c>
      <c r="SZI1" s="9" t="s">
        <v>15606</v>
      </c>
      <c r="SZJ1" s="9" t="s">
        <v>15607</v>
      </c>
      <c r="SZK1" s="9" t="s">
        <v>15608</v>
      </c>
      <c r="SZL1" s="9" t="s">
        <v>15609</v>
      </c>
      <c r="SZM1" s="9" t="s">
        <v>15610</v>
      </c>
      <c r="SZN1" s="9" t="s">
        <v>15611</v>
      </c>
      <c r="SZO1" s="9" t="s">
        <v>15612</v>
      </c>
      <c r="SZP1" s="9" t="s">
        <v>15613</v>
      </c>
      <c r="SZQ1" s="9" t="s">
        <v>15614</v>
      </c>
      <c r="SZR1" s="9" t="s">
        <v>15615</v>
      </c>
      <c r="SZS1" s="9" t="s">
        <v>15616</v>
      </c>
      <c r="SZT1" s="9" t="s">
        <v>15617</v>
      </c>
      <c r="SZU1" s="9" t="s">
        <v>15618</v>
      </c>
      <c r="SZV1" s="9" t="s">
        <v>15619</v>
      </c>
      <c r="SZW1" s="9" t="s">
        <v>15620</v>
      </c>
      <c r="SZX1" s="9" t="s">
        <v>15621</v>
      </c>
      <c r="SZY1" s="9" t="s">
        <v>15622</v>
      </c>
      <c r="SZZ1" s="9" t="s">
        <v>15623</v>
      </c>
      <c r="TAA1" s="9" t="s">
        <v>15624</v>
      </c>
      <c r="TAB1" s="9" t="s">
        <v>15625</v>
      </c>
      <c r="TAC1" s="9" t="s">
        <v>15626</v>
      </c>
      <c r="TAD1" s="9" t="s">
        <v>15627</v>
      </c>
      <c r="TAE1" s="9" t="s">
        <v>15628</v>
      </c>
      <c r="TAF1" s="9" t="s">
        <v>15629</v>
      </c>
      <c r="TAG1" s="9" t="s">
        <v>15630</v>
      </c>
      <c r="TAH1" s="9" t="s">
        <v>15631</v>
      </c>
      <c r="TAI1" s="9" t="s">
        <v>15632</v>
      </c>
      <c r="TAJ1" s="9" t="s">
        <v>15633</v>
      </c>
      <c r="TAK1" s="9" t="s">
        <v>15634</v>
      </c>
      <c r="TAL1" s="9" t="s">
        <v>15635</v>
      </c>
      <c r="TAM1" s="9" t="s">
        <v>15636</v>
      </c>
      <c r="TAN1" s="9" t="s">
        <v>15637</v>
      </c>
      <c r="TAO1" s="9" t="s">
        <v>15638</v>
      </c>
      <c r="TAP1" s="9" t="s">
        <v>15639</v>
      </c>
      <c r="TAQ1" s="9" t="s">
        <v>15640</v>
      </c>
      <c r="TAR1" s="9" t="s">
        <v>15641</v>
      </c>
      <c r="TAS1" s="9" t="s">
        <v>15642</v>
      </c>
      <c r="TAT1" s="9" t="s">
        <v>15643</v>
      </c>
      <c r="TAU1" s="9" t="s">
        <v>15644</v>
      </c>
      <c r="TAV1" s="9" t="s">
        <v>15645</v>
      </c>
      <c r="TAW1" s="9" t="s">
        <v>15646</v>
      </c>
      <c r="TAX1" s="9" t="s">
        <v>15647</v>
      </c>
      <c r="TAY1" s="9" t="s">
        <v>15648</v>
      </c>
      <c r="TAZ1" s="9" t="s">
        <v>15649</v>
      </c>
      <c r="TBA1" s="9" t="s">
        <v>15650</v>
      </c>
      <c r="TBB1" s="9" t="s">
        <v>15651</v>
      </c>
      <c r="TBC1" s="9" t="s">
        <v>15652</v>
      </c>
      <c r="TBD1" s="9" t="s">
        <v>15653</v>
      </c>
      <c r="TBE1" s="9" t="s">
        <v>15654</v>
      </c>
      <c r="TBF1" s="9" t="s">
        <v>15655</v>
      </c>
      <c r="TBG1" s="9" t="s">
        <v>15656</v>
      </c>
      <c r="TBH1" s="9" t="s">
        <v>15657</v>
      </c>
      <c r="TBI1" s="9" t="s">
        <v>15658</v>
      </c>
      <c r="TBJ1" s="9" t="s">
        <v>15659</v>
      </c>
      <c r="TBK1" s="9" t="s">
        <v>15660</v>
      </c>
      <c r="TBL1" s="9" t="s">
        <v>15661</v>
      </c>
      <c r="TBM1" s="9" t="s">
        <v>15662</v>
      </c>
      <c r="TBN1" s="9" t="s">
        <v>15663</v>
      </c>
      <c r="TBO1" s="9" t="s">
        <v>15664</v>
      </c>
      <c r="TBP1" s="9" t="s">
        <v>15665</v>
      </c>
      <c r="TBQ1" s="9" t="s">
        <v>15666</v>
      </c>
      <c r="TBR1" s="9" t="s">
        <v>15667</v>
      </c>
      <c r="TBS1" s="9" t="s">
        <v>15668</v>
      </c>
      <c r="TBT1" s="9" t="s">
        <v>15669</v>
      </c>
      <c r="TBU1" s="9" t="s">
        <v>15670</v>
      </c>
      <c r="TBV1" s="9" t="s">
        <v>15671</v>
      </c>
      <c r="TBW1" s="9" t="s">
        <v>15672</v>
      </c>
      <c r="TBX1" s="9" t="s">
        <v>15673</v>
      </c>
      <c r="TBY1" s="9" t="s">
        <v>15674</v>
      </c>
      <c r="TBZ1" s="9" t="s">
        <v>15675</v>
      </c>
      <c r="TCA1" s="9" t="s">
        <v>15676</v>
      </c>
      <c r="TCB1" s="9" t="s">
        <v>15677</v>
      </c>
      <c r="TCC1" s="9" t="s">
        <v>15678</v>
      </c>
      <c r="TCD1" s="9" t="s">
        <v>15679</v>
      </c>
      <c r="TCE1" s="9" t="s">
        <v>15680</v>
      </c>
      <c r="TCF1" s="9" t="s">
        <v>15681</v>
      </c>
      <c r="TCG1" s="9" t="s">
        <v>15682</v>
      </c>
      <c r="TCH1" s="9" t="s">
        <v>15683</v>
      </c>
      <c r="TCI1" s="9" t="s">
        <v>15684</v>
      </c>
      <c r="TCJ1" s="9" t="s">
        <v>15685</v>
      </c>
      <c r="TCK1" s="9" t="s">
        <v>15686</v>
      </c>
      <c r="TCL1" s="9" t="s">
        <v>15687</v>
      </c>
      <c r="TCM1" s="9" t="s">
        <v>15688</v>
      </c>
      <c r="TCN1" s="9" t="s">
        <v>15689</v>
      </c>
      <c r="TCO1" s="9" t="s">
        <v>15690</v>
      </c>
      <c r="TCP1" s="9" t="s">
        <v>15691</v>
      </c>
      <c r="TCQ1" s="9" t="s">
        <v>15692</v>
      </c>
      <c r="TCR1" s="9" t="s">
        <v>15693</v>
      </c>
      <c r="TCS1" s="9" t="s">
        <v>15694</v>
      </c>
      <c r="TCT1" s="9" t="s">
        <v>15695</v>
      </c>
      <c r="TCU1" s="9" t="s">
        <v>15696</v>
      </c>
      <c r="TCV1" s="9" t="s">
        <v>15697</v>
      </c>
      <c r="TCW1" s="9" t="s">
        <v>15698</v>
      </c>
      <c r="TCX1" s="9" t="s">
        <v>15699</v>
      </c>
      <c r="TCY1" s="9" t="s">
        <v>15700</v>
      </c>
      <c r="TCZ1" s="9" t="s">
        <v>15701</v>
      </c>
      <c r="TDA1" s="9" t="s">
        <v>15702</v>
      </c>
      <c r="TDB1" s="9" t="s">
        <v>15703</v>
      </c>
      <c r="TDC1" s="9" t="s">
        <v>15704</v>
      </c>
      <c r="TDD1" s="9" t="s">
        <v>15705</v>
      </c>
      <c r="TDE1" s="9" t="s">
        <v>15706</v>
      </c>
      <c r="TDF1" s="9" t="s">
        <v>15707</v>
      </c>
      <c r="TDG1" s="9" t="s">
        <v>15708</v>
      </c>
      <c r="TDH1" s="9" t="s">
        <v>15709</v>
      </c>
      <c r="TDI1" s="9" t="s">
        <v>15710</v>
      </c>
      <c r="TDJ1" s="9" t="s">
        <v>15711</v>
      </c>
      <c r="TDK1" s="9" t="s">
        <v>15712</v>
      </c>
      <c r="TDL1" s="9" t="s">
        <v>15713</v>
      </c>
      <c r="TDM1" s="9" t="s">
        <v>15714</v>
      </c>
      <c r="TDN1" s="9" t="s">
        <v>15715</v>
      </c>
      <c r="TDO1" s="9" t="s">
        <v>15716</v>
      </c>
      <c r="TDP1" s="9" t="s">
        <v>15717</v>
      </c>
      <c r="TDQ1" s="9" t="s">
        <v>15718</v>
      </c>
      <c r="TDR1" s="9" t="s">
        <v>15719</v>
      </c>
      <c r="TDS1" s="9" t="s">
        <v>15720</v>
      </c>
      <c r="TDT1" s="9" t="s">
        <v>15721</v>
      </c>
      <c r="TDU1" s="9" t="s">
        <v>15722</v>
      </c>
      <c r="TDV1" s="9" t="s">
        <v>15723</v>
      </c>
      <c r="TDW1" s="9" t="s">
        <v>15724</v>
      </c>
      <c r="TDX1" s="9" t="s">
        <v>15725</v>
      </c>
      <c r="TDY1" s="9" t="s">
        <v>15726</v>
      </c>
      <c r="TDZ1" s="9" t="s">
        <v>15727</v>
      </c>
      <c r="TEA1" s="9" t="s">
        <v>15728</v>
      </c>
      <c r="TEB1" s="9" t="s">
        <v>15729</v>
      </c>
      <c r="TEC1" s="9" t="s">
        <v>15730</v>
      </c>
      <c r="TED1" s="9" t="s">
        <v>15731</v>
      </c>
      <c r="TEE1" s="9" t="s">
        <v>15732</v>
      </c>
      <c r="TEF1" s="9" t="s">
        <v>15733</v>
      </c>
      <c r="TEG1" s="9" t="s">
        <v>15734</v>
      </c>
      <c r="TEH1" s="9" t="s">
        <v>15735</v>
      </c>
      <c r="TEI1" s="9" t="s">
        <v>15736</v>
      </c>
      <c r="TEJ1" s="9" t="s">
        <v>15737</v>
      </c>
      <c r="TEK1" s="9" t="s">
        <v>15738</v>
      </c>
      <c r="TEL1" s="9" t="s">
        <v>15739</v>
      </c>
      <c r="TEM1" s="9" t="s">
        <v>15740</v>
      </c>
      <c r="TEN1" s="9" t="s">
        <v>15741</v>
      </c>
      <c r="TEO1" s="9" t="s">
        <v>15742</v>
      </c>
      <c r="TEP1" s="9" t="s">
        <v>15743</v>
      </c>
      <c r="TEQ1" s="9" t="s">
        <v>15744</v>
      </c>
      <c r="TER1" s="9" t="s">
        <v>15745</v>
      </c>
      <c r="TES1" s="9" t="s">
        <v>15746</v>
      </c>
      <c r="TET1" s="9" t="s">
        <v>15747</v>
      </c>
      <c r="TEU1" s="9" t="s">
        <v>15748</v>
      </c>
      <c r="TEV1" s="9" t="s">
        <v>15749</v>
      </c>
      <c r="TEW1" s="9" t="s">
        <v>15750</v>
      </c>
      <c r="TEX1" s="9" t="s">
        <v>15751</v>
      </c>
      <c r="TEY1" s="9" t="s">
        <v>15752</v>
      </c>
      <c r="TEZ1" s="9" t="s">
        <v>15753</v>
      </c>
      <c r="TFA1" s="9" t="s">
        <v>15754</v>
      </c>
      <c r="TFB1" s="9" t="s">
        <v>15755</v>
      </c>
      <c r="TFC1" s="9" t="s">
        <v>15756</v>
      </c>
      <c r="TFD1" s="9" t="s">
        <v>15757</v>
      </c>
      <c r="TFE1" s="9" t="s">
        <v>15758</v>
      </c>
      <c r="TFF1" s="9" t="s">
        <v>15759</v>
      </c>
      <c r="TFG1" s="9" t="s">
        <v>15760</v>
      </c>
      <c r="TFH1" s="9" t="s">
        <v>15761</v>
      </c>
      <c r="TFI1" s="9" t="s">
        <v>15762</v>
      </c>
      <c r="TFJ1" s="9" t="s">
        <v>15763</v>
      </c>
      <c r="TFK1" s="9" t="s">
        <v>15764</v>
      </c>
      <c r="TFL1" s="9" t="s">
        <v>15765</v>
      </c>
      <c r="TFM1" s="9" t="s">
        <v>15766</v>
      </c>
      <c r="TFN1" s="9" t="s">
        <v>15767</v>
      </c>
      <c r="TFO1" s="9" t="s">
        <v>15768</v>
      </c>
      <c r="TFP1" s="9" t="s">
        <v>15769</v>
      </c>
      <c r="TFQ1" s="9" t="s">
        <v>15770</v>
      </c>
      <c r="TFR1" s="9" t="s">
        <v>15771</v>
      </c>
      <c r="TFS1" s="9" t="s">
        <v>15772</v>
      </c>
      <c r="TFT1" s="9" t="s">
        <v>15773</v>
      </c>
      <c r="TFU1" s="9" t="s">
        <v>15774</v>
      </c>
      <c r="TFV1" s="9" t="s">
        <v>15775</v>
      </c>
      <c r="TFW1" s="9" t="s">
        <v>15776</v>
      </c>
      <c r="TFX1" s="9" t="s">
        <v>15777</v>
      </c>
      <c r="TFY1" s="9" t="s">
        <v>15778</v>
      </c>
      <c r="TFZ1" s="9" t="s">
        <v>15779</v>
      </c>
      <c r="TGA1" s="9" t="s">
        <v>15780</v>
      </c>
      <c r="TGB1" s="9" t="s">
        <v>15781</v>
      </c>
      <c r="TGC1" s="9" t="s">
        <v>15782</v>
      </c>
      <c r="TGD1" s="9" t="s">
        <v>15783</v>
      </c>
      <c r="TGE1" s="9" t="s">
        <v>15784</v>
      </c>
      <c r="TGF1" s="9" t="s">
        <v>15785</v>
      </c>
      <c r="TGG1" s="9" t="s">
        <v>15786</v>
      </c>
      <c r="TGH1" s="9" t="s">
        <v>15787</v>
      </c>
      <c r="TGI1" s="9" t="s">
        <v>15788</v>
      </c>
      <c r="TGJ1" s="9" t="s">
        <v>15789</v>
      </c>
      <c r="TGK1" s="9" t="s">
        <v>15790</v>
      </c>
      <c r="TGL1" s="9" t="s">
        <v>15791</v>
      </c>
      <c r="TGM1" s="9" t="s">
        <v>15792</v>
      </c>
      <c r="TGN1" s="9" t="s">
        <v>15793</v>
      </c>
      <c r="TGO1" s="9" t="s">
        <v>15794</v>
      </c>
      <c r="TGP1" s="9" t="s">
        <v>15795</v>
      </c>
      <c r="TGQ1" s="9" t="s">
        <v>15796</v>
      </c>
      <c r="TGR1" s="9" t="s">
        <v>15797</v>
      </c>
      <c r="TGS1" s="9" t="s">
        <v>15798</v>
      </c>
      <c r="TGT1" s="9" t="s">
        <v>15799</v>
      </c>
      <c r="TGU1" s="9" t="s">
        <v>15800</v>
      </c>
      <c r="TGV1" s="9" t="s">
        <v>15801</v>
      </c>
      <c r="TGW1" s="9" t="s">
        <v>15802</v>
      </c>
      <c r="TGX1" s="9" t="s">
        <v>15803</v>
      </c>
      <c r="TGY1" s="9" t="s">
        <v>15804</v>
      </c>
      <c r="TGZ1" s="9" t="s">
        <v>15805</v>
      </c>
      <c r="THA1" s="9" t="s">
        <v>15806</v>
      </c>
      <c r="THB1" s="9" t="s">
        <v>15807</v>
      </c>
      <c r="THC1" s="9" t="s">
        <v>15808</v>
      </c>
      <c r="THD1" s="9" t="s">
        <v>15809</v>
      </c>
      <c r="THE1" s="9" t="s">
        <v>15810</v>
      </c>
      <c r="THF1" s="9" t="s">
        <v>15811</v>
      </c>
      <c r="THG1" s="9" t="s">
        <v>15812</v>
      </c>
      <c r="THH1" s="9" t="s">
        <v>15813</v>
      </c>
      <c r="THI1" s="9" t="s">
        <v>15814</v>
      </c>
      <c r="THJ1" s="9" t="s">
        <v>15815</v>
      </c>
      <c r="THK1" s="9" t="s">
        <v>15816</v>
      </c>
      <c r="THL1" s="9" t="s">
        <v>15817</v>
      </c>
      <c r="THM1" s="9" t="s">
        <v>15818</v>
      </c>
      <c r="THN1" s="9" t="s">
        <v>15819</v>
      </c>
      <c r="THO1" s="9" t="s">
        <v>15820</v>
      </c>
      <c r="THP1" s="9" t="s">
        <v>15821</v>
      </c>
      <c r="THQ1" s="9" t="s">
        <v>15822</v>
      </c>
      <c r="THR1" s="9" t="s">
        <v>15823</v>
      </c>
      <c r="THS1" s="9" t="s">
        <v>15824</v>
      </c>
      <c r="THT1" s="9" t="s">
        <v>15825</v>
      </c>
      <c r="THU1" s="9" t="s">
        <v>15826</v>
      </c>
      <c r="THV1" s="9" t="s">
        <v>15827</v>
      </c>
      <c r="THW1" s="9" t="s">
        <v>15828</v>
      </c>
      <c r="THX1" s="9" t="s">
        <v>15829</v>
      </c>
      <c r="THY1" s="9" t="s">
        <v>15830</v>
      </c>
      <c r="THZ1" s="9" t="s">
        <v>15831</v>
      </c>
      <c r="TIA1" s="9" t="s">
        <v>15832</v>
      </c>
      <c r="TIB1" s="9" t="s">
        <v>15833</v>
      </c>
      <c r="TIC1" s="9" t="s">
        <v>15834</v>
      </c>
      <c r="TID1" s="9" t="s">
        <v>15835</v>
      </c>
      <c r="TIE1" s="9" t="s">
        <v>15836</v>
      </c>
      <c r="TIF1" s="9" t="s">
        <v>15837</v>
      </c>
      <c r="TIG1" s="9" t="s">
        <v>15838</v>
      </c>
      <c r="TIH1" s="9" t="s">
        <v>15839</v>
      </c>
      <c r="TII1" s="9" t="s">
        <v>15840</v>
      </c>
      <c r="TIJ1" s="9" t="s">
        <v>15841</v>
      </c>
      <c r="TIK1" s="9" t="s">
        <v>15842</v>
      </c>
      <c r="TIL1" s="9" t="s">
        <v>15843</v>
      </c>
      <c r="TIM1" s="9" t="s">
        <v>15844</v>
      </c>
      <c r="TIN1" s="9" t="s">
        <v>15845</v>
      </c>
      <c r="TIO1" s="9" t="s">
        <v>15846</v>
      </c>
      <c r="TIP1" s="9" t="s">
        <v>15847</v>
      </c>
      <c r="TIQ1" s="9" t="s">
        <v>15848</v>
      </c>
      <c r="TIR1" s="9" t="s">
        <v>15849</v>
      </c>
      <c r="TIS1" s="9" t="s">
        <v>15850</v>
      </c>
      <c r="TIT1" s="9" t="s">
        <v>15851</v>
      </c>
      <c r="TIU1" s="9" t="s">
        <v>15852</v>
      </c>
      <c r="TIV1" s="9" t="s">
        <v>15853</v>
      </c>
      <c r="TIW1" s="9" t="s">
        <v>15854</v>
      </c>
      <c r="TIX1" s="9" t="s">
        <v>15855</v>
      </c>
      <c r="TIY1" s="9" t="s">
        <v>15856</v>
      </c>
      <c r="TIZ1" s="9" t="s">
        <v>15857</v>
      </c>
      <c r="TJA1" s="9" t="s">
        <v>15858</v>
      </c>
      <c r="TJB1" s="9" t="s">
        <v>15859</v>
      </c>
      <c r="TJC1" s="9" t="s">
        <v>15860</v>
      </c>
      <c r="TJD1" s="9" t="s">
        <v>15861</v>
      </c>
      <c r="TJE1" s="9" t="s">
        <v>15862</v>
      </c>
      <c r="TJF1" s="9" t="s">
        <v>15863</v>
      </c>
      <c r="TJG1" s="9" t="s">
        <v>15864</v>
      </c>
      <c r="TJH1" s="9" t="s">
        <v>15865</v>
      </c>
      <c r="TJI1" s="9" t="s">
        <v>15866</v>
      </c>
      <c r="TJJ1" s="9" t="s">
        <v>15867</v>
      </c>
      <c r="TJK1" s="9" t="s">
        <v>15868</v>
      </c>
      <c r="TJL1" s="9" t="s">
        <v>15869</v>
      </c>
      <c r="TJM1" s="9" t="s">
        <v>15870</v>
      </c>
      <c r="TJN1" s="9" t="s">
        <v>15871</v>
      </c>
      <c r="TJO1" s="9" t="s">
        <v>15872</v>
      </c>
      <c r="TJP1" s="9" t="s">
        <v>15873</v>
      </c>
      <c r="TJQ1" s="9" t="s">
        <v>15874</v>
      </c>
      <c r="TJR1" s="9" t="s">
        <v>15875</v>
      </c>
      <c r="TJS1" s="9" t="s">
        <v>15876</v>
      </c>
      <c r="TJT1" s="9" t="s">
        <v>15877</v>
      </c>
      <c r="TJU1" s="9" t="s">
        <v>15878</v>
      </c>
      <c r="TJV1" s="9" t="s">
        <v>15879</v>
      </c>
      <c r="TJW1" s="9" t="s">
        <v>15880</v>
      </c>
      <c r="TJX1" s="9" t="s">
        <v>15881</v>
      </c>
      <c r="TJY1" s="9" t="s">
        <v>15882</v>
      </c>
      <c r="TJZ1" s="9" t="s">
        <v>15883</v>
      </c>
      <c r="TKA1" s="9" t="s">
        <v>15884</v>
      </c>
      <c r="TKB1" s="9" t="s">
        <v>15885</v>
      </c>
      <c r="TKC1" s="9" t="s">
        <v>15886</v>
      </c>
      <c r="TKD1" s="9" t="s">
        <v>15887</v>
      </c>
      <c r="TKE1" s="9" t="s">
        <v>15888</v>
      </c>
      <c r="TKF1" s="9" t="s">
        <v>15889</v>
      </c>
      <c r="TKG1" s="9" t="s">
        <v>15890</v>
      </c>
      <c r="TKH1" s="9" t="s">
        <v>15891</v>
      </c>
      <c r="TKI1" s="9" t="s">
        <v>15892</v>
      </c>
      <c r="TKJ1" s="9" t="s">
        <v>15893</v>
      </c>
      <c r="TKK1" s="9" t="s">
        <v>15894</v>
      </c>
      <c r="TKL1" s="9" t="s">
        <v>15895</v>
      </c>
      <c r="TKM1" s="9" t="s">
        <v>15896</v>
      </c>
      <c r="TKN1" s="9" t="s">
        <v>15897</v>
      </c>
      <c r="TKO1" s="9" t="s">
        <v>15898</v>
      </c>
      <c r="TKP1" s="9" t="s">
        <v>15899</v>
      </c>
      <c r="TKQ1" s="9" t="s">
        <v>15900</v>
      </c>
      <c r="TKR1" s="9" t="s">
        <v>15901</v>
      </c>
      <c r="TKS1" s="9" t="s">
        <v>15902</v>
      </c>
      <c r="TKT1" s="9" t="s">
        <v>15903</v>
      </c>
      <c r="TKU1" s="9" t="s">
        <v>15904</v>
      </c>
      <c r="TKV1" s="9" t="s">
        <v>15905</v>
      </c>
      <c r="TKW1" s="9" t="s">
        <v>15906</v>
      </c>
      <c r="TKX1" s="9" t="s">
        <v>15907</v>
      </c>
      <c r="TKY1" s="9" t="s">
        <v>15908</v>
      </c>
      <c r="TKZ1" s="9" t="s">
        <v>15909</v>
      </c>
      <c r="TLA1" s="9" t="s">
        <v>15910</v>
      </c>
      <c r="TLB1" s="9" t="s">
        <v>15911</v>
      </c>
      <c r="TLC1" s="9" t="s">
        <v>15912</v>
      </c>
      <c r="TLD1" s="9" t="s">
        <v>15913</v>
      </c>
      <c r="TLE1" s="9" t="s">
        <v>15914</v>
      </c>
      <c r="TLF1" s="9" t="s">
        <v>15915</v>
      </c>
      <c r="TLG1" s="9" t="s">
        <v>15916</v>
      </c>
      <c r="TLH1" s="9" t="s">
        <v>15917</v>
      </c>
      <c r="TLI1" s="9" t="s">
        <v>15918</v>
      </c>
      <c r="TLJ1" s="9" t="s">
        <v>15919</v>
      </c>
      <c r="TLK1" s="9" t="s">
        <v>15920</v>
      </c>
      <c r="TLL1" s="9" t="s">
        <v>15921</v>
      </c>
      <c r="TLM1" s="9" t="s">
        <v>15922</v>
      </c>
      <c r="TLN1" s="9" t="s">
        <v>15923</v>
      </c>
      <c r="TLO1" s="9" t="s">
        <v>15924</v>
      </c>
      <c r="TLP1" s="9" t="s">
        <v>15925</v>
      </c>
      <c r="TLQ1" s="9" t="s">
        <v>15926</v>
      </c>
      <c r="TLR1" s="9" t="s">
        <v>15927</v>
      </c>
      <c r="TLS1" s="9" t="s">
        <v>15928</v>
      </c>
      <c r="TLT1" s="9" t="s">
        <v>15929</v>
      </c>
      <c r="TLU1" s="9" t="s">
        <v>15930</v>
      </c>
      <c r="TLV1" s="9" t="s">
        <v>15931</v>
      </c>
      <c r="TLW1" s="9" t="s">
        <v>15932</v>
      </c>
      <c r="TLX1" s="9" t="s">
        <v>15933</v>
      </c>
      <c r="TLY1" s="9" t="s">
        <v>15934</v>
      </c>
      <c r="TLZ1" s="9" t="s">
        <v>15935</v>
      </c>
      <c r="TMA1" s="9" t="s">
        <v>15936</v>
      </c>
      <c r="TMB1" s="9" t="s">
        <v>15937</v>
      </c>
      <c r="TMC1" s="9" t="s">
        <v>15938</v>
      </c>
      <c r="TMD1" s="9" t="s">
        <v>15939</v>
      </c>
      <c r="TME1" s="9" t="s">
        <v>15940</v>
      </c>
      <c r="TMF1" s="9" t="s">
        <v>15941</v>
      </c>
      <c r="TMG1" s="9" t="s">
        <v>15942</v>
      </c>
      <c r="TMH1" s="9" t="s">
        <v>15943</v>
      </c>
      <c r="TMI1" s="9" t="s">
        <v>15944</v>
      </c>
      <c r="TMJ1" s="9" t="s">
        <v>15945</v>
      </c>
      <c r="TMK1" s="9" t="s">
        <v>15946</v>
      </c>
      <c r="TML1" s="9" t="s">
        <v>15947</v>
      </c>
      <c r="TMM1" s="9" t="s">
        <v>15948</v>
      </c>
      <c r="TMN1" s="9" t="s">
        <v>15949</v>
      </c>
      <c r="TMO1" s="9" t="s">
        <v>15950</v>
      </c>
      <c r="TMP1" s="9" t="s">
        <v>15951</v>
      </c>
      <c r="TMQ1" s="9" t="s">
        <v>15952</v>
      </c>
      <c r="TMR1" s="9" t="s">
        <v>15953</v>
      </c>
      <c r="TMS1" s="9" t="s">
        <v>15954</v>
      </c>
      <c r="TMT1" s="9" t="s">
        <v>15955</v>
      </c>
      <c r="TMU1" s="9" t="s">
        <v>15956</v>
      </c>
      <c r="TMV1" s="9" t="s">
        <v>15957</v>
      </c>
      <c r="TMW1" s="9" t="s">
        <v>15958</v>
      </c>
      <c r="TMX1" s="9" t="s">
        <v>15959</v>
      </c>
      <c r="TMY1" s="9" t="s">
        <v>15960</v>
      </c>
      <c r="TMZ1" s="9" t="s">
        <v>15961</v>
      </c>
      <c r="TNA1" s="9" t="s">
        <v>15962</v>
      </c>
      <c r="TNB1" s="9" t="s">
        <v>15963</v>
      </c>
      <c r="TNC1" s="9" t="s">
        <v>15964</v>
      </c>
      <c r="TND1" s="9" t="s">
        <v>15965</v>
      </c>
      <c r="TNE1" s="9" t="s">
        <v>15966</v>
      </c>
      <c r="TNF1" s="9" t="s">
        <v>15967</v>
      </c>
      <c r="TNG1" s="9" t="s">
        <v>15968</v>
      </c>
      <c r="TNH1" s="9" t="s">
        <v>15969</v>
      </c>
      <c r="TNI1" s="9" t="s">
        <v>15970</v>
      </c>
      <c r="TNJ1" s="9" t="s">
        <v>15971</v>
      </c>
      <c r="TNK1" s="9" t="s">
        <v>15972</v>
      </c>
      <c r="TNL1" s="9" t="s">
        <v>15973</v>
      </c>
      <c r="TNM1" s="9" t="s">
        <v>15974</v>
      </c>
      <c r="TNN1" s="9" t="s">
        <v>15975</v>
      </c>
      <c r="TNO1" s="9" t="s">
        <v>15976</v>
      </c>
      <c r="TNP1" s="9" t="s">
        <v>15977</v>
      </c>
      <c r="TNQ1" s="9" t="s">
        <v>15978</v>
      </c>
      <c r="TNR1" s="9" t="s">
        <v>15979</v>
      </c>
      <c r="TNS1" s="9" t="s">
        <v>15980</v>
      </c>
      <c r="TNT1" s="9" t="s">
        <v>15981</v>
      </c>
      <c r="TNU1" s="9" t="s">
        <v>15982</v>
      </c>
      <c r="TNV1" s="9" t="s">
        <v>15983</v>
      </c>
      <c r="TNW1" s="9" t="s">
        <v>15984</v>
      </c>
      <c r="TNX1" s="9" t="s">
        <v>15985</v>
      </c>
      <c r="TNY1" s="9" t="s">
        <v>15986</v>
      </c>
      <c r="TNZ1" s="9" t="s">
        <v>15987</v>
      </c>
      <c r="TOA1" s="9" t="s">
        <v>15988</v>
      </c>
      <c r="TOB1" s="9" t="s">
        <v>15989</v>
      </c>
      <c r="TOC1" s="9" t="s">
        <v>15990</v>
      </c>
      <c r="TOD1" s="9" t="s">
        <v>15991</v>
      </c>
      <c r="TOE1" s="9" t="s">
        <v>15992</v>
      </c>
      <c r="TOF1" s="9" t="s">
        <v>15993</v>
      </c>
      <c r="TOG1" s="9" t="s">
        <v>15994</v>
      </c>
      <c r="TOH1" s="9" t="s">
        <v>15995</v>
      </c>
      <c r="TOI1" s="9" t="s">
        <v>15996</v>
      </c>
      <c r="TOJ1" s="9" t="s">
        <v>15997</v>
      </c>
      <c r="TOK1" s="9" t="s">
        <v>15998</v>
      </c>
      <c r="TOL1" s="9" t="s">
        <v>15999</v>
      </c>
      <c r="TOM1" s="9" t="s">
        <v>16000</v>
      </c>
      <c r="TON1" s="9" t="s">
        <v>16001</v>
      </c>
      <c r="TOO1" s="9" t="s">
        <v>16002</v>
      </c>
      <c r="TOP1" s="9" t="s">
        <v>16003</v>
      </c>
      <c r="TOQ1" s="9" t="s">
        <v>16004</v>
      </c>
      <c r="TOR1" s="9" t="s">
        <v>16005</v>
      </c>
      <c r="TOS1" s="9" t="s">
        <v>16006</v>
      </c>
      <c r="TOT1" s="9" t="s">
        <v>16007</v>
      </c>
      <c r="TOU1" s="9" t="s">
        <v>16008</v>
      </c>
      <c r="TOV1" s="9" t="s">
        <v>16009</v>
      </c>
      <c r="TOW1" s="9" t="s">
        <v>16010</v>
      </c>
      <c r="TOX1" s="9" t="s">
        <v>16011</v>
      </c>
      <c r="TOY1" s="9" t="s">
        <v>16012</v>
      </c>
      <c r="TOZ1" s="9" t="s">
        <v>16013</v>
      </c>
      <c r="TPA1" s="9" t="s">
        <v>16014</v>
      </c>
      <c r="TPB1" s="9" t="s">
        <v>16015</v>
      </c>
      <c r="TPC1" s="9" t="s">
        <v>16016</v>
      </c>
      <c r="TPD1" s="9" t="s">
        <v>16017</v>
      </c>
      <c r="TPE1" s="9" t="s">
        <v>16018</v>
      </c>
      <c r="TPF1" s="9" t="s">
        <v>16019</v>
      </c>
      <c r="TPG1" s="9" t="s">
        <v>16020</v>
      </c>
      <c r="TPH1" s="9" t="s">
        <v>16021</v>
      </c>
      <c r="TPI1" s="9" t="s">
        <v>16022</v>
      </c>
      <c r="TPJ1" s="9" t="s">
        <v>16023</v>
      </c>
      <c r="TPK1" s="9" t="s">
        <v>16024</v>
      </c>
      <c r="TPL1" s="9" t="s">
        <v>16025</v>
      </c>
      <c r="TPM1" s="9" t="s">
        <v>16026</v>
      </c>
      <c r="TPN1" s="9" t="s">
        <v>16027</v>
      </c>
      <c r="TPO1" s="9" t="s">
        <v>16028</v>
      </c>
      <c r="TPP1" s="9" t="s">
        <v>16029</v>
      </c>
      <c r="TPQ1" s="9" t="s">
        <v>16030</v>
      </c>
      <c r="TPR1" s="9" t="s">
        <v>16031</v>
      </c>
      <c r="TPS1" s="9" t="s">
        <v>16032</v>
      </c>
      <c r="TPT1" s="9" t="s">
        <v>16033</v>
      </c>
      <c r="TPU1" s="9" t="s">
        <v>16034</v>
      </c>
      <c r="TPV1" s="9" t="s">
        <v>16035</v>
      </c>
      <c r="TPW1" s="9" t="s">
        <v>16036</v>
      </c>
      <c r="TPX1" s="9" t="s">
        <v>16037</v>
      </c>
      <c r="TPY1" s="9" t="s">
        <v>16038</v>
      </c>
      <c r="TPZ1" s="9" t="s">
        <v>16039</v>
      </c>
      <c r="TQA1" s="9" t="s">
        <v>16040</v>
      </c>
      <c r="TQB1" s="9" t="s">
        <v>16041</v>
      </c>
      <c r="TQC1" s="9" t="s">
        <v>16042</v>
      </c>
      <c r="TQD1" s="9" t="s">
        <v>16043</v>
      </c>
      <c r="TQE1" s="9" t="s">
        <v>16044</v>
      </c>
      <c r="TQF1" s="9" t="s">
        <v>16045</v>
      </c>
      <c r="TQG1" s="9" t="s">
        <v>16046</v>
      </c>
      <c r="TQH1" s="9" t="s">
        <v>16047</v>
      </c>
      <c r="TQI1" s="9" t="s">
        <v>16048</v>
      </c>
      <c r="TQJ1" s="9" t="s">
        <v>16049</v>
      </c>
      <c r="TQK1" s="9" t="s">
        <v>16050</v>
      </c>
      <c r="TQL1" s="9" t="s">
        <v>16051</v>
      </c>
      <c r="TQM1" s="9" t="s">
        <v>16052</v>
      </c>
      <c r="TQN1" s="9" t="s">
        <v>16053</v>
      </c>
      <c r="TQO1" s="9" t="s">
        <v>16054</v>
      </c>
      <c r="TQP1" s="9" t="s">
        <v>16055</v>
      </c>
      <c r="TQQ1" s="9" t="s">
        <v>16056</v>
      </c>
      <c r="TQR1" s="9" t="s">
        <v>16057</v>
      </c>
      <c r="TQS1" s="9" t="s">
        <v>16058</v>
      </c>
      <c r="TQT1" s="9" t="s">
        <v>16059</v>
      </c>
      <c r="TQU1" s="9" t="s">
        <v>16060</v>
      </c>
      <c r="TQV1" s="9" t="s">
        <v>16061</v>
      </c>
      <c r="TQW1" s="9" t="s">
        <v>16062</v>
      </c>
      <c r="TQX1" s="9" t="s">
        <v>16063</v>
      </c>
      <c r="TQY1" s="9" t="s">
        <v>16064</v>
      </c>
      <c r="TQZ1" s="9" t="s">
        <v>16065</v>
      </c>
      <c r="TRA1" s="9" t="s">
        <v>16066</v>
      </c>
      <c r="TRB1" s="9" t="s">
        <v>16067</v>
      </c>
      <c r="TRC1" s="9" t="s">
        <v>16068</v>
      </c>
      <c r="TRD1" s="9" t="s">
        <v>16069</v>
      </c>
      <c r="TRE1" s="9" t="s">
        <v>16070</v>
      </c>
      <c r="TRF1" s="9" t="s">
        <v>16071</v>
      </c>
      <c r="TRG1" s="9" t="s">
        <v>16072</v>
      </c>
      <c r="TRH1" s="9" t="s">
        <v>16073</v>
      </c>
      <c r="TRI1" s="9" t="s">
        <v>16074</v>
      </c>
      <c r="TRJ1" s="9" t="s">
        <v>16075</v>
      </c>
      <c r="TRK1" s="9" t="s">
        <v>16076</v>
      </c>
      <c r="TRL1" s="9" t="s">
        <v>16077</v>
      </c>
      <c r="TRM1" s="9" t="s">
        <v>16078</v>
      </c>
      <c r="TRN1" s="9" t="s">
        <v>16079</v>
      </c>
      <c r="TRO1" s="9" t="s">
        <v>16080</v>
      </c>
      <c r="TRP1" s="9" t="s">
        <v>16081</v>
      </c>
      <c r="TRQ1" s="9" t="s">
        <v>16082</v>
      </c>
      <c r="TRR1" s="9" t="s">
        <v>16083</v>
      </c>
      <c r="TRS1" s="9" t="s">
        <v>16084</v>
      </c>
      <c r="TRT1" s="9" t="s">
        <v>16085</v>
      </c>
      <c r="TRU1" s="9" t="s">
        <v>16086</v>
      </c>
      <c r="TRV1" s="9" t="s">
        <v>16087</v>
      </c>
      <c r="TRW1" s="9" t="s">
        <v>16088</v>
      </c>
      <c r="TRX1" s="9" t="s">
        <v>16089</v>
      </c>
      <c r="TRY1" s="9" t="s">
        <v>16090</v>
      </c>
      <c r="TRZ1" s="9" t="s">
        <v>16091</v>
      </c>
      <c r="TSA1" s="9" t="s">
        <v>16092</v>
      </c>
      <c r="TSB1" s="9" t="s">
        <v>16093</v>
      </c>
      <c r="TSC1" s="9" t="s">
        <v>16094</v>
      </c>
      <c r="TSD1" s="9" t="s">
        <v>16095</v>
      </c>
      <c r="TSE1" s="9" t="s">
        <v>16096</v>
      </c>
      <c r="TSF1" s="9" t="s">
        <v>16097</v>
      </c>
      <c r="TSG1" s="9" t="s">
        <v>16098</v>
      </c>
      <c r="TSH1" s="9" t="s">
        <v>16099</v>
      </c>
      <c r="TSI1" s="9" t="s">
        <v>16100</v>
      </c>
      <c r="TSJ1" s="9" t="s">
        <v>16101</v>
      </c>
      <c r="TSK1" s="9" t="s">
        <v>16102</v>
      </c>
      <c r="TSL1" s="9" t="s">
        <v>16103</v>
      </c>
      <c r="TSM1" s="9" t="s">
        <v>16104</v>
      </c>
      <c r="TSN1" s="9" t="s">
        <v>16105</v>
      </c>
      <c r="TSO1" s="9" t="s">
        <v>16106</v>
      </c>
      <c r="TSP1" s="9" t="s">
        <v>16107</v>
      </c>
      <c r="TSQ1" s="9" t="s">
        <v>16108</v>
      </c>
      <c r="TSR1" s="9" t="s">
        <v>16109</v>
      </c>
      <c r="TSS1" s="9" t="s">
        <v>16110</v>
      </c>
      <c r="TST1" s="9" t="s">
        <v>16111</v>
      </c>
      <c r="TSU1" s="9" t="s">
        <v>16112</v>
      </c>
      <c r="TSV1" s="9" t="s">
        <v>16113</v>
      </c>
      <c r="TSW1" s="9" t="s">
        <v>16114</v>
      </c>
      <c r="TSX1" s="9" t="s">
        <v>16115</v>
      </c>
      <c r="TSY1" s="9" t="s">
        <v>16116</v>
      </c>
      <c r="TSZ1" s="9" t="s">
        <v>16117</v>
      </c>
      <c r="TTA1" s="9" t="s">
        <v>16118</v>
      </c>
      <c r="TTB1" s="9" t="s">
        <v>16119</v>
      </c>
      <c r="TTC1" s="9" t="s">
        <v>16120</v>
      </c>
      <c r="TTD1" s="9" t="s">
        <v>16121</v>
      </c>
      <c r="TTE1" s="9" t="s">
        <v>16122</v>
      </c>
      <c r="TTF1" s="9" t="s">
        <v>16123</v>
      </c>
      <c r="TTG1" s="9" t="s">
        <v>16124</v>
      </c>
      <c r="TTH1" s="9" t="s">
        <v>16125</v>
      </c>
      <c r="TTI1" s="9" t="s">
        <v>16126</v>
      </c>
      <c r="TTJ1" s="9" t="s">
        <v>16127</v>
      </c>
      <c r="TTK1" s="9" t="s">
        <v>16128</v>
      </c>
      <c r="TTL1" s="9" t="s">
        <v>16129</v>
      </c>
      <c r="TTM1" s="9" t="s">
        <v>16130</v>
      </c>
      <c r="TTN1" s="9" t="s">
        <v>16131</v>
      </c>
      <c r="TTO1" s="9" t="s">
        <v>16132</v>
      </c>
      <c r="TTP1" s="9" t="s">
        <v>16133</v>
      </c>
      <c r="TTQ1" s="9" t="s">
        <v>16134</v>
      </c>
      <c r="TTR1" s="9" t="s">
        <v>16135</v>
      </c>
      <c r="TTS1" s="9" t="s">
        <v>16136</v>
      </c>
      <c r="TTT1" s="9" t="s">
        <v>16137</v>
      </c>
      <c r="TTU1" s="9" t="s">
        <v>16138</v>
      </c>
      <c r="TTV1" s="9" t="s">
        <v>16139</v>
      </c>
      <c r="TTW1" s="9" t="s">
        <v>16140</v>
      </c>
      <c r="TTX1" s="9" t="s">
        <v>16141</v>
      </c>
      <c r="TTY1" s="9" t="s">
        <v>16142</v>
      </c>
      <c r="TTZ1" s="9" t="s">
        <v>16143</v>
      </c>
      <c r="TUA1" s="9" t="s">
        <v>16144</v>
      </c>
      <c r="TUB1" s="9" t="s">
        <v>16145</v>
      </c>
      <c r="TUC1" s="9" t="s">
        <v>16146</v>
      </c>
      <c r="TUD1" s="9" t="s">
        <v>16147</v>
      </c>
      <c r="TUE1" s="9" t="s">
        <v>16148</v>
      </c>
      <c r="TUF1" s="9" t="s">
        <v>16149</v>
      </c>
      <c r="TUG1" s="9" t="s">
        <v>16150</v>
      </c>
      <c r="TUH1" s="9" t="s">
        <v>16151</v>
      </c>
      <c r="TUI1" s="9" t="s">
        <v>16152</v>
      </c>
      <c r="TUJ1" s="9" t="s">
        <v>16153</v>
      </c>
      <c r="TUK1" s="9" t="s">
        <v>16154</v>
      </c>
      <c r="TUL1" s="9" t="s">
        <v>16155</v>
      </c>
      <c r="TUM1" s="9" t="s">
        <v>16156</v>
      </c>
      <c r="TUN1" s="9" t="s">
        <v>16157</v>
      </c>
      <c r="TUO1" s="9" t="s">
        <v>16158</v>
      </c>
      <c r="TUP1" s="9" t="s">
        <v>16159</v>
      </c>
      <c r="TUQ1" s="9" t="s">
        <v>16160</v>
      </c>
      <c r="TUR1" s="9" t="s">
        <v>16161</v>
      </c>
      <c r="TUS1" s="9" t="s">
        <v>16162</v>
      </c>
      <c r="TUT1" s="9" t="s">
        <v>16163</v>
      </c>
      <c r="TUU1" s="9" t="s">
        <v>16164</v>
      </c>
      <c r="TUV1" s="9" t="s">
        <v>16165</v>
      </c>
      <c r="TUW1" s="9" t="s">
        <v>16166</v>
      </c>
      <c r="TUX1" s="9" t="s">
        <v>16167</v>
      </c>
      <c r="TUY1" s="9" t="s">
        <v>16168</v>
      </c>
      <c r="TUZ1" s="9" t="s">
        <v>16169</v>
      </c>
      <c r="TVA1" s="9" t="s">
        <v>16170</v>
      </c>
      <c r="TVB1" s="9" t="s">
        <v>16171</v>
      </c>
      <c r="TVC1" s="9" t="s">
        <v>16172</v>
      </c>
      <c r="TVD1" s="9" t="s">
        <v>16173</v>
      </c>
      <c r="TVE1" s="9" t="s">
        <v>16174</v>
      </c>
      <c r="TVF1" s="9" t="s">
        <v>16175</v>
      </c>
      <c r="TVG1" s="9" t="s">
        <v>16176</v>
      </c>
      <c r="TVH1" s="9" t="s">
        <v>16177</v>
      </c>
      <c r="TVI1" s="9" t="s">
        <v>16178</v>
      </c>
      <c r="TVJ1" s="9" t="s">
        <v>16179</v>
      </c>
      <c r="TVK1" s="9" t="s">
        <v>16180</v>
      </c>
      <c r="TVL1" s="9" t="s">
        <v>16181</v>
      </c>
      <c r="TVM1" s="9" t="s">
        <v>16182</v>
      </c>
      <c r="TVN1" s="9" t="s">
        <v>16183</v>
      </c>
      <c r="TVO1" s="9" t="s">
        <v>16184</v>
      </c>
      <c r="TVP1" s="9" t="s">
        <v>16185</v>
      </c>
      <c r="TVQ1" s="9" t="s">
        <v>16186</v>
      </c>
      <c r="TVR1" s="9" t="s">
        <v>16187</v>
      </c>
      <c r="TVS1" s="9" t="s">
        <v>16188</v>
      </c>
      <c r="TVT1" s="9" t="s">
        <v>16189</v>
      </c>
      <c r="TVU1" s="9" t="s">
        <v>16190</v>
      </c>
      <c r="TVV1" s="9" t="s">
        <v>16191</v>
      </c>
      <c r="TVW1" s="9" t="s">
        <v>16192</v>
      </c>
      <c r="TVX1" s="9" t="s">
        <v>16193</v>
      </c>
      <c r="TVY1" s="9" t="s">
        <v>16194</v>
      </c>
      <c r="TVZ1" s="9" t="s">
        <v>16195</v>
      </c>
      <c r="TWA1" s="9" t="s">
        <v>16196</v>
      </c>
      <c r="TWB1" s="9" t="s">
        <v>16197</v>
      </c>
      <c r="TWC1" s="9" t="s">
        <v>16198</v>
      </c>
      <c r="TWD1" s="9" t="s">
        <v>16199</v>
      </c>
      <c r="TWE1" s="9" t="s">
        <v>16200</v>
      </c>
      <c r="TWF1" s="9" t="s">
        <v>16201</v>
      </c>
      <c r="TWG1" s="9" t="s">
        <v>16202</v>
      </c>
      <c r="TWH1" s="9" t="s">
        <v>16203</v>
      </c>
      <c r="TWI1" s="9" t="s">
        <v>16204</v>
      </c>
      <c r="TWJ1" s="9" t="s">
        <v>16205</v>
      </c>
      <c r="TWK1" s="9" t="s">
        <v>16206</v>
      </c>
      <c r="TWL1" s="9" t="s">
        <v>16207</v>
      </c>
      <c r="TWM1" s="9" t="s">
        <v>16208</v>
      </c>
      <c r="TWN1" s="9" t="s">
        <v>16209</v>
      </c>
      <c r="TWO1" s="9" t="s">
        <v>16210</v>
      </c>
      <c r="TWP1" s="9" t="s">
        <v>16211</v>
      </c>
      <c r="TWQ1" s="9" t="s">
        <v>16212</v>
      </c>
      <c r="TWR1" s="9" t="s">
        <v>16213</v>
      </c>
      <c r="TWS1" s="9" t="s">
        <v>16214</v>
      </c>
      <c r="TWT1" s="9" t="s">
        <v>16215</v>
      </c>
      <c r="TWU1" s="9" t="s">
        <v>16216</v>
      </c>
      <c r="TWV1" s="9" t="s">
        <v>16217</v>
      </c>
      <c r="TWW1" s="9" t="s">
        <v>16218</v>
      </c>
      <c r="TWX1" s="9" t="s">
        <v>16219</v>
      </c>
      <c r="TWY1" s="9" t="s">
        <v>16220</v>
      </c>
      <c r="TWZ1" s="9" t="s">
        <v>16221</v>
      </c>
      <c r="TXA1" s="9" t="s">
        <v>16222</v>
      </c>
      <c r="TXB1" s="9" t="s">
        <v>16223</v>
      </c>
      <c r="TXC1" s="9" t="s">
        <v>16224</v>
      </c>
      <c r="TXD1" s="9" t="s">
        <v>16225</v>
      </c>
      <c r="TXE1" s="9" t="s">
        <v>16226</v>
      </c>
      <c r="TXF1" s="9" t="s">
        <v>16227</v>
      </c>
      <c r="TXG1" s="9" t="s">
        <v>16228</v>
      </c>
      <c r="TXH1" s="9" t="s">
        <v>16229</v>
      </c>
      <c r="TXI1" s="9" t="s">
        <v>16230</v>
      </c>
      <c r="TXJ1" s="9" t="s">
        <v>16231</v>
      </c>
      <c r="TXK1" s="9" t="s">
        <v>16232</v>
      </c>
      <c r="TXL1" s="9" t="s">
        <v>16233</v>
      </c>
      <c r="TXM1" s="9" t="s">
        <v>16234</v>
      </c>
      <c r="TXN1" s="9" t="s">
        <v>16235</v>
      </c>
      <c r="TXO1" s="9" t="s">
        <v>16236</v>
      </c>
      <c r="TXP1" s="9" t="s">
        <v>16237</v>
      </c>
      <c r="TXQ1" s="9" t="s">
        <v>16238</v>
      </c>
      <c r="TXR1" s="9" t="s">
        <v>16239</v>
      </c>
      <c r="TXS1" s="9" t="s">
        <v>16240</v>
      </c>
      <c r="TXT1" s="9" t="s">
        <v>16241</v>
      </c>
      <c r="TXU1" s="9" t="s">
        <v>16242</v>
      </c>
      <c r="TXV1" s="9" t="s">
        <v>16243</v>
      </c>
      <c r="TXW1" s="9" t="s">
        <v>16244</v>
      </c>
      <c r="TXX1" s="9" t="s">
        <v>16245</v>
      </c>
      <c r="TXY1" s="9" t="s">
        <v>16246</v>
      </c>
      <c r="TXZ1" s="9" t="s">
        <v>16247</v>
      </c>
      <c r="TYA1" s="9" t="s">
        <v>16248</v>
      </c>
      <c r="TYB1" s="9" t="s">
        <v>16249</v>
      </c>
      <c r="TYC1" s="9" t="s">
        <v>16250</v>
      </c>
      <c r="TYD1" s="9" t="s">
        <v>16251</v>
      </c>
      <c r="TYE1" s="9" t="s">
        <v>16252</v>
      </c>
      <c r="TYF1" s="9" t="s">
        <v>16253</v>
      </c>
      <c r="TYG1" s="9" t="s">
        <v>16254</v>
      </c>
      <c r="TYH1" s="9" t="s">
        <v>16255</v>
      </c>
      <c r="TYI1" s="9" t="s">
        <v>16256</v>
      </c>
      <c r="TYJ1" s="9" t="s">
        <v>16257</v>
      </c>
      <c r="TYK1" s="9" t="s">
        <v>16258</v>
      </c>
      <c r="TYL1" s="9" t="s">
        <v>16259</v>
      </c>
      <c r="TYM1" s="9" t="s">
        <v>16260</v>
      </c>
      <c r="TYN1" s="9" t="s">
        <v>16261</v>
      </c>
      <c r="TYO1" s="9" t="s">
        <v>16262</v>
      </c>
      <c r="TYP1" s="9" t="s">
        <v>16263</v>
      </c>
      <c r="TYQ1" s="9" t="s">
        <v>16264</v>
      </c>
      <c r="TYR1" s="9" t="s">
        <v>16265</v>
      </c>
      <c r="TYS1" s="9" t="s">
        <v>16266</v>
      </c>
      <c r="TYT1" s="9" t="s">
        <v>16267</v>
      </c>
      <c r="TYU1" s="9" t="s">
        <v>16268</v>
      </c>
      <c r="TYV1" s="9" t="s">
        <v>16269</v>
      </c>
      <c r="TYW1" s="9" t="s">
        <v>16270</v>
      </c>
      <c r="TYX1" s="9" t="s">
        <v>16271</v>
      </c>
      <c r="TYY1" s="9" t="s">
        <v>16272</v>
      </c>
      <c r="TYZ1" s="9" t="s">
        <v>16273</v>
      </c>
      <c r="TZA1" s="9" t="s">
        <v>16274</v>
      </c>
      <c r="TZB1" s="9" t="s">
        <v>16275</v>
      </c>
      <c r="TZC1" s="9" t="s">
        <v>16276</v>
      </c>
      <c r="TZD1" s="9" t="s">
        <v>16277</v>
      </c>
      <c r="TZE1" s="9" t="s">
        <v>16278</v>
      </c>
      <c r="TZF1" s="9" t="s">
        <v>16279</v>
      </c>
      <c r="TZG1" s="9" t="s">
        <v>16280</v>
      </c>
      <c r="TZH1" s="9" t="s">
        <v>16281</v>
      </c>
      <c r="TZI1" s="9" t="s">
        <v>16282</v>
      </c>
      <c r="TZJ1" s="9" t="s">
        <v>16283</v>
      </c>
      <c r="TZK1" s="9" t="s">
        <v>16284</v>
      </c>
      <c r="TZL1" s="9" t="s">
        <v>16285</v>
      </c>
      <c r="TZM1" s="9" t="s">
        <v>16286</v>
      </c>
      <c r="TZN1" s="9" t="s">
        <v>16287</v>
      </c>
      <c r="TZO1" s="9" t="s">
        <v>16288</v>
      </c>
      <c r="TZP1" s="9" t="s">
        <v>16289</v>
      </c>
      <c r="TZQ1" s="9" t="s">
        <v>16290</v>
      </c>
      <c r="TZR1" s="9" t="s">
        <v>16291</v>
      </c>
      <c r="TZS1" s="9" t="s">
        <v>16292</v>
      </c>
      <c r="TZT1" s="9" t="s">
        <v>16293</v>
      </c>
      <c r="TZU1" s="9" t="s">
        <v>16294</v>
      </c>
      <c r="TZV1" s="9" t="s">
        <v>16295</v>
      </c>
      <c r="TZW1" s="9" t="s">
        <v>16296</v>
      </c>
      <c r="TZX1" s="9" t="s">
        <v>16297</v>
      </c>
      <c r="TZY1" s="9" t="s">
        <v>16298</v>
      </c>
      <c r="TZZ1" s="9" t="s">
        <v>16299</v>
      </c>
      <c r="UAA1" s="9" t="s">
        <v>16300</v>
      </c>
      <c r="UAB1" s="9" t="s">
        <v>16301</v>
      </c>
      <c r="UAC1" s="9" t="s">
        <v>16302</v>
      </c>
      <c r="UAD1" s="9" t="s">
        <v>16303</v>
      </c>
      <c r="UAE1" s="9" t="s">
        <v>16304</v>
      </c>
      <c r="UAF1" s="9" t="s">
        <v>16305</v>
      </c>
      <c r="UAG1" s="9" t="s">
        <v>16306</v>
      </c>
      <c r="UAH1" s="9" t="s">
        <v>16307</v>
      </c>
      <c r="UAI1" s="9" t="s">
        <v>16308</v>
      </c>
      <c r="UAJ1" s="9" t="s">
        <v>16309</v>
      </c>
      <c r="UAK1" s="9" t="s">
        <v>16310</v>
      </c>
      <c r="UAL1" s="9" t="s">
        <v>16311</v>
      </c>
      <c r="UAM1" s="9" t="s">
        <v>16312</v>
      </c>
      <c r="UAN1" s="9" t="s">
        <v>16313</v>
      </c>
      <c r="UAO1" s="9" t="s">
        <v>16314</v>
      </c>
      <c r="UAP1" s="9" t="s">
        <v>16315</v>
      </c>
      <c r="UAQ1" s="9" t="s">
        <v>16316</v>
      </c>
      <c r="UAR1" s="9" t="s">
        <v>16317</v>
      </c>
      <c r="UAS1" s="9" t="s">
        <v>16318</v>
      </c>
      <c r="UAT1" s="9" t="s">
        <v>16319</v>
      </c>
      <c r="UAU1" s="9" t="s">
        <v>16320</v>
      </c>
      <c r="UAV1" s="9" t="s">
        <v>16321</v>
      </c>
      <c r="UAW1" s="9" t="s">
        <v>16322</v>
      </c>
      <c r="UAX1" s="9" t="s">
        <v>16323</v>
      </c>
      <c r="UAY1" s="9" t="s">
        <v>16324</v>
      </c>
      <c r="UAZ1" s="9" t="s">
        <v>16325</v>
      </c>
      <c r="UBA1" s="9" t="s">
        <v>16326</v>
      </c>
      <c r="UBB1" s="9" t="s">
        <v>16327</v>
      </c>
      <c r="UBC1" s="9" t="s">
        <v>16328</v>
      </c>
      <c r="UBD1" s="9" t="s">
        <v>16329</v>
      </c>
      <c r="UBE1" s="9" t="s">
        <v>16330</v>
      </c>
      <c r="UBF1" s="9" t="s">
        <v>16331</v>
      </c>
      <c r="UBG1" s="9" t="s">
        <v>16332</v>
      </c>
      <c r="UBH1" s="9" t="s">
        <v>16333</v>
      </c>
      <c r="UBI1" s="9" t="s">
        <v>16334</v>
      </c>
      <c r="UBJ1" s="9" t="s">
        <v>16335</v>
      </c>
      <c r="UBK1" s="9" t="s">
        <v>16336</v>
      </c>
      <c r="UBL1" s="9" t="s">
        <v>16337</v>
      </c>
      <c r="UBM1" s="9" t="s">
        <v>16338</v>
      </c>
      <c r="UBN1" s="9" t="s">
        <v>16339</v>
      </c>
      <c r="UBO1" s="9" t="s">
        <v>16340</v>
      </c>
      <c r="UBP1" s="9" t="s">
        <v>16341</v>
      </c>
      <c r="UBQ1" s="9" t="s">
        <v>16342</v>
      </c>
      <c r="UBR1" s="9" t="s">
        <v>16343</v>
      </c>
      <c r="UBS1" s="9" t="s">
        <v>16344</v>
      </c>
      <c r="UBT1" s="9" t="s">
        <v>16345</v>
      </c>
      <c r="UBU1" s="9" t="s">
        <v>16346</v>
      </c>
      <c r="UBV1" s="9" t="s">
        <v>16347</v>
      </c>
      <c r="UBW1" s="9" t="s">
        <v>16348</v>
      </c>
      <c r="UBX1" s="9" t="s">
        <v>16349</v>
      </c>
      <c r="UBY1" s="9" t="s">
        <v>16350</v>
      </c>
      <c r="UBZ1" s="9" t="s">
        <v>16351</v>
      </c>
      <c r="UCA1" s="9" t="s">
        <v>16352</v>
      </c>
      <c r="UCB1" s="9" t="s">
        <v>16353</v>
      </c>
      <c r="UCC1" s="9" t="s">
        <v>16354</v>
      </c>
      <c r="UCD1" s="9" t="s">
        <v>16355</v>
      </c>
      <c r="UCE1" s="9" t="s">
        <v>16356</v>
      </c>
      <c r="UCF1" s="9" t="s">
        <v>16357</v>
      </c>
      <c r="UCG1" s="9" t="s">
        <v>16358</v>
      </c>
      <c r="UCH1" s="9" t="s">
        <v>16359</v>
      </c>
      <c r="UCI1" s="9" t="s">
        <v>16360</v>
      </c>
      <c r="UCJ1" s="9" t="s">
        <v>16361</v>
      </c>
      <c r="UCK1" s="9" t="s">
        <v>16362</v>
      </c>
      <c r="UCL1" s="9" t="s">
        <v>16363</v>
      </c>
      <c r="UCM1" s="9" t="s">
        <v>16364</v>
      </c>
      <c r="UCN1" s="9" t="s">
        <v>16365</v>
      </c>
      <c r="UCO1" s="9" t="s">
        <v>16366</v>
      </c>
      <c r="UCP1" s="9" t="s">
        <v>16367</v>
      </c>
      <c r="UCQ1" s="9" t="s">
        <v>16368</v>
      </c>
      <c r="UCR1" s="9" t="s">
        <v>16369</v>
      </c>
      <c r="UCS1" s="9" t="s">
        <v>16370</v>
      </c>
      <c r="UCT1" s="9" t="s">
        <v>16371</v>
      </c>
      <c r="UCU1" s="9" t="s">
        <v>16372</v>
      </c>
      <c r="UCV1" s="9" t="s">
        <v>16373</v>
      </c>
      <c r="UCW1" s="9" t="s">
        <v>16374</v>
      </c>
      <c r="UCX1" s="9" t="s">
        <v>16375</v>
      </c>
      <c r="UCY1" s="9" t="s">
        <v>16376</v>
      </c>
      <c r="UCZ1" s="9" t="s">
        <v>16377</v>
      </c>
      <c r="UDA1" s="9" t="s">
        <v>16378</v>
      </c>
      <c r="UDB1" s="9" t="s">
        <v>16379</v>
      </c>
      <c r="UDC1" s="9" t="s">
        <v>16380</v>
      </c>
      <c r="UDD1" s="9" t="s">
        <v>16381</v>
      </c>
      <c r="UDE1" s="9" t="s">
        <v>16382</v>
      </c>
      <c r="UDF1" s="9" t="s">
        <v>16383</v>
      </c>
      <c r="UDG1" s="9" t="s">
        <v>16384</v>
      </c>
      <c r="UDH1" s="9" t="s">
        <v>16385</v>
      </c>
      <c r="UDI1" s="9" t="s">
        <v>16386</v>
      </c>
      <c r="UDJ1" s="9" t="s">
        <v>16387</v>
      </c>
      <c r="UDK1" s="9" t="s">
        <v>16388</v>
      </c>
      <c r="UDL1" s="9" t="s">
        <v>16389</v>
      </c>
      <c r="UDM1" s="9" t="s">
        <v>16390</v>
      </c>
      <c r="UDN1" s="9" t="s">
        <v>16391</v>
      </c>
      <c r="UDO1" s="9" t="s">
        <v>16392</v>
      </c>
      <c r="UDP1" s="9" t="s">
        <v>16393</v>
      </c>
      <c r="UDQ1" s="9" t="s">
        <v>16394</v>
      </c>
      <c r="UDR1" s="9" t="s">
        <v>16395</v>
      </c>
      <c r="UDS1" s="9" t="s">
        <v>16396</v>
      </c>
      <c r="UDT1" s="9" t="s">
        <v>16397</v>
      </c>
      <c r="UDU1" s="9" t="s">
        <v>16398</v>
      </c>
      <c r="UDV1" s="9" t="s">
        <v>16399</v>
      </c>
      <c r="UDW1" s="9" t="s">
        <v>16400</v>
      </c>
      <c r="UDX1" s="9" t="s">
        <v>16401</v>
      </c>
      <c r="UDY1" s="9" t="s">
        <v>16402</v>
      </c>
      <c r="UDZ1" s="9" t="s">
        <v>16403</v>
      </c>
      <c r="UEA1" s="9" t="s">
        <v>16404</v>
      </c>
      <c r="UEB1" s="9" t="s">
        <v>16405</v>
      </c>
      <c r="UEC1" s="9" t="s">
        <v>16406</v>
      </c>
      <c r="UED1" s="9" t="s">
        <v>16407</v>
      </c>
      <c r="UEE1" s="9" t="s">
        <v>16408</v>
      </c>
      <c r="UEF1" s="9" t="s">
        <v>16409</v>
      </c>
      <c r="UEG1" s="9" t="s">
        <v>16410</v>
      </c>
      <c r="UEH1" s="9" t="s">
        <v>16411</v>
      </c>
      <c r="UEI1" s="9" t="s">
        <v>16412</v>
      </c>
      <c r="UEJ1" s="9" t="s">
        <v>16413</v>
      </c>
      <c r="UEK1" s="9" t="s">
        <v>16414</v>
      </c>
      <c r="UEL1" s="9" t="s">
        <v>16415</v>
      </c>
      <c r="UEM1" s="9" t="s">
        <v>16416</v>
      </c>
      <c r="UEN1" s="9" t="s">
        <v>16417</v>
      </c>
      <c r="UEO1" s="9" t="s">
        <v>16418</v>
      </c>
      <c r="UEP1" s="9" t="s">
        <v>16419</v>
      </c>
      <c r="UEQ1" s="9" t="s">
        <v>16420</v>
      </c>
      <c r="UER1" s="9" t="s">
        <v>16421</v>
      </c>
      <c r="UES1" s="9" t="s">
        <v>16422</v>
      </c>
      <c r="UET1" s="9" t="s">
        <v>16423</v>
      </c>
      <c r="UEU1" s="9" t="s">
        <v>16424</v>
      </c>
      <c r="UEV1" s="9" t="s">
        <v>16425</v>
      </c>
      <c r="UEW1" s="9" t="s">
        <v>16426</v>
      </c>
      <c r="UEX1" s="9" t="s">
        <v>16427</v>
      </c>
      <c r="UEY1" s="9" t="s">
        <v>16428</v>
      </c>
      <c r="UEZ1" s="9" t="s">
        <v>16429</v>
      </c>
      <c r="UFA1" s="9" t="s">
        <v>16430</v>
      </c>
      <c r="UFB1" s="9" t="s">
        <v>16431</v>
      </c>
      <c r="UFC1" s="9" t="s">
        <v>16432</v>
      </c>
      <c r="UFD1" s="9" t="s">
        <v>16433</v>
      </c>
      <c r="UFE1" s="9" t="s">
        <v>16434</v>
      </c>
      <c r="UFF1" s="9" t="s">
        <v>16435</v>
      </c>
      <c r="UFG1" s="9" t="s">
        <v>16436</v>
      </c>
      <c r="UFH1" s="9" t="s">
        <v>16437</v>
      </c>
      <c r="UFI1" s="9" t="s">
        <v>16438</v>
      </c>
      <c r="UFJ1" s="9" t="s">
        <v>16439</v>
      </c>
      <c r="UFK1" s="9" t="s">
        <v>16440</v>
      </c>
      <c r="UFL1" s="9" t="s">
        <v>16441</v>
      </c>
      <c r="UFM1" s="9" t="s">
        <v>16442</v>
      </c>
      <c r="UFN1" s="9" t="s">
        <v>16443</v>
      </c>
      <c r="UFO1" s="9" t="s">
        <v>16444</v>
      </c>
      <c r="UFP1" s="9" t="s">
        <v>16445</v>
      </c>
      <c r="UFQ1" s="9" t="s">
        <v>16446</v>
      </c>
      <c r="UFR1" s="9" t="s">
        <v>16447</v>
      </c>
      <c r="UFS1" s="9" t="s">
        <v>16448</v>
      </c>
      <c r="UFT1" s="9" t="s">
        <v>16449</v>
      </c>
      <c r="UFU1" s="9" t="s">
        <v>16450</v>
      </c>
      <c r="UFV1" s="9" t="s">
        <v>16451</v>
      </c>
      <c r="UFW1" s="9" t="s">
        <v>16452</v>
      </c>
      <c r="UFX1" s="9" t="s">
        <v>16453</v>
      </c>
      <c r="UFY1" s="9" t="s">
        <v>16454</v>
      </c>
      <c r="UFZ1" s="9" t="s">
        <v>16455</v>
      </c>
      <c r="UGA1" s="9" t="s">
        <v>16456</v>
      </c>
      <c r="UGB1" s="9" t="s">
        <v>16457</v>
      </c>
      <c r="UGC1" s="9" t="s">
        <v>16458</v>
      </c>
      <c r="UGD1" s="9" t="s">
        <v>16459</v>
      </c>
      <c r="UGE1" s="9" t="s">
        <v>16460</v>
      </c>
      <c r="UGF1" s="9" t="s">
        <v>16461</v>
      </c>
      <c r="UGG1" s="9" t="s">
        <v>16462</v>
      </c>
      <c r="UGH1" s="9" t="s">
        <v>16463</v>
      </c>
      <c r="UGI1" s="9" t="s">
        <v>16464</v>
      </c>
      <c r="UGJ1" s="9" t="s">
        <v>16465</v>
      </c>
      <c r="UGK1" s="9" t="s">
        <v>16466</v>
      </c>
      <c r="UGL1" s="9" t="s">
        <v>16467</v>
      </c>
      <c r="UGM1" s="9" t="s">
        <v>16468</v>
      </c>
      <c r="UGN1" s="9" t="s">
        <v>16469</v>
      </c>
      <c r="UGO1" s="9" t="s">
        <v>16470</v>
      </c>
      <c r="UGP1" s="9" t="s">
        <v>16471</v>
      </c>
      <c r="UGQ1" s="9" t="s">
        <v>16472</v>
      </c>
      <c r="UGR1" s="9" t="s">
        <v>16473</v>
      </c>
      <c r="UGS1" s="9" t="s">
        <v>16474</v>
      </c>
      <c r="UGT1" s="9" t="s">
        <v>16475</v>
      </c>
      <c r="UGU1" s="9" t="s">
        <v>16476</v>
      </c>
      <c r="UGV1" s="9" t="s">
        <v>16477</v>
      </c>
      <c r="UGW1" s="9" t="s">
        <v>16478</v>
      </c>
      <c r="UGX1" s="9" t="s">
        <v>16479</v>
      </c>
      <c r="UGY1" s="9" t="s">
        <v>16480</v>
      </c>
      <c r="UGZ1" s="9" t="s">
        <v>16481</v>
      </c>
      <c r="UHA1" s="9" t="s">
        <v>16482</v>
      </c>
      <c r="UHB1" s="9" t="s">
        <v>16483</v>
      </c>
      <c r="UHC1" s="9" t="s">
        <v>16484</v>
      </c>
      <c r="UHD1" s="9" t="s">
        <v>16485</v>
      </c>
      <c r="UHE1" s="9" t="s">
        <v>16486</v>
      </c>
      <c r="UHF1" s="9" t="s">
        <v>16487</v>
      </c>
      <c r="UHG1" s="9" t="s">
        <v>16488</v>
      </c>
      <c r="UHH1" s="9" t="s">
        <v>16489</v>
      </c>
      <c r="UHI1" s="9" t="s">
        <v>16490</v>
      </c>
      <c r="UHJ1" s="9" t="s">
        <v>16491</v>
      </c>
      <c r="UHK1" s="9" t="s">
        <v>16492</v>
      </c>
      <c r="UHL1" s="9" t="s">
        <v>16493</v>
      </c>
      <c r="UHM1" s="9" t="s">
        <v>16494</v>
      </c>
      <c r="UHN1" s="9" t="s">
        <v>16495</v>
      </c>
      <c r="UHO1" s="9" t="s">
        <v>16496</v>
      </c>
      <c r="UHP1" s="9" t="s">
        <v>16497</v>
      </c>
      <c r="UHQ1" s="9" t="s">
        <v>16498</v>
      </c>
      <c r="UHR1" s="9" t="s">
        <v>16499</v>
      </c>
      <c r="UHS1" s="9" t="s">
        <v>16500</v>
      </c>
      <c r="UHT1" s="9" t="s">
        <v>16501</v>
      </c>
      <c r="UHU1" s="9" t="s">
        <v>16502</v>
      </c>
      <c r="UHV1" s="9" t="s">
        <v>16503</v>
      </c>
      <c r="UHW1" s="9" t="s">
        <v>16504</v>
      </c>
      <c r="UHX1" s="9" t="s">
        <v>16505</v>
      </c>
      <c r="UHY1" s="9" t="s">
        <v>16506</v>
      </c>
      <c r="UHZ1" s="9" t="s">
        <v>16507</v>
      </c>
      <c r="UIA1" s="9" t="s">
        <v>16508</v>
      </c>
      <c r="UIB1" s="9" t="s">
        <v>16509</v>
      </c>
      <c r="UIC1" s="9" t="s">
        <v>16510</v>
      </c>
      <c r="UID1" s="9" t="s">
        <v>16511</v>
      </c>
      <c r="UIE1" s="9" t="s">
        <v>16512</v>
      </c>
      <c r="UIF1" s="9" t="s">
        <v>16513</v>
      </c>
      <c r="UIG1" s="9" t="s">
        <v>16514</v>
      </c>
      <c r="UIH1" s="9" t="s">
        <v>16515</v>
      </c>
      <c r="UII1" s="9" t="s">
        <v>16516</v>
      </c>
      <c r="UIJ1" s="9" t="s">
        <v>16517</v>
      </c>
      <c r="UIK1" s="9" t="s">
        <v>16518</v>
      </c>
      <c r="UIL1" s="9" t="s">
        <v>16519</v>
      </c>
      <c r="UIM1" s="9" t="s">
        <v>16520</v>
      </c>
      <c r="UIN1" s="9" t="s">
        <v>16521</v>
      </c>
      <c r="UIO1" s="9" t="s">
        <v>16522</v>
      </c>
      <c r="UIP1" s="9" t="s">
        <v>16523</v>
      </c>
      <c r="UIQ1" s="9" t="s">
        <v>16524</v>
      </c>
      <c r="UIR1" s="9" t="s">
        <v>16525</v>
      </c>
      <c r="UIS1" s="9" t="s">
        <v>16526</v>
      </c>
      <c r="UIT1" s="9" t="s">
        <v>16527</v>
      </c>
      <c r="UIU1" s="9" t="s">
        <v>16528</v>
      </c>
      <c r="UIV1" s="9" t="s">
        <v>16529</v>
      </c>
      <c r="UIW1" s="9" t="s">
        <v>16530</v>
      </c>
      <c r="UIX1" s="9" t="s">
        <v>16531</v>
      </c>
      <c r="UIY1" s="9" t="s">
        <v>16532</v>
      </c>
      <c r="UIZ1" s="9" t="s">
        <v>16533</v>
      </c>
      <c r="UJA1" s="9" t="s">
        <v>16534</v>
      </c>
      <c r="UJB1" s="9" t="s">
        <v>16535</v>
      </c>
      <c r="UJC1" s="9" t="s">
        <v>16536</v>
      </c>
      <c r="UJD1" s="9" t="s">
        <v>16537</v>
      </c>
      <c r="UJE1" s="9" t="s">
        <v>16538</v>
      </c>
      <c r="UJF1" s="9" t="s">
        <v>16539</v>
      </c>
      <c r="UJG1" s="9" t="s">
        <v>16540</v>
      </c>
      <c r="UJH1" s="9" t="s">
        <v>16541</v>
      </c>
      <c r="UJI1" s="9" t="s">
        <v>16542</v>
      </c>
      <c r="UJJ1" s="9" t="s">
        <v>16543</v>
      </c>
      <c r="UJK1" s="9" t="s">
        <v>16544</v>
      </c>
      <c r="UJL1" s="9" t="s">
        <v>16545</v>
      </c>
      <c r="UJM1" s="9" t="s">
        <v>16546</v>
      </c>
      <c r="UJN1" s="9" t="s">
        <v>16547</v>
      </c>
      <c r="UJO1" s="9" t="s">
        <v>16548</v>
      </c>
      <c r="UJP1" s="9" t="s">
        <v>16549</v>
      </c>
      <c r="UJQ1" s="9" t="s">
        <v>16550</v>
      </c>
      <c r="UJR1" s="9" t="s">
        <v>16551</v>
      </c>
      <c r="UJS1" s="9" t="s">
        <v>16552</v>
      </c>
      <c r="UJT1" s="9" t="s">
        <v>16553</v>
      </c>
      <c r="UJU1" s="9" t="s">
        <v>16554</v>
      </c>
      <c r="UJV1" s="9" t="s">
        <v>16555</v>
      </c>
      <c r="UJW1" s="9" t="s">
        <v>16556</v>
      </c>
      <c r="UJX1" s="9" t="s">
        <v>16557</v>
      </c>
      <c r="UJY1" s="9" t="s">
        <v>16558</v>
      </c>
      <c r="UJZ1" s="9" t="s">
        <v>16559</v>
      </c>
      <c r="UKA1" s="9" t="s">
        <v>16560</v>
      </c>
      <c r="UKB1" s="9" t="s">
        <v>16561</v>
      </c>
      <c r="UKC1" s="9" t="s">
        <v>16562</v>
      </c>
      <c r="UKD1" s="9" t="s">
        <v>16563</v>
      </c>
      <c r="UKE1" s="9" t="s">
        <v>16564</v>
      </c>
      <c r="UKF1" s="9" t="s">
        <v>16565</v>
      </c>
      <c r="UKG1" s="9" t="s">
        <v>16566</v>
      </c>
      <c r="UKH1" s="9" t="s">
        <v>16567</v>
      </c>
      <c r="UKI1" s="9" t="s">
        <v>16568</v>
      </c>
      <c r="UKJ1" s="9" t="s">
        <v>16569</v>
      </c>
      <c r="UKK1" s="9" t="s">
        <v>16570</v>
      </c>
      <c r="UKL1" s="9" t="s">
        <v>16571</v>
      </c>
      <c r="UKM1" s="9" t="s">
        <v>16572</v>
      </c>
      <c r="UKN1" s="9" t="s">
        <v>16573</v>
      </c>
      <c r="UKO1" s="9" t="s">
        <v>16574</v>
      </c>
      <c r="UKP1" s="9" t="s">
        <v>16575</v>
      </c>
      <c r="UKQ1" s="9" t="s">
        <v>16576</v>
      </c>
      <c r="UKR1" s="9" t="s">
        <v>16577</v>
      </c>
      <c r="UKS1" s="9" t="s">
        <v>16578</v>
      </c>
      <c r="UKT1" s="9" t="s">
        <v>16579</v>
      </c>
      <c r="UKU1" s="9" t="s">
        <v>16580</v>
      </c>
      <c r="UKV1" s="9" t="s">
        <v>16581</v>
      </c>
      <c r="UKW1" s="9" t="s">
        <v>16582</v>
      </c>
      <c r="UKX1" s="9" t="s">
        <v>16583</v>
      </c>
      <c r="UKY1" s="9" t="s">
        <v>16584</v>
      </c>
      <c r="UKZ1" s="9" t="s">
        <v>16585</v>
      </c>
      <c r="ULA1" s="9" t="s">
        <v>16586</v>
      </c>
      <c r="ULB1" s="9" t="s">
        <v>16587</v>
      </c>
      <c r="ULC1" s="9" t="s">
        <v>16588</v>
      </c>
      <c r="ULD1" s="9" t="s">
        <v>16589</v>
      </c>
      <c r="ULE1" s="9" t="s">
        <v>16590</v>
      </c>
      <c r="ULF1" s="9" t="s">
        <v>16591</v>
      </c>
      <c r="ULG1" s="9" t="s">
        <v>16592</v>
      </c>
      <c r="ULH1" s="9" t="s">
        <v>16593</v>
      </c>
      <c r="ULI1" s="9" t="s">
        <v>16594</v>
      </c>
      <c r="ULJ1" s="9" t="s">
        <v>16595</v>
      </c>
      <c r="ULK1" s="9" t="s">
        <v>16596</v>
      </c>
      <c r="ULL1" s="9" t="s">
        <v>16597</v>
      </c>
      <c r="ULM1" s="9" t="s">
        <v>16598</v>
      </c>
      <c r="ULN1" s="9" t="s">
        <v>16599</v>
      </c>
      <c r="ULO1" s="9" t="s">
        <v>16600</v>
      </c>
      <c r="ULP1" s="9" t="s">
        <v>16601</v>
      </c>
      <c r="ULQ1" s="9" t="s">
        <v>16602</v>
      </c>
      <c r="ULR1" s="9" t="s">
        <v>16603</v>
      </c>
      <c r="ULS1" s="9" t="s">
        <v>16604</v>
      </c>
      <c r="ULT1" s="9" t="s">
        <v>16605</v>
      </c>
      <c r="ULU1" s="9" t="s">
        <v>16606</v>
      </c>
      <c r="ULV1" s="9" t="s">
        <v>16607</v>
      </c>
      <c r="ULW1" s="9" t="s">
        <v>16608</v>
      </c>
      <c r="ULX1" s="9" t="s">
        <v>16609</v>
      </c>
      <c r="ULY1" s="9" t="s">
        <v>16610</v>
      </c>
      <c r="ULZ1" s="9" t="s">
        <v>16611</v>
      </c>
      <c r="UMA1" s="9" t="s">
        <v>16612</v>
      </c>
      <c r="UMB1" s="9" t="s">
        <v>16613</v>
      </c>
      <c r="UMC1" s="9" t="s">
        <v>16614</v>
      </c>
      <c r="UMD1" s="9" t="s">
        <v>16615</v>
      </c>
      <c r="UME1" s="9" t="s">
        <v>16616</v>
      </c>
      <c r="UMF1" s="9" t="s">
        <v>16617</v>
      </c>
      <c r="UMG1" s="9" t="s">
        <v>16618</v>
      </c>
      <c r="UMH1" s="9" t="s">
        <v>16619</v>
      </c>
      <c r="UMI1" s="9" t="s">
        <v>16620</v>
      </c>
      <c r="UMJ1" s="9" t="s">
        <v>16621</v>
      </c>
      <c r="UMK1" s="9" t="s">
        <v>16622</v>
      </c>
      <c r="UML1" s="9" t="s">
        <v>16623</v>
      </c>
      <c r="UMM1" s="9" t="s">
        <v>16624</v>
      </c>
      <c r="UMN1" s="9" t="s">
        <v>16625</v>
      </c>
      <c r="UMO1" s="9" t="s">
        <v>16626</v>
      </c>
      <c r="UMP1" s="9" t="s">
        <v>16627</v>
      </c>
      <c r="UMQ1" s="9" t="s">
        <v>16628</v>
      </c>
      <c r="UMR1" s="9" t="s">
        <v>16629</v>
      </c>
      <c r="UMS1" s="9" t="s">
        <v>16630</v>
      </c>
      <c r="UMT1" s="9" t="s">
        <v>16631</v>
      </c>
      <c r="UMU1" s="9" t="s">
        <v>16632</v>
      </c>
      <c r="UMV1" s="9" t="s">
        <v>16633</v>
      </c>
      <c r="UMW1" s="9" t="s">
        <v>16634</v>
      </c>
      <c r="UMX1" s="9" t="s">
        <v>16635</v>
      </c>
      <c r="UMY1" s="9" t="s">
        <v>16636</v>
      </c>
      <c r="UMZ1" s="9" t="s">
        <v>16637</v>
      </c>
      <c r="UNA1" s="9" t="s">
        <v>16638</v>
      </c>
      <c r="UNB1" s="9" t="s">
        <v>16639</v>
      </c>
      <c r="UNC1" s="9" t="s">
        <v>16640</v>
      </c>
      <c r="UND1" s="9" t="s">
        <v>16641</v>
      </c>
      <c r="UNE1" s="9" t="s">
        <v>16642</v>
      </c>
      <c r="UNF1" s="9" t="s">
        <v>16643</v>
      </c>
      <c r="UNG1" s="9" t="s">
        <v>16644</v>
      </c>
      <c r="UNH1" s="9" t="s">
        <v>16645</v>
      </c>
      <c r="UNI1" s="9" t="s">
        <v>16646</v>
      </c>
      <c r="UNJ1" s="9" t="s">
        <v>16647</v>
      </c>
      <c r="UNK1" s="9" t="s">
        <v>16648</v>
      </c>
      <c r="UNL1" s="9" t="s">
        <v>16649</v>
      </c>
      <c r="UNM1" s="9" t="s">
        <v>16650</v>
      </c>
      <c r="UNN1" s="9" t="s">
        <v>16651</v>
      </c>
      <c r="UNO1" s="9" t="s">
        <v>16652</v>
      </c>
      <c r="UNP1" s="9" t="s">
        <v>16653</v>
      </c>
      <c r="UNQ1" s="9" t="s">
        <v>16654</v>
      </c>
      <c r="UNR1" s="9" t="s">
        <v>16655</v>
      </c>
      <c r="UNS1" s="9" t="s">
        <v>16656</v>
      </c>
      <c r="UNT1" s="9" t="s">
        <v>16657</v>
      </c>
      <c r="UNU1" s="9" t="s">
        <v>16658</v>
      </c>
      <c r="UNV1" s="9" t="s">
        <v>16659</v>
      </c>
      <c r="UNW1" s="9" t="s">
        <v>16660</v>
      </c>
      <c r="UNX1" s="9" t="s">
        <v>16661</v>
      </c>
      <c r="UNY1" s="9" t="s">
        <v>16662</v>
      </c>
      <c r="UNZ1" s="9" t="s">
        <v>16663</v>
      </c>
      <c r="UOA1" s="9" t="s">
        <v>16664</v>
      </c>
      <c r="UOB1" s="9" t="s">
        <v>16665</v>
      </c>
      <c r="UOC1" s="9" t="s">
        <v>16666</v>
      </c>
      <c r="UOD1" s="9" t="s">
        <v>16667</v>
      </c>
      <c r="UOE1" s="9" t="s">
        <v>16668</v>
      </c>
      <c r="UOF1" s="9" t="s">
        <v>16669</v>
      </c>
      <c r="UOG1" s="9" t="s">
        <v>16670</v>
      </c>
      <c r="UOH1" s="9" t="s">
        <v>16671</v>
      </c>
      <c r="UOI1" s="9" t="s">
        <v>16672</v>
      </c>
      <c r="UOJ1" s="9" t="s">
        <v>16673</v>
      </c>
      <c r="UOK1" s="9" t="s">
        <v>16674</v>
      </c>
      <c r="UOL1" s="9" t="s">
        <v>16675</v>
      </c>
      <c r="UOM1" s="9" t="s">
        <v>16676</v>
      </c>
      <c r="UON1" s="9" t="s">
        <v>16677</v>
      </c>
      <c r="UOO1" s="9" t="s">
        <v>16678</v>
      </c>
      <c r="UOP1" s="9" t="s">
        <v>16679</v>
      </c>
      <c r="UOQ1" s="9" t="s">
        <v>16680</v>
      </c>
      <c r="UOR1" s="9" t="s">
        <v>16681</v>
      </c>
      <c r="UOS1" s="9" t="s">
        <v>16682</v>
      </c>
      <c r="UOT1" s="9" t="s">
        <v>16683</v>
      </c>
      <c r="UOU1" s="9" t="s">
        <v>16684</v>
      </c>
      <c r="UOV1" s="9" t="s">
        <v>16685</v>
      </c>
      <c r="UOW1" s="9" t="s">
        <v>16686</v>
      </c>
      <c r="UOX1" s="9" t="s">
        <v>16687</v>
      </c>
      <c r="UOY1" s="9" t="s">
        <v>16688</v>
      </c>
      <c r="UOZ1" s="9" t="s">
        <v>16689</v>
      </c>
      <c r="UPA1" s="9" t="s">
        <v>16690</v>
      </c>
      <c r="UPB1" s="9" t="s">
        <v>16691</v>
      </c>
      <c r="UPC1" s="9" t="s">
        <v>16692</v>
      </c>
      <c r="UPD1" s="9" t="s">
        <v>16693</v>
      </c>
      <c r="UPE1" s="9" t="s">
        <v>16694</v>
      </c>
      <c r="UPF1" s="9" t="s">
        <v>16695</v>
      </c>
      <c r="UPG1" s="9" t="s">
        <v>16696</v>
      </c>
      <c r="UPH1" s="9" t="s">
        <v>16697</v>
      </c>
      <c r="UPI1" s="9" t="s">
        <v>16698</v>
      </c>
      <c r="UPJ1" s="9" t="s">
        <v>16699</v>
      </c>
      <c r="UPK1" s="9" t="s">
        <v>16700</v>
      </c>
      <c r="UPL1" s="9" t="s">
        <v>16701</v>
      </c>
      <c r="UPM1" s="9" t="s">
        <v>16702</v>
      </c>
      <c r="UPN1" s="9" t="s">
        <v>16703</v>
      </c>
      <c r="UPO1" s="9" t="s">
        <v>16704</v>
      </c>
      <c r="UPP1" s="9" t="s">
        <v>16705</v>
      </c>
      <c r="UPQ1" s="9" t="s">
        <v>16706</v>
      </c>
      <c r="UPR1" s="9" t="s">
        <v>16707</v>
      </c>
      <c r="UPS1" s="9" t="s">
        <v>16708</v>
      </c>
      <c r="UPT1" s="9" t="s">
        <v>16709</v>
      </c>
      <c r="UPU1" s="9" t="s">
        <v>16710</v>
      </c>
      <c r="UPV1" s="9" t="s">
        <v>16711</v>
      </c>
      <c r="UPW1" s="9" t="s">
        <v>16712</v>
      </c>
      <c r="UPX1" s="9" t="s">
        <v>16713</v>
      </c>
      <c r="UPY1" s="9" t="s">
        <v>16714</v>
      </c>
      <c r="UPZ1" s="9" t="s">
        <v>16715</v>
      </c>
      <c r="UQA1" s="9" t="s">
        <v>16716</v>
      </c>
      <c r="UQB1" s="9" t="s">
        <v>16717</v>
      </c>
      <c r="UQC1" s="9" t="s">
        <v>16718</v>
      </c>
      <c r="UQD1" s="9" t="s">
        <v>16719</v>
      </c>
      <c r="UQE1" s="9" t="s">
        <v>16720</v>
      </c>
      <c r="UQF1" s="9" t="s">
        <v>16721</v>
      </c>
      <c r="UQG1" s="9" t="s">
        <v>16722</v>
      </c>
      <c r="UQH1" s="9" t="s">
        <v>16723</v>
      </c>
      <c r="UQI1" s="9" t="s">
        <v>16724</v>
      </c>
      <c r="UQJ1" s="9" t="s">
        <v>16725</v>
      </c>
      <c r="UQK1" s="9" t="s">
        <v>16726</v>
      </c>
      <c r="UQL1" s="9" t="s">
        <v>16727</v>
      </c>
      <c r="UQM1" s="9" t="s">
        <v>16728</v>
      </c>
      <c r="UQN1" s="9" t="s">
        <v>16729</v>
      </c>
      <c r="UQO1" s="9" t="s">
        <v>16730</v>
      </c>
      <c r="UQP1" s="9" t="s">
        <v>16731</v>
      </c>
      <c r="UQQ1" s="9" t="s">
        <v>16732</v>
      </c>
      <c r="UQR1" s="9" t="s">
        <v>16733</v>
      </c>
      <c r="UQS1" s="9" t="s">
        <v>16734</v>
      </c>
      <c r="UQT1" s="9" t="s">
        <v>16735</v>
      </c>
      <c r="UQU1" s="9" t="s">
        <v>16736</v>
      </c>
      <c r="UQV1" s="9" t="s">
        <v>16737</v>
      </c>
      <c r="UQW1" s="9" t="s">
        <v>16738</v>
      </c>
      <c r="UQX1" s="9" t="s">
        <v>16739</v>
      </c>
      <c r="UQY1" s="9" t="s">
        <v>16740</v>
      </c>
      <c r="UQZ1" s="9" t="s">
        <v>16741</v>
      </c>
      <c r="URA1" s="9" t="s">
        <v>16742</v>
      </c>
      <c r="URB1" s="9" t="s">
        <v>16743</v>
      </c>
      <c r="URC1" s="9" t="s">
        <v>16744</v>
      </c>
      <c r="URD1" s="9" t="s">
        <v>16745</v>
      </c>
      <c r="URE1" s="9" t="s">
        <v>16746</v>
      </c>
      <c r="URF1" s="9" t="s">
        <v>16747</v>
      </c>
      <c r="URG1" s="9" t="s">
        <v>16748</v>
      </c>
      <c r="URH1" s="9" t="s">
        <v>16749</v>
      </c>
      <c r="URI1" s="9" t="s">
        <v>16750</v>
      </c>
      <c r="URJ1" s="9" t="s">
        <v>16751</v>
      </c>
      <c r="URK1" s="9" t="s">
        <v>16752</v>
      </c>
      <c r="URL1" s="9" t="s">
        <v>16753</v>
      </c>
      <c r="URM1" s="9" t="s">
        <v>16754</v>
      </c>
      <c r="URN1" s="9" t="s">
        <v>16755</v>
      </c>
      <c r="URO1" s="9" t="s">
        <v>16756</v>
      </c>
      <c r="URP1" s="9" t="s">
        <v>16757</v>
      </c>
      <c r="URQ1" s="9" t="s">
        <v>16758</v>
      </c>
      <c r="URR1" s="9" t="s">
        <v>16759</v>
      </c>
      <c r="URS1" s="9" t="s">
        <v>16760</v>
      </c>
      <c r="URT1" s="9" t="s">
        <v>16761</v>
      </c>
      <c r="URU1" s="9" t="s">
        <v>16762</v>
      </c>
      <c r="URV1" s="9" t="s">
        <v>16763</v>
      </c>
      <c r="URW1" s="9" t="s">
        <v>16764</v>
      </c>
      <c r="URX1" s="9" t="s">
        <v>16765</v>
      </c>
      <c r="URY1" s="9" t="s">
        <v>16766</v>
      </c>
      <c r="URZ1" s="9" t="s">
        <v>16767</v>
      </c>
      <c r="USA1" s="9" t="s">
        <v>16768</v>
      </c>
      <c r="USB1" s="9" t="s">
        <v>16769</v>
      </c>
      <c r="USC1" s="9" t="s">
        <v>16770</v>
      </c>
      <c r="USD1" s="9" t="s">
        <v>16771</v>
      </c>
      <c r="USE1" s="9" t="s">
        <v>16772</v>
      </c>
      <c r="USF1" s="9" t="s">
        <v>16773</v>
      </c>
      <c r="USG1" s="9" t="s">
        <v>16774</v>
      </c>
      <c r="USH1" s="9" t="s">
        <v>16775</v>
      </c>
      <c r="USI1" s="9" t="s">
        <v>16776</v>
      </c>
      <c r="USJ1" s="9" t="s">
        <v>16777</v>
      </c>
      <c r="USK1" s="9" t="s">
        <v>16778</v>
      </c>
      <c r="USL1" s="9" t="s">
        <v>16779</v>
      </c>
      <c r="USM1" s="9" t="s">
        <v>16780</v>
      </c>
      <c r="USN1" s="9" t="s">
        <v>16781</v>
      </c>
      <c r="USO1" s="9" t="s">
        <v>16782</v>
      </c>
      <c r="USP1" s="9" t="s">
        <v>16783</v>
      </c>
      <c r="USQ1" s="9" t="s">
        <v>16784</v>
      </c>
      <c r="USR1" s="9" t="s">
        <v>16785</v>
      </c>
      <c r="USS1" s="9" t="s">
        <v>16786</v>
      </c>
      <c r="UST1" s="9" t="s">
        <v>16787</v>
      </c>
      <c r="USU1" s="9" t="s">
        <v>16788</v>
      </c>
      <c r="USV1" s="9" t="s">
        <v>16789</v>
      </c>
      <c r="USW1" s="9" t="s">
        <v>16790</v>
      </c>
      <c r="USX1" s="9" t="s">
        <v>16791</v>
      </c>
      <c r="USY1" s="9" t="s">
        <v>16792</v>
      </c>
      <c r="USZ1" s="9" t="s">
        <v>16793</v>
      </c>
      <c r="UTA1" s="9" t="s">
        <v>16794</v>
      </c>
      <c r="UTB1" s="9" t="s">
        <v>16795</v>
      </c>
      <c r="UTC1" s="9" t="s">
        <v>16796</v>
      </c>
      <c r="UTD1" s="9" t="s">
        <v>16797</v>
      </c>
      <c r="UTE1" s="9" t="s">
        <v>16798</v>
      </c>
      <c r="UTF1" s="9" t="s">
        <v>16799</v>
      </c>
      <c r="UTG1" s="9" t="s">
        <v>16800</v>
      </c>
      <c r="UTH1" s="9" t="s">
        <v>16801</v>
      </c>
      <c r="UTI1" s="9" t="s">
        <v>16802</v>
      </c>
      <c r="UTJ1" s="9" t="s">
        <v>16803</v>
      </c>
      <c r="UTK1" s="9" t="s">
        <v>16804</v>
      </c>
      <c r="UTL1" s="9" t="s">
        <v>16805</v>
      </c>
      <c r="UTM1" s="9" t="s">
        <v>16806</v>
      </c>
      <c r="UTN1" s="9" t="s">
        <v>16807</v>
      </c>
      <c r="UTO1" s="9" t="s">
        <v>16808</v>
      </c>
      <c r="UTP1" s="9" t="s">
        <v>16809</v>
      </c>
      <c r="UTQ1" s="9" t="s">
        <v>16810</v>
      </c>
      <c r="UTR1" s="9" t="s">
        <v>16811</v>
      </c>
      <c r="UTS1" s="9" t="s">
        <v>16812</v>
      </c>
      <c r="UTT1" s="9" t="s">
        <v>16813</v>
      </c>
      <c r="UTU1" s="9" t="s">
        <v>16814</v>
      </c>
      <c r="UTV1" s="9" t="s">
        <v>16815</v>
      </c>
      <c r="UTW1" s="9" t="s">
        <v>16816</v>
      </c>
      <c r="UTX1" s="9" t="s">
        <v>16817</v>
      </c>
      <c r="UTY1" s="9" t="s">
        <v>16818</v>
      </c>
      <c r="UTZ1" s="9" t="s">
        <v>16819</v>
      </c>
      <c r="UUA1" s="9" t="s">
        <v>16820</v>
      </c>
      <c r="UUB1" s="9" t="s">
        <v>16821</v>
      </c>
      <c r="UUC1" s="9" t="s">
        <v>16822</v>
      </c>
      <c r="UUD1" s="9" t="s">
        <v>16823</v>
      </c>
      <c r="UUE1" s="9" t="s">
        <v>16824</v>
      </c>
      <c r="UUF1" s="9" t="s">
        <v>16825</v>
      </c>
      <c r="UUG1" s="9" t="s">
        <v>16826</v>
      </c>
      <c r="UUH1" s="9" t="s">
        <v>16827</v>
      </c>
      <c r="UUI1" s="9" t="s">
        <v>16828</v>
      </c>
      <c r="UUJ1" s="9" t="s">
        <v>16829</v>
      </c>
      <c r="UUK1" s="9" t="s">
        <v>16830</v>
      </c>
      <c r="UUL1" s="9" t="s">
        <v>16831</v>
      </c>
      <c r="UUM1" s="9" t="s">
        <v>16832</v>
      </c>
      <c r="UUN1" s="9" t="s">
        <v>16833</v>
      </c>
      <c r="UUO1" s="9" t="s">
        <v>16834</v>
      </c>
      <c r="UUP1" s="9" t="s">
        <v>16835</v>
      </c>
      <c r="UUQ1" s="9" t="s">
        <v>16836</v>
      </c>
      <c r="UUR1" s="9" t="s">
        <v>16837</v>
      </c>
      <c r="UUS1" s="9" t="s">
        <v>16838</v>
      </c>
      <c r="UUT1" s="9" t="s">
        <v>16839</v>
      </c>
      <c r="UUU1" s="9" t="s">
        <v>16840</v>
      </c>
      <c r="UUV1" s="9" t="s">
        <v>16841</v>
      </c>
      <c r="UUW1" s="9" t="s">
        <v>16842</v>
      </c>
      <c r="UUX1" s="9" t="s">
        <v>16843</v>
      </c>
      <c r="UUY1" s="9" t="s">
        <v>16844</v>
      </c>
      <c r="UUZ1" s="9" t="s">
        <v>16845</v>
      </c>
      <c r="UVA1" s="9" t="s">
        <v>16846</v>
      </c>
      <c r="UVB1" s="9" t="s">
        <v>16847</v>
      </c>
      <c r="UVC1" s="9" t="s">
        <v>16848</v>
      </c>
      <c r="UVD1" s="9" t="s">
        <v>16849</v>
      </c>
      <c r="UVE1" s="9" t="s">
        <v>16850</v>
      </c>
      <c r="UVF1" s="9" t="s">
        <v>16851</v>
      </c>
      <c r="UVG1" s="9" t="s">
        <v>16852</v>
      </c>
      <c r="UVH1" s="9" t="s">
        <v>16853</v>
      </c>
      <c r="UVI1" s="9" t="s">
        <v>16854</v>
      </c>
      <c r="UVJ1" s="9" t="s">
        <v>16855</v>
      </c>
      <c r="UVK1" s="9" t="s">
        <v>16856</v>
      </c>
      <c r="UVL1" s="9" t="s">
        <v>16857</v>
      </c>
      <c r="UVM1" s="9" t="s">
        <v>16858</v>
      </c>
      <c r="UVN1" s="9" t="s">
        <v>16859</v>
      </c>
      <c r="UVO1" s="9" t="s">
        <v>16860</v>
      </c>
      <c r="UVP1" s="9" t="s">
        <v>16861</v>
      </c>
      <c r="UVQ1" s="9" t="s">
        <v>16862</v>
      </c>
      <c r="UVR1" s="9" t="s">
        <v>16863</v>
      </c>
      <c r="UVS1" s="9" t="s">
        <v>16864</v>
      </c>
      <c r="UVT1" s="9" t="s">
        <v>16865</v>
      </c>
      <c r="UVU1" s="9" t="s">
        <v>16866</v>
      </c>
      <c r="UVV1" s="9" t="s">
        <v>16867</v>
      </c>
      <c r="UVW1" s="9" t="s">
        <v>16868</v>
      </c>
      <c r="UVX1" s="9" t="s">
        <v>16869</v>
      </c>
      <c r="UVY1" s="9" t="s">
        <v>16870</v>
      </c>
      <c r="UVZ1" s="9" t="s">
        <v>16871</v>
      </c>
      <c r="UWA1" s="9" t="s">
        <v>16872</v>
      </c>
      <c r="UWB1" s="9" t="s">
        <v>16873</v>
      </c>
      <c r="UWC1" s="9" t="s">
        <v>16874</v>
      </c>
      <c r="UWD1" s="9" t="s">
        <v>16875</v>
      </c>
      <c r="UWE1" s="9" t="s">
        <v>16876</v>
      </c>
      <c r="UWF1" s="9" t="s">
        <v>16877</v>
      </c>
      <c r="UWG1" s="9" t="s">
        <v>16878</v>
      </c>
      <c r="UWH1" s="9" t="s">
        <v>16879</v>
      </c>
      <c r="UWI1" s="9" t="s">
        <v>16880</v>
      </c>
      <c r="UWJ1" s="9" t="s">
        <v>16881</v>
      </c>
      <c r="UWK1" s="9" t="s">
        <v>16882</v>
      </c>
      <c r="UWL1" s="9" t="s">
        <v>16883</v>
      </c>
      <c r="UWM1" s="9" t="s">
        <v>16884</v>
      </c>
      <c r="UWN1" s="9" t="s">
        <v>16885</v>
      </c>
      <c r="UWO1" s="9" t="s">
        <v>16886</v>
      </c>
      <c r="UWP1" s="9" t="s">
        <v>16887</v>
      </c>
      <c r="UWQ1" s="9" t="s">
        <v>16888</v>
      </c>
      <c r="UWR1" s="9" t="s">
        <v>16889</v>
      </c>
      <c r="UWS1" s="9" t="s">
        <v>16890</v>
      </c>
      <c r="UWT1" s="9" t="s">
        <v>16891</v>
      </c>
      <c r="UWU1" s="9" t="s">
        <v>16892</v>
      </c>
      <c r="UWV1" s="9" t="s">
        <v>16893</v>
      </c>
      <c r="UWW1" s="9" t="s">
        <v>16894</v>
      </c>
      <c r="UWX1" s="9" t="s">
        <v>16895</v>
      </c>
      <c r="UWY1" s="9" t="s">
        <v>16896</v>
      </c>
      <c r="UWZ1" s="9" t="s">
        <v>16897</v>
      </c>
      <c r="UXA1" s="9" t="s">
        <v>16898</v>
      </c>
      <c r="UXB1" s="9" t="s">
        <v>16899</v>
      </c>
      <c r="UXC1" s="9" t="s">
        <v>16900</v>
      </c>
      <c r="UXD1" s="9" t="s">
        <v>16901</v>
      </c>
      <c r="UXE1" s="9" t="s">
        <v>16902</v>
      </c>
      <c r="UXF1" s="9" t="s">
        <v>16903</v>
      </c>
      <c r="UXG1" s="9" t="s">
        <v>16904</v>
      </c>
      <c r="UXH1" s="9" t="s">
        <v>16905</v>
      </c>
      <c r="UXI1" s="9" t="s">
        <v>16906</v>
      </c>
      <c r="UXJ1" s="9" t="s">
        <v>16907</v>
      </c>
      <c r="UXK1" s="9" t="s">
        <v>16908</v>
      </c>
      <c r="UXL1" s="9" t="s">
        <v>16909</v>
      </c>
      <c r="UXM1" s="9" t="s">
        <v>16910</v>
      </c>
      <c r="UXN1" s="9" t="s">
        <v>16911</v>
      </c>
      <c r="UXO1" s="9" t="s">
        <v>16912</v>
      </c>
      <c r="UXP1" s="9" t="s">
        <v>16913</v>
      </c>
      <c r="UXQ1" s="9" t="s">
        <v>16914</v>
      </c>
      <c r="UXR1" s="9" t="s">
        <v>16915</v>
      </c>
      <c r="UXS1" s="9" t="s">
        <v>16916</v>
      </c>
      <c r="UXT1" s="9" t="s">
        <v>16917</v>
      </c>
      <c r="UXU1" s="9" t="s">
        <v>16918</v>
      </c>
      <c r="UXV1" s="9" t="s">
        <v>16919</v>
      </c>
      <c r="UXW1" s="9" t="s">
        <v>16920</v>
      </c>
      <c r="UXX1" s="9" t="s">
        <v>16921</v>
      </c>
      <c r="UXY1" s="9" t="s">
        <v>16922</v>
      </c>
      <c r="UXZ1" s="9" t="s">
        <v>16923</v>
      </c>
      <c r="UYA1" s="9" t="s">
        <v>16924</v>
      </c>
      <c r="UYB1" s="9" t="s">
        <v>16925</v>
      </c>
      <c r="UYC1" s="9" t="s">
        <v>16926</v>
      </c>
      <c r="UYD1" s="9" t="s">
        <v>16927</v>
      </c>
      <c r="UYE1" s="9" t="s">
        <v>16928</v>
      </c>
      <c r="UYF1" s="9" t="s">
        <v>16929</v>
      </c>
      <c r="UYG1" s="9" t="s">
        <v>16930</v>
      </c>
      <c r="UYH1" s="9" t="s">
        <v>16931</v>
      </c>
      <c r="UYI1" s="9" t="s">
        <v>16932</v>
      </c>
      <c r="UYJ1" s="9" t="s">
        <v>16933</v>
      </c>
      <c r="UYK1" s="9" t="s">
        <v>16934</v>
      </c>
      <c r="UYL1" s="9" t="s">
        <v>16935</v>
      </c>
      <c r="UYM1" s="9" t="s">
        <v>16936</v>
      </c>
      <c r="UYN1" s="9" t="s">
        <v>16937</v>
      </c>
      <c r="UYO1" s="9" t="s">
        <v>16938</v>
      </c>
      <c r="UYP1" s="9" t="s">
        <v>16939</v>
      </c>
      <c r="UYQ1" s="9" t="s">
        <v>16940</v>
      </c>
      <c r="UYR1" s="9" t="s">
        <v>16941</v>
      </c>
      <c r="UYS1" s="9" t="s">
        <v>16942</v>
      </c>
      <c r="UYT1" s="9" t="s">
        <v>16943</v>
      </c>
      <c r="UYU1" s="9" t="s">
        <v>16944</v>
      </c>
      <c r="UYV1" s="9" t="s">
        <v>16945</v>
      </c>
      <c r="UYW1" s="9" t="s">
        <v>16946</v>
      </c>
      <c r="UYX1" s="9" t="s">
        <v>16947</v>
      </c>
      <c r="UYY1" s="9" t="s">
        <v>16948</v>
      </c>
      <c r="UYZ1" s="9" t="s">
        <v>16949</v>
      </c>
      <c r="UZA1" s="9" t="s">
        <v>16950</v>
      </c>
      <c r="UZB1" s="9" t="s">
        <v>16951</v>
      </c>
      <c r="UZC1" s="9" t="s">
        <v>16952</v>
      </c>
      <c r="UZD1" s="9" t="s">
        <v>16953</v>
      </c>
      <c r="UZE1" s="9" t="s">
        <v>16954</v>
      </c>
      <c r="UZF1" s="9" t="s">
        <v>16955</v>
      </c>
      <c r="UZG1" s="9" t="s">
        <v>16956</v>
      </c>
      <c r="UZH1" s="9" t="s">
        <v>16957</v>
      </c>
      <c r="UZI1" s="9" t="s">
        <v>16958</v>
      </c>
      <c r="UZJ1" s="9" t="s">
        <v>16959</v>
      </c>
      <c r="UZK1" s="9" t="s">
        <v>16960</v>
      </c>
      <c r="UZL1" s="9" t="s">
        <v>16961</v>
      </c>
      <c r="UZM1" s="9" t="s">
        <v>16962</v>
      </c>
      <c r="UZN1" s="9" t="s">
        <v>16963</v>
      </c>
      <c r="UZO1" s="9" t="s">
        <v>16964</v>
      </c>
      <c r="UZP1" s="9" t="s">
        <v>16965</v>
      </c>
      <c r="UZQ1" s="9" t="s">
        <v>16966</v>
      </c>
      <c r="UZR1" s="9" t="s">
        <v>16967</v>
      </c>
      <c r="UZS1" s="9" t="s">
        <v>16968</v>
      </c>
      <c r="UZT1" s="9" t="s">
        <v>16969</v>
      </c>
      <c r="UZU1" s="9" t="s">
        <v>16970</v>
      </c>
      <c r="UZV1" s="9" t="s">
        <v>16971</v>
      </c>
      <c r="UZW1" s="9" t="s">
        <v>16972</v>
      </c>
      <c r="UZX1" s="9" t="s">
        <v>16973</v>
      </c>
      <c r="UZY1" s="9" t="s">
        <v>16974</v>
      </c>
      <c r="UZZ1" s="9" t="s">
        <v>16975</v>
      </c>
      <c r="VAA1" s="9" t="s">
        <v>16976</v>
      </c>
      <c r="VAB1" s="9" t="s">
        <v>16977</v>
      </c>
      <c r="VAC1" s="9" t="s">
        <v>16978</v>
      </c>
      <c r="VAD1" s="9" t="s">
        <v>16979</v>
      </c>
      <c r="VAE1" s="9" t="s">
        <v>16980</v>
      </c>
      <c r="VAF1" s="9" t="s">
        <v>16981</v>
      </c>
      <c r="VAG1" s="9" t="s">
        <v>16982</v>
      </c>
      <c r="VAH1" s="9" t="s">
        <v>16983</v>
      </c>
      <c r="VAI1" s="9" t="s">
        <v>16984</v>
      </c>
      <c r="VAJ1" s="9" t="s">
        <v>16985</v>
      </c>
      <c r="VAK1" s="9" t="s">
        <v>16986</v>
      </c>
      <c r="VAL1" s="9" t="s">
        <v>16987</v>
      </c>
      <c r="VAM1" s="9" t="s">
        <v>16988</v>
      </c>
      <c r="VAN1" s="9" t="s">
        <v>16989</v>
      </c>
      <c r="VAO1" s="9" t="s">
        <v>16990</v>
      </c>
      <c r="VAP1" s="9" t="s">
        <v>16991</v>
      </c>
      <c r="VAQ1" s="9" t="s">
        <v>16992</v>
      </c>
      <c r="VAR1" s="9" t="s">
        <v>16993</v>
      </c>
      <c r="VAS1" s="9" t="s">
        <v>16994</v>
      </c>
      <c r="VAT1" s="9" t="s">
        <v>16995</v>
      </c>
      <c r="VAU1" s="9" t="s">
        <v>16996</v>
      </c>
      <c r="VAV1" s="9" t="s">
        <v>16997</v>
      </c>
      <c r="VAW1" s="9" t="s">
        <v>16998</v>
      </c>
      <c r="VAX1" s="9" t="s">
        <v>16999</v>
      </c>
      <c r="VAY1" s="9" t="s">
        <v>17000</v>
      </c>
      <c r="VAZ1" s="9" t="s">
        <v>17001</v>
      </c>
      <c r="VBA1" s="9" t="s">
        <v>17002</v>
      </c>
      <c r="VBB1" s="9" t="s">
        <v>17003</v>
      </c>
      <c r="VBC1" s="9" t="s">
        <v>17004</v>
      </c>
      <c r="VBD1" s="9" t="s">
        <v>17005</v>
      </c>
      <c r="VBE1" s="9" t="s">
        <v>17006</v>
      </c>
      <c r="VBF1" s="9" t="s">
        <v>17007</v>
      </c>
      <c r="VBG1" s="9" t="s">
        <v>17008</v>
      </c>
      <c r="VBH1" s="9" t="s">
        <v>17009</v>
      </c>
      <c r="VBI1" s="9" t="s">
        <v>17010</v>
      </c>
      <c r="VBJ1" s="9" t="s">
        <v>17011</v>
      </c>
      <c r="VBK1" s="9" t="s">
        <v>17012</v>
      </c>
      <c r="VBL1" s="9" t="s">
        <v>17013</v>
      </c>
      <c r="VBM1" s="9" t="s">
        <v>17014</v>
      </c>
      <c r="VBN1" s="9" t="s">
        <v>17015</v>
      </c>
      <c r="VBO1" s="9" t="s">
        <v>17016</v>
      </c>
      <c r="VBP1" s="9" t="s">
        <v>17017</v>
      </c>
      <c r="VBQ1" s="9" t="s">
        <v>17018</v>
      </c>
      <c r="VBR1" s="9" t="s">
        <v>17019</v>
      </c>
      <c r="VBS1" s="9" t="s">
        <v>17020</v>
      </c>
      <c r="VBT1" s="9" t="s">
        <v>17021</v>
      </c>
      <c r="VBU1" s="9" t="s">
        <v>17022</v>
      </c>
      <c r="VBV1" s="9" t="s">
        <v>17023</v>
      </c>
      <c r="VBW1" s="9" t="s">
        <v>17024</v>
      </c>
      <c r="VBX1" s="9" t="s">
        <v>17025</v>
      </c>
      <c r="VBY1" s="9" t="s">
        <v>17026</v>
      </c>
      <c r="VBZ1" s="9" t="s">
        <v>17027</v>
      </c>
      <c r="VCA1" s="9" t="s">
        <v>17028</v>
      </c>
      <c r="VCB1" s="9" t="s">
        <v>17029</v>
      </c>
      <c r="VCC1" s="9" t="s">
        <v>17030</v>
      </c>
      <c r="VCD1" s="9" t="s">
        <v>17031</v>
      </c>
      <c r="VCE1" s="9" t="s">
        <v>17032</v>
      </c>
      <c r="VCF1" s="9" t="s">
        <v>17033</v>
      </c>
      <c r="VCG1" s="9" t="s">
        <v>17034</v>
      </c>
      <c r="VCH1" s="9" t="s">
        <v>17035</v>
      </c>
      <c r="VCI1" s="9" t="s">
        <v>17036</v>
      </c>
      <c r="VCJ1" s="9" t="s">
        <v>17037</v>
      </c>
      <c r="VCK1" s="9" t="s">
        <v>17038</v>
      </c>
      <c r="VCL1" s="9" t="s">
        <v>17039</v>
      </c>
      <c r="VCM1" s="9" t="s">
        <v>17040</v>
      </c>
      <c r="VCN1" s="9" t="s">
        <v>17041</v>
      </c>
      <c r="VCO1" s="9" t="s">
        <v>17042</v>
      </c>
      <c r="VCP1" s="9" t="s">
        <v>17043</v>
      </c>
      <c r="VCQ1" s="9" t="s">
        <v>17044</v>
      </c>
      <c r="VCR1" s="9" t="s">
        <v>17045</v>
      </c>
      <c r="VCS1" s="9" t="s">
        <v>17046</v>
      </c>
      <c r="VCT1" s="9" t="s">
        <v>17047</v>
      </c>
      <c r="VCU1" s="9" t="s">
        <v>17048</v>
      </c>
      <c r="VCV1" s="9" t="s">
        <v>17049</v>
      </c>
      <c r="VCW1" s="9" t="s">
        <v>17050</v>
      </c>
      <c r="VCX1" s="9" t="s">
        <v>17051</v>
      </c>
      <c r="VCY1" s="9" t="s">
        <v>17052</v>
      </c>
      <c r="VCZ1" s="9" t="s">
        <v>17053</v>
      </c>
      <c r="VDA1" s="9" t="s">
        <v>17054</v>
      </c>
      <c r="VDB1" s="9" t="s">
        <v>17055</v>
      </c>
      <c r="VDC1" s="9" t="s">
        <v>17056</v>
      </c>
      <c r="VDD1" s="9" t="s">
        <v>17057</v>
      </c>
      <c r="VDE1" s="9" t="s">
        <v>17058</v>
      </c>
      <c r="VDF1" s="9" t="s">
        <v>17059</v>
      </c>
      <c r="VDG1" s="9" t="s">
        <v>17060</v>
      </c>
      <c r="VDH1" s="9" t="s">
        <v>17061</v>
      </c>
      <c r="VDI1" s="9" t="s">
        <v>17062</v>
      </c>
      <c r="VDJ1" s="9" t="s">
        <v>17063</v>
      </c>
      <c r="VDK1" s="9" t="s">
        <v>17064</v>
      </c>
      <c r="VDL1" s="9" t="s">
        <v>17065</v>
      </c>
      <c r="VDM1" s="9" t="s">
        <v>17066</v>
      </c>
      <c r="VDN1" s="9" t="s">
        <v>17067</v>
      </c>
      <c r="VDO1" s="9" t="s">
        <v>17068</v>
      </c>
      <c r="VDP1" s="9" t="s">
        <v>17069</v>
      </c>
      <c r="VDQ1" s="9" t="s">
        <v>17070</v>
      </c>
      <c r="VDR1" s="9" t="s">
        <v>17071</v>
      </c>
      <c r="VDS1" s="9" t="s">
        <v>17072</v>
      </c>
      <c r="VDT1" s="9" t="s">
        <v>17073</v>
      </c>
      <c r="VDU1" s="9" t="s">
        <v>17074</v>
      </c>
      <c r="VDV1" s="9" t="s">
        <v>17075</v>
      </c>
      <c r="VDW1" s="9" t="s">
        <v>17076</v>
      </c>
      <c r="VDX1" s="9" t="s">
        <v>17077</v>
      </c>
      <c r="VDY1" s="9" t="s">
        <v>17078</v>
      </c>
      <c r="VDZ1" s="9" t="s">
        <v>17079</v>
      </c>
      <c r="VEA1" s="9" t="s">
        <v>17080</v>
      </c>
      <c r="VEB1" s="9" t="s">
        <v>17081</v>
      </c>
      <c r="VEC1" s="9" t="s">
        <v>17082</v>
      </c>
      <c r="VED1" s="9" t="s">
        <v>17083</v>
      </c>
      <c r="VEE1" s="9" t="s">
        <v>17084</v>
      </c>
      <c r="VEF1" s="9" t="s">
        <v>17085</v>
      </c>
      <c r="VEG1" s="9" t="s">
        <v>17086</v>
      </c>
      <c r="VEH1" s="9" t="s">
        <v>17087</v>
      </c>
      <c r="VEI1" s="9" t="s">
        <v>17088</v>
      </c>
      <c r="VEJ1" s="9" t="s">
        <v>17089</v>
      </c>
      <c r="VEK1" s="9" t="s">
        <v>17090</v>
      </c>
      <c r="VEL1" s="9" t="s">
        <v>17091</v>
      </c>
      <c r="VEM1" s="9" t="s">
        <v>17092</v>
      </c>
      <c r="VEN1" s="9" t="s">
        <v>17093</v>
      </c>
      <c r="VEO1" s="9" t="s">
        <v>17094</v>
      </c>
      <c r="VEP1" s="9" t="s">
        <v>17095</v>
      </c>
      <c r="VEQ1" s="9" t="s">
        <v>17096</v>
      </c>
      <c r="VER1" s="9" t="s">
        <v>17097</v>
      </c>
      <c r="VES1" s="9" t="s">
        <v>17098</v>
      </c>
      <c r="VET1" s="9" t="s">
        <v>17099</v>
      </c>
      <c r="VEU1" s="9" t="s">
        <v>17100</v>
      </c>
      <c r="VEV1" s="9" t="s">
        <v>17101</v>
      </c>
      <c r="VEW1" s="9" t="s">
        <v>17102</v>
      </c>
      <c r="VEX1" s="9" t="s">
        <v>17103</v>
      </c>
      <c r="VEY1" s="9" t="s">
        <v>17104</v>
      </c>
      <c r="VEZ1" s="9" t="s">
        <v>17105</v>
      </c>
      <c r="VFA1" s="9" t="s">
        <v>17106</v>
      </c>
      <c r="VFB1" s="9" t="s">
        <v>17107</v>
      </c>
      <c r="VFC1" s="9" t="s">
        <v>17108</v>
      </c>
      <c r="VFD1" s="9" t="s">
        <v>17109</v>
      </c>
      <c r="VFE1" s="9" t="s">
        <v>17110</v>
      </c>
      <c r="VFF1" s="9" t="s">
        <v>17111</v>
      </c>
      <c r="VFG1" s="9" t="s">
        <v>17112</v>
      </c>
      <c r="VFH1" s="9" t="s">
        <v>17113</v>
      </c>
      <c r="VFI1" s="9" t="s">
        <v>17114</v>
      </c>
      <c r="VFJ1" s="9" t="s">
        <v>17115</v>
      </c>
      <c r="VFK1" s="9" t="s">
        <v>17116</v>
      </c>
      <c r="VFL1" s="9" t="s">
        <v>17117</v>
      </c>
      <c r="VFM1" s="9" t="s">
        <v>17118</v>
      </c>
      <c r="VFN1" s="9" t="s">
        <v>17119</v>
      </c>
      <c r="VFO1" s="9" t="s">
        <v>17120</v>
      </c>
      <c r="VFP1" s="9" t="s">
        <v>17121</v>
      </c>
      <c r="VFQ1" s="9" t="s">
        <v>17122</v>
      </c>
      <c r="VFR1" s="9" t="s">
        <v>17123</v>
      </c>
      <c r="VFS1" s="9" t="s">
        <v>17124</v>
      </c>
      <c r="VFT1" s="9" t="s">
        <v>17125</v>
      </c>
      <c r="VFU1" s="9" t="s">
        <v>17126</v>
      </c>
      <c r="VFV1" s="9" t="s">
        <v>17127</v>
      </c>
      <c r="VFW1" s="9" t="s">
        <v>17128</v>
      </c>
      <c r="VFX1" s="9" t="s">
        <v>17129</v>
      </c>
      <c r="VFY1" s="9" t="s">
        <v>17130</v>
      </c>
      <c r="VFZ1" s="9" t="s">
        <v>17131</v>
      </c>
      <c r="VGA1" s="9" t="s">
        <v>17132</v>
      </c>
      <c r="VGB1" s="9" t="s">
        <v>17133</v>
      </c>
      <c r="VGC1" s="9" t="s">
        <v>17134</v>
      </c>
      <c r="VGD1" s="9" t="s">
        <v>17135</v>
      </c>
      <c r="VGE1" s="9" t="s">
        <v>17136</v>
      </c>
      <c r="VGF1" s="9" t="s">
        <v>17137</v>
      </c>
      <c r="VGG1" s="9" t="s">
        <v>17138</v>
      </c>
      <c r="VGH1" s="9" t="s">
        <v>17139</v>
      </c>
      <c r="VGI1" s="9" t="s">
        <v>17140</v>
      </c>
      <c r="VGJ1" s="9" t="s">
        <v>17141</v>
      </c>
      <c r="VGK1" s="9" t="s">
        <v>17142</v>
      </c>
      <c r="VGL1" s="9" t="s">
        <v>17143</v>
      </c>
      <c r="VGM1" s="9" t="s">
        <v>17144</v>
      </c>
      <c r="VGN1" s="9" t="s">
        <v>17145</v>
      </c>
      <c r="VGO1" s="9" t="s">
        <v>17146</v>
      </c>
      <c r="VGP1" s="9" t="s">
        <v>17147</v>
      </c>
      <c r="VGQ1" s="9" t="s">
        <v>17148</v>
      </c>
      <c r="VGR1" s="9" t="s">
        <v>17149</v>
      </c>
      <c r="VGS1" s="9" t="s">
        <v>17150</v>
      </c>
      <c r="VGT1" s="9" t="s">
        <v>17151</v>
      </c>
      <c r="VGU1" s="9" t="s">
        <v>17152</v>
      </c>
      <c r="VGV1" s="9" t="s">
        <v>17153</v>
      </c>
      <c r="VGW1" s="9" t="s">
        <v>17154</v>
      </c>
      <c r="VGX1" s="9" t="s">
        <v>17155</v>
      </c>
      <c r="VGY1" s="9" t="s">
        <v>17156</v>
      </c>
      <c r="VGZ1" s="9" t="s">
        <v>17157</v>
      </c>
      <c r="VHA1" s="9" t="s">
        <v>17158</v>
      </c>
      <c r="VHB1" s="9" t="s">
        <v>17159</v>
      </c>
      <c r="VHC1" s="9" t="s">
        <v>17160</v>
      </c>
      <c r="VHD1" s="9" t="s">
        <v>17161</v>
      </c>
      <c r="VHE1" s="9" t="s">
        <v>17162</v>
      </c>
      <c r="VHF1" s="9" t="s">
        <v>17163</v>
      </c>
      <c r="VHG1" s="9" t="s">
        <v>17164</v>
      </c>
      <c r="VHH1" s="9" t="s">
        <v>17165</v>
      </c>
      <c r="VHI1" s="9" t="s">
        <v>17166</v>
      </c>
      <c r="VHJ1" s="9" t="s">
        <v>17167</v>
      </c>
      <c r="VHK1" s="9" t="s">
        <v>17168</v>
      </c>
      <c r="VHL1" s="9" t="s">
        <v>17169</v>
      </c>
      <c r="VHM1" s="9" t="s">
        <v>17170</v>
      </c>
      <c r="VHN1" s="9" t="s">
        <v>17171</v>
      </c>
      <c r="VHO1" s="9" t="s">
        <v>17172</v>
      </c>
      <c r="VHP1" s="9" t="s">
        <v>17173</v>
      </c>
      <c r="VHQ1" s="9" t="s">
        <v>17174</v>
      </c>
      <c r="VHR1" s="9" t="s">
        <v>17175</v>
      </c>
      <c r="VHS1" s="9" t="s">
        <v>17176</v>
      </c>
      <c r="VHT1" s="9" t="s">
        <v>17177</v>
      </c>
      <c r="VHU1" s="9" t="s">
        <v>17178</v>
      </c>
      <c r="VHV1" s="9" t="s">
        <v>17179</v>
      </c>
      <c r="VHW1" s="9" t="s">
        <v>17180</v>
      </c>
      <c r="VHX1" s="9" t="s">
        <v>17181</v>
      </c>
      <c r="VHY1" s="9" t="s">
        <v>17182</v>
      </c>
      <c r="VHZ1" s="9" t="s">
        <v>17183</v>
      </c>
      <c r="VIA1" s="9" t="s">
        <v>17184</v>
      </c>
      <c r="VIB1" s="9" t="s">
        <v>17185</v>
      </c>
      <c r="VIC1" s="9" t="s">
        <v>17186</v>
      </c>
      <c r="VID1" s="9" t="s">
        <v>17187</v>
      </c>
      <c r="VIE1" s="9" t="s">
        <v>17188</v>
      </c>
      <c r="VIF1" s="9" t="s">
        <v>17189</v>
      </c>
      <c r="VIG1" s="9" t="s">
        <v>17190</v>
      </c>
      <c r="VIH1" s="9" t="s">
        <v>17191</v>
      </c>
      <c r="VII1" s="9" t="s">
        <v>17192</v>
      </c>
      <c r="VIJ1" s="9" t="s">
        <v>17193</v>
      </c>
      <c r="VIK1" s="9" t="s">
        <v>17194</v>
      </c>
      <c r="VIL1" s="9" t="s">
        <v>17195</v>
      </c>
      <c r="VIM1" s="9" t="s">
        <v>17196</v>
      </c>
      <c r="VIN1" s="9" t="s">
        <v>17197</v>
      </c>
      <c r="VIO1" s="9" t="s">
        <v>17198</v>
      </c>
      <c r="VIP1" s="9" t="s">
        <v>17199</v>
      </c>
      <c r="VIQ1" s="9" t="s">
        <v>17200</v>
      </c>
      <c r="VIR1" s="9" t="s">
        <v>17201</v>
      </c>
      <c r="VIS1" s="9" t="s">
        <v>17202</v>
      </c>
      <c r="VIT1" s="9" t="s">
        <v>17203</v>
      </c>
      <c r="VIU1" s="9" t="s">
        <v>17204</v>
      </c>
      <c r="VIV1" s="9" t="s">
        <v>17205</v>
      </c>
      <c r="VIW1" s="9" t="s">
        <v>17206</v>
      </c>
      <c r="VIX1" s="9" t="s">
        <v>17207</v>
      </c>
      <c r="VIY1" s="9" t="s">
        <v>17208</v>
      </c>
      <c r="VIZ1" s="9" t="s">
        <v>17209</v>
      </c>
      <c r="VJA1" s="9" t="s">
        <v>17210</v>
      </c>
      <c r="VJB1" s="9" t="s">
        <v>17211</v>
      </c>
      <c r="VJC1" s="9" t="s">
        <v>17212</v>
      </c>
      <c r="VJD1" s="9" t="s">
        <v>17213</v>
      </c>
      <c r="VJE1" s="9" t="s">
        <v>17214</v>
      </c>
      <c r="VJF1" s="9" t="s">
        <v>17215</v>
      </c>
      <c r="VJG1" s="9" t="s">
        <v>17216</v>
      </c>
      <c r="VJH1" s="9" t="s">
        <v>17217</v>
      </c>
      <c r="VJI1" s="9" t="s">
        <v>17218</v>
      </c>
      <c r="VJJ1" s="9" t="s">
        <v>17219</v>
      </c>
      <c r="VJK1" s="9" t="s">
        <v>17220</v>
      </c>
      <c r="VJL1" s="9" t="s">
        <v>17221</v>
      </c>
      <c r="VJM1" s="9" t="s">
        <v>17222</v>
      </c>
      <c r="VJN1" s="9" t="s">
        <v>17223</v>
      </c>
      <c r="VJO1" s="9" t="s">
        <v>17224</v>
      </c>
      <c r="VJP1" s="9" t="s">
        <v>17225</v>
      </c>
      <c r="VJQ1" s="9" t="s">
        <v>17226</v>
      </c>
      <c r="VJR1" s="9" t="s">
        <v>17227</v>
      </c>
      <c r="VJS1" s="9" t="s">
        <v>17228</v>
      </c>
      <c r="VJT1" s="9" t="s">
        <v>17229</v>
      </c>
      <c r="VJU1" s="9" t="s">
        <v>17230</v>
      </c>
      <c r="VJV1" s="9" t="s">
        <v>17231</v>
      </c>
      <c r="VJW1" s="9" t="s">
        <v>17232</v>
      </c>
      <c r="VJX1" s="9" t="s">
        <v>17233</v>
      </c>
      <c r="VJY1" s="9" t="s">
        <v>17234</v>
      </c>
      <c r="VJZ1" s="9" t="s">
        <v>17235</v>
      </c>
      <c r="VKA1" s="9" t="s">
        <v>17236</v>
      </c>
      <c r="VKB1" s="9" t="s">
        <v>17237</v>
      </c>
      <c r="VKC1" s="9" t="s">
        <v>17238</v>
      </c>
      <c r="VKD1" s="9" t="s">
        <v>17239</v>
      </c>
      <c r="VKE1" s="9" t="s">
        <v>17240</v>
      </c>
      <c r="VKF1" s="9" t="s">
        <v>17241</v>
      </c>
      <c r="VKG1" s="9" t="s">
        <v>17242</v>
      </c>
      <c r="VKH1" s="9" t="s">
        <v>17243</v>
      </c>
      <c r="VKI1" s="9" t="s">
        <v>17244</v>
      </c>
      <c r="VKJ1" s="9" t="s">
        <v>17245</v>
      </c>
      <c r="VKK1" s="9" t="s">
        <v>17246</v>
      </c>
      <c r="VKL1" s="9" t="s">
        <v>17247</v>
      </c>
      <c r="VKM1" s="9" t="s">
        <v>17248</v>
      </c>
      <c r="VKN1" s="9" t="s">
        <v>17249</v>
      </c>
      <c r="VKO1" s="9" t="s">
        <v>17250</v>
      </c>
      <c r="VKP1" s="9" t="s">
        <v>17251</v>
      </c>
      <c r="VKQ1" s="9" t="s">
        <v>17252</v>
      </c>
      <c r="VKR1" s="9" t="s">
        <v>17253</v>
      </c>
      <c r="VKS1" s="9" t="s">
        <v>17254</v>
      </c>
      <c r="VKT1" s="9" t="s">
        <v>17255</v>
      </c>
      <c r="VKU1" s="9" t="s">
        <v>17256</v>
      </c>
      <c r="VKV1" s="9" t="s">
        <v>17257</v>
      </c>
      <c r="VKW1" s="9" t="s">
        <v>17258</v>
      </c>
      <c r="VKX1" s="9" t="s">
        <v>17259</v>
      </c>
      <c r="VKY1" s="9" t="s">
        <v>17260</v>
      </c>
      <c r="VKZ1" s="9" t="s">
        <v>17261</v>
      </c>
      <c r="VLA1" s="9" t="s">
        <v>17262</v>
      </c>
      <c r="VLB1" s="9" t="s">
        <v>17263</v>
      </c>
      <c r="VLC1" s="9" t="s">
        <v>17264</v>
      </c>
      <c r="VLD1" s="9" t="s">
        <v>17265</v>
      </c>
      <c r="VLE1" s="9" t="s">
        <v>17266</v>
      </c>
      <c r="VLF1" s="9" t="s">
        <v>17267</v>
      </c>
      <c r="VLG1" s="9" t="s">
        <v>17268</v>
      </c>
      <c r="VLH1" s="9" t="s">
        <v>17269</v>
      </c>
      <c r="VLI1" s="9" t="s">
        <v>17270</v>
      </c>
      <c r="VLJ1" s="9" t="s">
        <v>17271</v>
      </c>
      <c r="VLK1" s="9" t="s">
        <v>17272</v>
      </c>
      <c r="VLL1" s="9" t="s">
        <v>17273</v>
      </c>
      <c r="VLM1" s="9" t="s">
        <v>17274</v>
      </c>
      <c r="VLN1" s="9" t="s">
        <v>17275</v>
      </c>
      <c r="VLO1" s="9" t="s">
        <v>17276</v>
      </c>
      <c r="VLP1" s="9" t="s">
        <v>17277</v>
      </c>
      <c r="VLQ1" s="9" t="s">
        <v>17278</v>
      </c>
      <c r="VLR1" s="9" t="s">
        <v>17279</v>
      </c>
      <c r="VLS1" s="9" t="s">
        <v>17280</v>
      </c>
      <c r="VLT1" s="9" t="s">
        <v>17281</v>
      </c>
      <c r="VLU1" s="9" t="s">
        <v>17282</v>
      </c>
      <c r="VLV1" s="9" t="s">
        <v>17283</v>
      </c>
      <c r="VLW1" s="9" t="s">
        <v>17284</v>
      </c>
      <c r="VLX1" s="9" t="s">
        <v>17285</v>
      </c>
      <c r="VLY1" s="9" t="s">
        <v>17286</v>
      </c>
      <c r="VLZ1" s="9" t="s">
        <v>17287</v>
      </c>
      <c r="VMA1" s="9" t="s">
        <v>17288</v>
      </c>
      <c r="VMB1" s="9" t="s">
        <v>17289</v>
      </c>
      <c r="VMC1" s="9" t="s">
        <v>17290</v>
      </c>
      <c r="VMD1" s="9" t="s">
        <v>17291</v>
      </c>
      <c r="VME1" s="9" t="s">
        <v>17292</v>
      </c>
      <c r="VMF1" s="9" t="s">
        <v>17293</v>
      </c>
      <c r="VMG1" s="9" t="s">
        <v>17294</v>
      </c>
      <c r="VMH1" s="9" t="s">
        <v>17295</v>
      </c>
      <c r="VMI1" s="9" t="s">
        <v>17296</v>
      </c>
      <c r="VMJ1" s="9" t="s">
        <v>17297</v>
      </c>
      <c r="VMK1" s="9" t="s">
        <v>17298</v>
      </c>
      <c r="VML1" s="9" t="s">
        <v>17299</v>
      </c>
      <c r="VMM1" s="9" t="s">
        <v>17300</v>
      </c>
      <c r="VMN1" s="9" t="s">
        <v>17301</v>
      </c>
      <c r="VMO1" s="9" t="s">
        <v>17302</v>
      </c>
      <c r="VMP1" s="9" t="s">
        <v>17303</v>
      </c>
      <c r="VMQ1" s="9" t="s">
        <v>17304</v>
      </c>
      <c r="VMR1" s="9" t="s">
        <v>17305</v>
      </c>
      <c r="VMS1" s="9" t="s">
        <v>17306</v>
      </c>
      <c r="VMT1" s="9" t="s">
        <v>17307</v>
      </c>
      <c r="VMU1" s="9" t="s">
        <v>17308</v>
      </c>
      <c r="VMV1" s="9" t="s">
        <v>17309</v>
      </c>
      <c r="VMW1" s="9" t="s">
        <v>17310</v>
      </c>
      <c r="VMX1" s="9" t="s">
        <v>17311</v>
      </c>
      <c r="VMY1" s="9" t="s">
        <v>17312</v>
      </c>
      <c r="VMZ1" s="9" t="s">
        <v>17313</v>
      </c>
      <c r="VNA1" s="9" t="s">
        <v>17314</v>
      </c>
      <c r="VNB1" s="9" t="s">
        <v>17315</v>
      </c>
      <c r="VNC1" s="9" t="s">
        <v>17316</v>
      </c>
      <c r="VND1" s="9" t="s">
        <v>17317</v>
      </c>
      <c r="VNE1" s="9" t="s">
        <v>17318</v>
      </c>
      <c r="VNF1" s="9" t="s">
        <v>17319</v>
      </c>
      <c r="VNG1" s="9" t="s">
        <v>17320</v>
      </c>
      <c r="VNH1" s="9" t="s">
        <v>17321</v>
      </c>
      <c r="VNI1" s="9" t="s">
        <v>17322</v>
      </c>
      <c r="VNJ1" s="9" t="s">
        <v>17323</v>
      </c>
      <c r="VNK1" s="9" t="s">
        <v>17324</v>
      </c>
      <c r="VNL1" s="9" t="s">
        <v>17325</v>
      </c>
      <c r="VNM1" s="9" t="s">
        <v>17326</v>
      </c>
      <c r="VNN1" s="9" t="s">
        <v>17327</v>
      </c>
      <c r="VNO1" s="9" t="s">
        <v>17328</v>
      </c>
      <c r="VNP1" s="9" t="s">
        <v>17329</v>
      </c>
      <c r="VNQ1" s="9" t="s">
        <v>17330</v>
      </c>
      <c r="VNR1" s="9" t="s">
        <v>17331</v>
      </c>
      <c r="VNS1" s="9" t="s">
        <v>17332</v>
      </c>
      <c r="VNT1" s="9" t="s">
        <v>17333</v>
      </c>
      <c r="VNU1" s="9" t="s">
        <v>17334</v>
      </c>
      <c r="VNV1" s="9" t="s">
        <v>17335</v>
      </c>
      <c r="VNW1" s="9" t="s">
        <v>17336</v>
      </c>
      <c r="VNX1" s="9" t="s">
        <v>17337</v>
      </c>
      <c r="VNY1" s="9" t="s">
        <v>17338</v>
      </c>
      <c r="VNZ1" s="9" t="s">
        <v>17339</v>
      </c>
      <c r="VOA1" s="9" t="s">
        <v>17340</v>
      </c>
      <c r="VOB1" s="9" t="s">
        <v>17341</v>
      </c>
      <c r="VOC1" s="9" t="s">
        <v>17342</v>
      </c>
      <c r="VOD1" s="9" t="s">
        <v>17343</v>
      </c>
      <c r="VOE1" s="9" t="s">
        <v>17344</v>
      </c>
      <c r="VOF1" s="9" t="s">
        <v>17345</v>
      </c>
      <c r="VOG1" s="9" t="s">
        <v>17346</v>
      </c>
      <c r="VOH1" s="9" t="s">
        <v>17347</v>
      </c>
      <c r="VOI1" s="9" t="s">
        <v>17348</v>
      </c>
      <c r="VOJ1" s="9" t="s">
        <v>17349</v>
      </c>
      <c r="VOK1" s="9" t="s">
        <v>17350</v>
      </c>
      <c r="VOL1" s="9" t="s">
        <v>17351</v>
      </c>
      <c r="VOM1" s="9" t="s">
        <v>17352</v>
      </c>
      <c r="VON1" s="9" t="s">
        <v>17353</v>
      </c>
      <c r="VOO1" s="9" t="s">
        <v>17354</v>
      </c>
      <c r="VOP1" s="9" t="s">
        <v>17355</v>
      </c>
      <c r="VOQ1" s="9" t="s">
        <v>17356</v>
      </c>
      <c r="VOR1" s="9" t="s">
        <v>17357</v>
      </c>
      <c r="VOS1" s="9" t="s">
        <v>17358</v>
      </c>
      <c r="VOT1" s="9" t="s">
        <v>17359</v>
      </c>
      <c r="VOU1" s="9" t="s">
        <v>17360</v>
      </c>
      <c r="VOV1" s="9" t="s">
        <v>17361</v>
      </c>
      <c r="VOW1" s="9" t="s">
        <v>17362</v>
      </c>
      <c r="VOX1" s="9" t="s">
        <v>17363</v>
      </c>
      <c r="VOY1" s="9" t="s">
        <v>17364</v>
      </c>
      <c r="VOZ1" s="9" t="s">
        <v>17365</v>
      </c>
      <c r="VPA1" s="9" t="s">
        <v>17366</v>
      </c>
      <c r="VPB1" s="9" t="s">
        <v>17367</v>
      </c>
      <c r="VPC1" s="9" t="s">
        <v>17368</v>
      </c>
      <c r="VPD1" s="9" t="s">
        <v>17369</v>
      </c>
      <c r="VPE1" s="9" t="s">
        <v>17370</v>
      </c>
      <c r="VPF1" s="9" t="s">
        <v>17371</v>
      </c>
      <c r="VPG1" s="9" t="s">
        <v>17372</v>
      </c>
      <c r="VPH1" s="9" t="s">
        <v>17373</v>
      </c>
      <c r="VPI1" s="9" t="s">
        <v>17374</v>
      </c>
      <c r="VPJ1" s="9" t="s">
        <v>17375</v>
      </c>
      <c r="VPK1" s="9" t="s">
        <v>17376</v>
      </c>
      <c r="VPL1" s="9" t="s">
        <v>17377</v>
      </c>
      <c r="VPM1" s="9" t="s">
        <v>17378</v>
      </c>
      <c r="VPN1" s="9" t="s">
        <v>17379</v>
      </c>
      <c r="VPO1" s="9" t="s">
        <v>17380</v>
      </c>
      <c r="VPP1" s="9" t="s">
        <v>17381</v>
      </c>
      <c r="VPQ1" s="9" t="s">
        <v>17382</v>
      </c>
      <c r="VPR1" s="9" t="s">
        <v>17383</v>
      </c>
      <c r="VPS1" s="9" t="s">
        <v>17384</v>
      </c>
      <c r="VPT1" s="9" t="s">
        <v>17385</v>
      </c>
      <c r="VPU1" s="9" t="s">
        <v>17386</v>
      </c>
      <c r="VPV1" s="9" t="s">
        <v>17387</v>
      </c>
      <c r="VPW1" s="9" t="s">
        <v>17388</v>
      </c>
      <c r="VPX1" s="9" t="s">
        <v>17389</v>
      </c>
      <c r="VPY1" s="9" t="s">
        <v>17390</v>
      </c>
      <c r="VPZ1" s="9" t="s">
        <v>17391</v>
      </c>
      <c r="VQA1" s="9" t="s">
        <v>17392</v>
      </c>
      <c r="VQB1" s="9" t="s">
        <v>17393</v>
      </c>
      <c r="VQC1" s="9" t="s">
        <v>17394</v>
      </c>
      <c r="VQD1" s="9" t="s">
        <v>17395</v>
      </c>
      <c r="VQE1" s="9" t="s">
        <v>17396</v>
      </c>
      <c r="VQF1" s="9" t="s">
        <v>17397</v>
      </c>
      <c r="VQG1" s="9" t="s">
        <v>17398</v>
      </c>
      <c r="VQH1" s="9" t="s">
        <v>17399</v>
      </c>
      <c r="VQI1" s="9" t="s">
        <v>17400</v>
      </c>
      <c r="VQJ1" s="9" t="s">
        <v>17401</v>
      </c>
      <c r="VQK1" s="9" t="s">
        <v>17402</v>
      </c>
      <c r="VQL1" s="9" t="s">
        <v>17403</v>
      </c>
      <c r="VQM1" s="9" t="s">
        <v>17404</v>
      </c>
      <c r="VQN1" s="9" t="s">
        <v>17405</v>
      </c>
      <c r="VQO1" s="9" t="s">
        <v>17406</v>
      </c>
      <c r="VQP1" s="9" t="s">
        <v>17407</v>
      </c>
      <c r="VQQ1" s="9" t="s">
        <v>17408</v>
      </c>
      <c r="VQR1" s="9" t="s">
        <v>17409</v>
      </c>
      <c r="VQS1" s="9" t="s">
        <v>17410</v>
      </c>
      <c r="VQT1" s="9" t="s">
        <v>17411</v>
      </c>
      <c r="VQU1" s="9" t="s">
        <v>17412</v>
      </c>
      <c r="VQV1" s="9" t="s">
        <v>17413</v>
      </c>
      <c r="VQW1" s="9" t="s">
        <v>17414</v>
      </c>
      <c r="VQX1" s="9" t="s">
        <v>17415</v>
      </c>
      <c r="VQY1" s="9" t="s">
        <v>17416</v>
      </c>
      <c r="VQZ1" s="9" t="s">
        <v>17417</v>
      </c>
      <c r="VRA1" s="9" t="s">
        <v>17418</v>
      </c>
      <c r="VRB1" s="9" t="s">
        <v>17419</v>
      </c>
      <c r="VRC1" s="9" t="s">
        <v>17420</v>
      </c>
      <c r="VRD1" s="9" t="s">
        <v>17421</v>
      </c>
      <c r="VRE1" s="9" t="s">
        <v>17422</v>
      </c>
      <c r="VRF1" s="9" t="s">
        <v>17423</v>
      </c>
      <c r="VRG1" s="9" t="s">
        <v>17424</v>
      </c>
      <c r="VRH1" s="9" t="s">
        <v>17425</v>
      </c>
      <c r="VRI1" s="9" t="s">
        <v>17426</v>
      </c>
      <c r="VRJ1" s="9" t="s">
        <v>17427</v>
      </c>
      <c r="VRK1" s="9" t="s">
        <v>17428</v>
      </c>
      <c r="VRL1" s="9" t="s">
        <v>17429</v>
      </c>
      <c r="VRM1" s="9" t="s">
        <v>17430</v>
      </c>
      <c r="VRN1" s="9" t="s">
        <v>17431</v>
      </c>
      <c r="VRO1" s="9" t="s">
        <v>17432</v>
      </c>
      <c r="VRP1" s="9" t="s">
        <v>17433</v>
      </c>
      <c r="VRQ1" s="9" t="s">
        <v>17434</v>
      </c>
      <c r="VRR1" s="9" t="s">
        <v>17435</v>
      </c>
      <c r="VRS1" s="9" t="s">
        <v>17436</v>
      </c>
      <c r="VRT1" s="9" t="s">
        <v>17437</v>
      </c>
      <c r="VRU1" s="9" t="s">
        <v>17438</v>
      </c>
      <c r="VRV1" s="9" t="s">
        <v>17439</v>
      </c>
      <c r="VRW1" s="9" t="s">
        <v>17440</v>
      </c>
      <c r="VRX1" s="9" t="s">
        <v>17441</v>
      </c>
      <c r="VRY1" s="9" t="s">
        <v>17442</v>
      </c>
      <c r="VRZ1" s="9" t="s">
        <v>17443</v>
      </c>
      <c r="VSA1" s="9" t="s">
        <v>17444</v>
      </c>
      <c r="VSB1" s="9" t="s">
        <v>17445</v>
      </c>
      <c r="VSC1" s="9" t="s">
        <v>17446</v>
      </c>
      <c r="VSD1" s="9" t="s">
        <v>17447</v>
      </c>
      <c r="VSE1" s="9" t="s">
        <v>17448</v>
      </c>
      <c r="VSF1" s="9" t="s">
        <v>17449</v>
      </c>
      <c r="VSG1" s="9" t="s">
        <v>17450</v>
      </c>
      <c r="VSH1" s="9" t="s">
        <v>17451</v>
      </c>
      <c r="VSI1" s="9" t="s">
        <v>17452</v>
      </c>
      <c r="VSJ1" s="9" t="s">
        <v>17453</v>
      </c>
      <c r="VSK1" s="9" t="s">
        <v>17454</v>
      </c>
      <c r="VSL1" s="9" t="s">
        <v>17455</v>
      </c>
      <c r="VSM1" s="9" t="s">
        <v>17456</v>
      </c>
      <c r="VSN1" s="9" t="s">
        <v>17457</v>
      </c>
      <c r="VSO1" s="9" t="s">
        <v>17458</v>
      </c>
      <c r="VSP1" s="9" t="s">
        <v>17459</v>
      </c>
      <c r="VSQ1" s="9" t="s">
        <v>17460</v>
      </c>
      <c r="VSR1" s="9" t="s">
        <v>17461</v>
      </c>
      <c r="VSS1" s="9" t="s">
        <v>17462</v>
      </c>
      <c r="VST1" s="9" t="s">
        <v>17463</v>
      </c>
      <c r="VSU1" s="9" t="s">
        <v>17464</v>
      </c>
      <c r="VSV1" s="9" t="s">
        <v>17465</v>
      </c>
      <c r="VSW1" s="9" t="s">
        <v>17466</v>
      </c>
      <c r="VSX1" s="9" t="s">
        <v>17467</v>
      </c>
      <c r="VSY1" s="9" t="s">
        <v>17468</v>
      </c>
      <c r="VSZ1" s="9" t="s">
        <v>17469</v>
      </c>
      <c r="VTA1" s="9" t="s">
        <v>17470</v>
      </c>
      <c r="VTB1" s="9" t="s">
        <v>17471</v>
      </c>
      <c r="VTC1" s="9" t="s">
        <v>17472</v>
      </c>
      <c r="VTD1" s="9" t="s">
        <v>17473</v>
      </c>
      <c r="VTE1" s="9" t="s">
        <v>17474</v>
      </c>
      <c r="VTF1" s="9" t="s">
        <v>17475</v>
      </c>
      <c r="VTG1" s="9" t="s">
        <v>17476</v>
      </c>
      <c r="VTH1" s="9" t="s">
        <v>17477</v>
      </c>
      <c r="VTI1" s="9" t="s">
        <v>17478</v>
      </c>
      <c r="VTJ1" s="9" t="s">
        <v>17479</v>
      </c>
      <c r="VTK1" s="9" t="s">
        <v>17480</v>
      </c>
      <c r="VTL1" s="9" t="s">
        <v>17481</v>
      </c>
      <c r="VTM1" s="9" t="s">
        <v>17482</v>
      </c>
      <c r="VTN1" s="9" t="s">
        <v>17483</v>
      </c>
      <c r="VTO1" s="9" t="s">
        <v>17484</v>
      </c>
      <c r="VTP1" s="9" t="s">
        <v>17485</v>
      </c>
      <c r="VTQ1" s="9" t="s">
        <v>17486</v>
      </c>
      <c r="VTR1" s="9" t="s">
        <v>17487</v>
      </c>
      <c r="VTS1" s="9" t="s">
        <v>17488</v>
      </c>
      <c r="VTT1" s="9" t="s">
        <v>17489</v>
      </c>
      <c r="VTU1" s="9" t="s">
        <v>17490</v>
      </c>
      <c r="VTV1" s="9" t="s">
        <v>17491</v>
      </c>
      <c r="VTW1" s="9" t="s">
        <v>17492</v>
      </c>
      <c r="VTX1" s="9" t="s">
        <v>17493</v>
      </c>
      <c r="VTY1" s="9" t="s">
        <v>17494</v>
      </c>
      <c r="VTZ1" s="9" t="s">
        <v>17495</v>
      </c>
      <c r="VUA1" s="9" t="s">
        <v>17496</v>
      </c>
      <c r="VUB1" s="9" t="s">
        <v>17497</v>
      </c>
      <c r="VUC1" s="9" t="s">
        <v>17498</v>
      </c>
      <c r="VUD1" s="9" t="s">
        <v>17499</v>
      </c>
      <c r="VUE1" s="9" t="s">
        <v>17500</v>
      </c>
      <c r="VUF1" s="9" t="s">
        <v>17501</v>
      </c>
      <c r="VUG1" s="9" t="s">
        <v>17502</v>
      </c>
      <c r="VUH1" s="9" t="s">
        <v>17503</v>
      </c>
      <c r="VUI1" s="9" t="s">
        <v>17504</v>
      </c>
      <c r="VUJ1" s="9" t="s">
        <v>17505</v>
      </c>
      <c r="VUK1" s="9" t="s">
        <v>17506</v>
      </c>
      <c r="VUL1" s="9" t="s">
        <v>17507</v>
      </c>
      <c r="VUM1" s="9" t="s">
        <v>17508</v>
      </c>
      <c r="VUN1" s="9" t="s">
        <v>17509</v>
      </c>
      <c r="VUO1" s="9" t="s">
        <v>17510</v>
      </c>
      <c r="VUP1" s="9" t="s">
        <v>17511</v>
      </c>
      <c r="VUQ1" s="9" t="s">
        <v>17512</v>
      </c>
      <c r="VUR1" s="9" t="s">
        <v>17513</v>
      </c>
      <c r="VUS1" s="9" t="s">
        <v>17514</v>
      </c>
      <c r="VUT1" s="9" t="s">
        <v>17515</v>
      </c>
      <c r="VUU1" s="9" t="s">
        <v>17516</v>
      </c>
      <c r="VUV1" s="9" t="s">
        <v>17517</v>
      </c>
      <c r="VUW1" s="9" t="s">
        <v>17518</v>
      </c>
      <c r="VUX1" s="9" t="s">
        <v>17519</v>
      </c>
      <c r="VUY1" s="9" t="s">
        <v>17520</v>
      </c>
      <c r="VUZ1" s="9" t="s">
        <v>17521</v>
      </c>
      <c r="VVA1" s="9" t="s">
        <v>17522</v>
      </c>
      <c r="VVB1" s="9" t="s">
        <v>17523</v>
      </c>
      <c r="VVC1" s="9" t="s">
        <v>17524</v>
      </c>
      <c r="VVD1" s="9" t="s">
        <v>17525</v>
      </c>
      <c r="VVE1" s="9" t="s">
        <v>17526</v>
      </c>
      <c r="VVF1" s="9" t="s">
        <v>17527</v>
      </c>
      <c r="VVG1" s="9" t="s">
        <v>17528</v>
      </c>
      <c r="VVH1" s="9" t="s">
        <v>17529</v>
      </c>
      <c r="VVI1" s="9" t="s">
        <v>17530</v>
      </c>
      <c r="VVJ1" s="9" t="s">
        <v>17531</v>
      </c>
      <c r="VVK1" s="9" t="s">
        <v>17532</v>
      </c>
      <c r="VVL1" s="9" t="s">
        <v>17533</v>
      </c>
      <c r="VVM1" s="9" t="s">
        <v>17534</v>
      </c>
      <c r="VVN1" s="9" t="s">
        <v>17535</v>
      </c>
      <c r="VVO1" s="9" t="s">
        <v>17536</v>
      </c>
      <c r="VVP1" s="9" t="s">
        <v>17537</v>
      </c>
      <c r="VVQ1" s="9" t="s">
        <v>17538</v>
      </c>
      <c r="VVR1" s="9" t="s">
        <v>17539</v>
      </c>
      <c r="VVS1" s="9" t="s">
        <v>17540</v>
      </c>
      <c r="VVT1" s="9" t="s">
        <v>17541</v>
      </c>
      <c r="VVU1" s="9" t="s">
        <v>17542</v>
      </c>
      <c r="VVV1" s="9" t="s">
        <v>17543</v>
      </c>
      <c r="VVW1" s="9" t="s">
        <v>17544</v>
      </c>
      <c r="VVX1" s="9" t="s">
        <v>17545</v>
      </c>
      <c r="VVY1" s="9" t="s">
        <v>17546</v>
      </c>
      <c r="VVZ1" s="9" t="s">
        <v>17547</v>
      </c>
      <c r="VWA1" s="9" t="s">
        <v>17548</v>
      </c>
      <c r="VWB1" s="9" t="s">
        <v>17549</v>
      </c>
      <c r="VWC1" s="9" t="s">
        <v>17550</v>
      </c>
      <c r="VWD1" s="9" t="s">
        <v>17551</v>
      </c>
      <c r="VWE1" s="9" t="s">
        <v>17552</v>
      </c>
      <c r="VWF1" s="9" t="s">
        <v>17553</v>
      </c>
      <c r="VWG1" s="9" t="s">
        <v>17554</v>
      </c>
      <c r="VWH1" s="9" t="s">
        <v>17555</v>
      </c>
      <c r="VWI1" s="9" t="s">
        <v>17556</v>
      </c>
      <c r="VWJ1" s="9" t="s">
        <v>17557</v>
      </c>
      <c r="VWK1" s="9" t="s">
        <v>17558</v>
      </c>
      <c r="VWL1" s="9" t="s">
        <v>17559</v>
      </c>
      <c r="VWM1" s="9" t="s">
        <v>17560</v>
      </c>
      <c r="VWN1" s="9" t="s">
        <v>17561</v>
      </c>
      <c r="VWO1" s="9" t="s">
        <v>17562</v>
      </c>
      <c r="VWP1" s="9" t="s">
        <v>17563</v>
      </c>
      <c r="VWQ1" s="9" t="s">
        <v>17564</v>
      </c>
      <c r="VWR1" s="9" t="s">
        <v>17565</v>
      </c>
      <c r="VWS1" s="9" t="s">
        <v>17566</v>
      </c>
      <c r="VWT1" s="9" t="s">
        <v>17567</v>
      </c>
      <c r="VWU1" s="9" t="s">
        <v>17568</v>
      </c>
      <c r="VWV1" s="9" t="s">
        <v>17569</v>
      </c>
      <c r="VWW1" s="9" t="s">
        <v>17570</v>
      </c>
      <c r="VWX1" s="9" t="s">
        <v>17571</v>
      </c>
      <c r="VWY1" s="9" t="s">
        <v>17572</v>
      </c>
      <c r="VWZ1" s="9" t="s">
        <v>17573</v>
      </c>
      <c r="VXA1" s="9" t="s">
        <v>17574</v>
      </c>
      <c r="VXB1" s="9" t="s">
        <v>17575</v>
      </c>
      <c r="VXC1" s="9" t="s">
        <v>17576</v>
      </c>
      <c r="VXD1" s="9" t="s">
        <v>17577</v>
      </c>
      <c r="VXE1" s="9" t="s">
        <v>17578</v>
      </c>
      <c r="VXF1" s="9" t="s">
        <v>17579</v>
      </c>
      <c r="VXG1" s="9" t="s">
        <v>17580</v>
      </c>
      <c r="VXH1" s="9" t="s">
        <v>17581</v>
      </c>
      <c r="VXI1" s="9" t="s">
        <v>17582</v>
      </c>
      <c r="VXJ1" s="9" t="s">
        <v>17583</v>
      </c>
      <c r="VXK1" s="9" t="s">
        <v>17584</v>
      </c>
      <c r="VXL1" s="9" t="s">
        <v>17585</v>
      </c>
      <c r="VXM1" s="9" t="s">
        <v>17586</v>
      </c>
      <c r="VXN1" s="9" t="s">
        <v>17587</v>
      </c>
      <c r="VXO1" s="9" t="s">
        <v>17588</v>
      </c>
      <c r="VXP1" s="9" t="s">
        <v>17589</v>
      </c>
      <c r="VXQ1" s="9" t="s">
        <v>17590</v>
      </c>
      <c r="VXR1" s="9" t="s">
        <v>17591</v>
      </c>
      <c r="VXS1" s="9" t="s">
        <v>17592</v>
      </c>
      <c r="VXT1" s="9" t="s">
        <v>17593</v>
      </c>
      <c r="VXU1" s="9" t="s">
        <v>17594</v>
      </c>
      <c r="VXV1" s="9" t="s">
        <v>17595</v>
      </c>
      <c r="VXW1" s="9" t="s">
        <v>17596</v>
      </c>
      <c r="VXX1" s="9" t="s">
        <v>17597</v>
      </c>
      <c r="VXY1" s="9" t="s">
        <v>17598</v>
      </c>
      <c r="VXZ1" s="9" t="s">
        <v>17599</v>
      </c>
      <c r="VYA1" s="9" t="s">
        <v>17600</v>
      </c>
      <c r="VYB1" s="9" t="s">
        <v>17601</v>
      </c>
      <c r="VYC1" s="9" t="s">
        <v>17602</v>
      </c>
      <c r="VYD1" s="9" t="s">
        <v>17603</v>
      </c>
      <c r="VYE1" s="9" t="s">
        <v>17604</v>
      </c>
      <c r="VYF1" s="9" t="s">
        <v>17605</v>
      </c>
      <c r="VYG1" s="9" t="s">
        <v>17606</v>
      </c>
      <c r="VYH1" s="9" t="s">
        <v>17607</v>
      </c>
      <c r="VYI1" s="9" t="s">
        <v>17608</v>
      </c>
      <c r="VYJ1" s="9" t="s">
        <v>17609</v>
      </c>
      <c r="VYK1" s="9" t="s">
        <v>17610</v>
      </c>
      <c r="VYL1" s="9" t="s">
        <v>17611</v>
      </c>
      <c r="VYM1" s="9" t="s">
        <v>17612</v>
      </c>
      <c r="VYN1" s="9" t="s">
        <v>17613</v>
      </c>
      <c r="VYO1" s="9" t="s">
        <v>17614</v>
      </c>
      <c r="VYP1" s="9" t="s">
        <v>17615</v>
      </c>
      <c r="VYQ1" s="9" t="s">
        <v>17616</v>
      </c>
      <c r="VYR1" s="9" t="s">
        <v>17617</v>
      </c>
      <c r="VYS1" s="9" t="s">
        <v>17618</v>
      </c>
      <c r="VYT1" s="9" t="s">
        <v>17619</v>
      </c>
      <c r="VYU1" s="9" t="s">
        <v>17620</v>
      </c>
      <c r="VYV1" s="9" t="s">
        <v>17621</v>
      </c>
      <c r="VYW1" s="9" t="s">
        <v>17622</v>
      </c>
      <c r="VYX1" s="9" t="s">
        <v>17623</v>
      </c>
      <c r="VYY1" s="9" t="s">
        <v>17624</v>
      </c>
      <c r="VYZ1" s="9" t="s">
        <v>17625</v>
      </c>
      <c r="VZA1" s="9" t="s">
        <v>17626</v>
      </c>
      <c r="VZB1" s="9" t="s">
        <v>17627</v>
      </c>
      <c r="VZC1" s="9" t="s">
        <v>17628</v>
      </c>
      <c r="VZD1" s="9" t="s">
        <v>17629</v>
      </c>
      <c r="VZE1" s="9" t="s">
        <v>17630</v>
      </c>
      <c r="VZF1" s="9" t="s">
        <v>17631</v>
      </c>
      <c r="VZG1" s="9" t="s">
        <v>17632</v>
      </c>
      <c r="VZH1" s="9" t="s">
        <v>17633</v>
      </c>
      <c r="VZI1" s="9" t="s">
        <v>17634</v>
      </c>
      <c r="VZJ1" s="9" t="s">
        <v>17635</v>
      </c>
      <c r="VZK1" s="9" t="s">
        <v>17636</v>
      </c>
      <c r="VZL1" s="9" t="s">
        <v>17637</v>
      </c>
      <c r="VZM1" s="9" t="s">
        <v>17638</v>
      </c>
      <c r="VZN1" s="9" t="s">
        <v>17639</v>
      </c>
      <c r="VZO1" s="9" t="s">
        <v>17640</v>
      </c>
      <c r="VZP1" s="9" t="s">
        <v>17641</v>
      </c>
      <c r="VZQ1" s="9" t="s">
        <v>17642</v>
      </c>
      <c r="VZR1" s="9" t="s">
        <v>17643</v>
      </c>
      <c r="VZS1" s="9" t="s">
        <v>17644</v>
      </c>
      <c r="VZT1" s="9" t="s">
        <v>17645</v>
      </c>
      <c r="VZU1" s="9" t="s">
        <v>17646</v>
      </c>
      <c r="VZV1" s="9" t="s">
        <v>17647</v>
      </c>
      <c r="VZW1" s="9" t="s">
        <v>17648</v>
      </c>
      <c r="VZX1" s="9" t="s">
        <v>17649</v>
      </c>
      <c r="VZY1" s="9" t="s">
        <v>17650</v>
      </c>
      <c r="VZZ1" s="9" t="s">
        <v>17651</v>
      </c>
      <c r="WAA1" s="9" t="s">
        <v>17652</v>
      </c>
      <c r="WAB1" s="9" t="s">
        <v>17653</v>
      </c>
      <c r="WAC1" s="9" t="s">
        <v>17654</v>
      </c>
      <c r="WAD1" s="9" t="s">
        <v>17655</v>
      </c>
      <c r="WAE1" s="9" t="s">
        <v>17656</v>
      </c>
      <c r="WAF1" s="9" t="s">
        <v>17657</v>
      </c>
      <c r="WAG1" s="9" t="s">
        <v>17658</v>
      </c>
      <c r="WAH1" s="9" t="s">
        <v>17659</v>
      </c>
      <c r="WAI1" s="9" t="s">
        <v>17660</v>
      </c>
      <c r="WAJ1" s="9" t="s">
        <v>17661</v>
      </c>
      <c r="WAK1" s="9" t="s">
        <v>17662</v>
      </c>
      <c r="WAL1" s="9" t="s">
        <v>17663</v>
      </c>
      <c r="WAM1" s="9" t="s">
        <v>17664</v>
      </c>
      <c r="WAN1" s="9" t="s">
        <v>17665</v>
      </c>
      <c r="WAO1" s="9" t="s">
        <v>17666</v>
      </c>
      <c r="WAP1" s="9" t="s">
        <v>17667</v>
      </c>
      <c r="WAQ1" s="9" t="s">
        <v>17668</v>
      </c>
      <c r="WAR1" s="9" t="s">
        <v>17669</v>
      </c>
      <c r="WAS1" s="9" t="s">
        <v>17670</v>
      </c>
      <c r="WAT1" s="9" t="s">
        <v>17671</v>
      </c>
      <c r="WAU1" s="9" t="s">
        <v>17672</v>
      </c>
      <c r="WAV1" s="9" t="s">
        <v>17673</v>
      </c>
      <c r="WAW1" s="9" t="s">
        <v>17674</v>
      </c>
      <c r="WAX1" s="9" t="s">
        <v>17675</v>
      </c>
      <c r="WAY1" s="9" t="s">
        <v>17676</v>
      </c>
      <c r="WAZ1" s="9" t="s">
        <v>17677</v>
      </c>
      <c r="WBA1" s="9" t="s">
        <v>17678</v>
      </c>
      <c r="WBB1" s="9" t="s">
        <v>17679</v>
      </c>
      <c r="WBC1" s="9" t="s">
        <v>17680</v>
      </c>
      <c r="WBD1" s="9" t="s">
        <v>17681</v>
      </c>
      <c r="WBE1" s="9" t="s">
        <v>17682</v>
      </c>
      <c r="WBF1" s="9" t="s">
        <v>17683</v>
      </c>
      <c r="WBG1" s="9" t="s">
        <v>17684</v>
      </c>
      <c r="WBH1" s="9" t="s">
        <v>17685</v>
      </c>
      <c r="WBI1" s="9" t="s">
        <v>17686</v>
      </c>
      <c r="WBJ1" s="9" t="s">
        <v>17687</v>
      </c>
      <c r="WBK1" s="9" t="s">
        <v>17688</v>
      </c>
      <c r="WBL1" s="9" t="s">
        <v>17689</v>
      </c>
      <c r="WBM1" s="9" t="s">
        <v>17690</v>
      </c>
      <c r="WBN1" s="9" t="s">
        <v>17691</v>
      </c>
      <c r="WBO1" s="9" t="s">
        <v>17692</v>
      </c>
      <c r="WBP1" s="9" t="s">
        <v>17693</v>
      </c>
      <c r="WBQ1" s="9" t="s">
        <v>17694</v>
      </c>
      <c r="WBR1" s="9" t="s">
        <v>17695</v>
      </c>
      <c r="WBS1" s="9" t="s">
        <v>17696</v>
      </c>
      <c r="WBT1" s="9" t="s">
        <v>17697</v>
      </c>
      <c r="WBU1" s="9" t="s">
        <v>17698</v>
      </c>
      <c r="WBV1" s="9" t="s">
        <v>17699</v>
      </c>
      <c r="WBW1" s="9" t="s">
        <v>17700</v>
      </c>
      <c r="WBX1" s="9" t="s">
        <v>17701</v>
      </c>
      <c r="WBY1" s="9" t="s">
        <v>17702</v>
      </c>
      <c r="WBZ1" s="9" t="s">
        <v>17703</v>
      </c>
      <c r="WCA1" s="9" t="s">
        <v>17704</v>
      </c>
      <c r="WCB1" s="9" t="s">
        <v>17705</v>
      </c>
      <c r="WCC1" s="9" t="s">
        <v>17706</v>
      </c>
      <c r="WCD1" s="9" t="s">
        <v>17707</v>
      </c>
      <c r="WCE1" s="9" t="s">
        <v>17708</v>
      </c>
      <c r="WCF1" s="9" t="s">
        <v>17709</v>
      </c>
      <c r="WCG1" s="9" t="s">
        <v>17710</v>
      </c>
      <c r="WCH1" s="9" t="s">
        <v>17711</v>
      </c>
      <c r="WCI1" s="9" t="s">
        <v>17712</v>
      </c>
      <c r="WCJ1" s="9" t="s">
        <v>17713</v>
      </c>
      <c r="WCK1" s="9" t="s">
        <v>17714</v>
      </c>
      <c r="WCL1" s="9" t="s">
        <v>17715</v>
      </c>
      <c r="WCM1" s="9" t="s">
        <v>17716</v>
      </c>
      <c r="WCN1" s="9" t="s">
        <v>17717</v>
      </c>
      <c r="WCO1" s="9" t="s">
        <v>17718</v>
      </c>
      <c r="WCP1" s="9" t="s">
        <v>17719</v>
      </c>
      <c r="WCQ1" s="9" t="s">
        <v>17720</v>
      </c>
      <c r="WCR1" s="9" t="s">
        <v>17721</v>
      </c>
      <c r="WCS1" s="9" t="s">
        <v>17722</v>
      </c>
      <c r="WCT1" s="9" t="s">
        <v>17723</v>
      </c>
      <c r="WCU1" s="9" t="s">
        <v>17724</v>
      </c>
      <c r="WCV1" s="9" t="s">
        <v>17725</v>
      </c>
      <c r="WCW1" s="9" t="s">
        <v>17726</v>
      </c>
      <c r="WCX1" s="9" t="s">
        <v>17727</v>
      </c>
      <c r="WCY1" s="9" t="s">
        <v>17728</v>
      </c>
      <c r="WCZ1" s="9" t="s">
        <v>17729</v>
      </c>
      <c r="WDA1" s="9" t="s">
        <v>17730</v>
      </c>
      <c r="WDB1" s="9" t="s">
        <v>17731</v>
      </c>
      <c r="WDC1" s="9" t="s">
        <v>17732</v>
      </c>
      <c r="WDD1" s="9" t="s">
        <v>17733</v>
      </c>
      <c r="WDE1" s="9" t="s">
        <v>17734</v>
      </c>
      <c r="WDF1" s="9" t="s">
        <v>17735</v>
      </c>
      <c r="WDG1" s="9" t="s">
        <v>17736</v>
      </c>
      <c r="WDH1" s="9" t="s">
        <v>17737</v>
      </c>
      <c r="WDI1" s="9" t="s">
        <v>17738</v>
      </c>
      <c r="WDJ1" s="9" t="s">
        <v>17739</v>
      </c>
      <c r="WDK1" s="9" t="s">
        <v>17740</v>
      </c>
      <c r="WDL1" s="9" t="s">
        <v>17741</v>
      </c>
      <c r="WDM1" s="9" t="s">
        <v>17742</v>
      </c>
      <c r="WDN1" s="9" t="s">
        <v>17743</v>
      </c>
      <c r="WDO1" s="9" t="s">
        <v>17744</v>
      </c>
      <c r="WDP1" s="9" t="s">
        <v>17745</v>
      </c>
      <c r="WDQ1" s="9" t="s">
        <v>17746</v>
      </c>
      <c r="WDR1" s="9" t="s">
        <v>17747</v>
      </c>
      <c r="WDS1" s="9" t="s">
        <v>17748</v>
      </c>
      <c r="WDT1" s="9" t="s">
        <v>17749</v>
      </c>
      <c r="WDU1" s="9" t="s">
        <v>17750</v>
      </c>
      <c r="WDV1" s="9" t="s">
        <v>17751</v>
      </c>
      <c r="WDW1" s="9" t="s">
        <v>17752</v>
      </c>
      <c r="WDX1" s="9" t="s">
        <v>17753</v>
      </c>
      <c r="WDY1" s="9" t="s">
        <v>17754</v>
      </c>
      <c r="WDZ1" s="9" t="s">
        <v>17755</v>
      </c>
      <c r="WEA1" s="9" t="s">
        <v>17756</v>
      </c>
      <c r="WEB1" s="9" t="s">
        <v>17757</v>
      </c>
      <c r="WEC1" s="9" t="s">
        <v>17758</v>
      </c>
      <c r="WED1" s="9" t="s">
        <v>17759</v>
      </c>
      <c r="WEE1" s="9" t="s">
        <v>17760</v>
      </c>
      <c r="WEF1" s="9" t="s">
        <v>17761</v>
      </c>
      <c r="WEG1" s="9" t="s">
        <v>17762</v>
      </c>
      <c r="WEH1" s="9" t="s">
        <v>17763</v>
      </c>
      <c r="WEI1" s="9" t="s">
        <v>17764</v>
      </c>
      <c r="WEJ1" s="9" t="s">
        <v>17765</v>
      </c>
      <c r="WEK1" s="9" t="s">
        <v>17766</v>
      </c>
      <c r="WEL1" s="9" t="s">
        <v>17767</v>
      </c>
      <c r="WEM1" s="9" t="s">
        <v>17768</v>
      </c>
      <c r="WEN1" s="9" t="s">
        <v>17769</v>
      </c>
      <c r="WEO1" s="9" t="s">
        <v>17770</v>
      </c>
      <c r="WEP1" s="9" t="s">
        <v>17771</v>
      </c>
      <c r="WEQ1" s="9" t="s">
        <v>17772</v>
      </c>
      <c r="WER1" s="9" t="s">
        <v>17773</v>
      </c>
      <c r="WES1" s="9" t="s">
        <v>17774</v>
      </c>
      <c r="WET1" s="9" t="s">
        <v>17775</v>
      </c>
      <c r="WEU1" s="9" t="s">
        <v>17776</v>
      </c>
      <c r="WEV1" s="9" t="s">
        <v>17777</v>
      </c>
      <c r="WEW1" s="9" t="s">
        <v>17778</v>
      </c>
      <c r="WEX1" s="9" t="s">
        <v>17779</v>
      </c>
      <c r="WEY1" s="9" t="s">
        <v>17780</v>
      </c>
      <c r="WEZ1" s="9" t="s">
        <v>17781</v>
      </c>
      <c r="WFA1" s="9" t="s">
        <v>17782</v>
      </c>
      <c r="WFB1" s="9" t="s">
        <v>17783</v>
      </c>
      <c r="WFC1" s="9" t="s">
        <v>17784</v>
      </c>
      <c r="WFD1" s="9" t="s">
        <v>17785</v>
      </c>
      <c r="WFE1" s="9" t="s">
        <v>17786</v>
      </c>
      <c r="WFF1" s="9" t="s">
        <v>17787</v>
      </c>
      <c r="WFG1" s="9" t="s">
        <v>17788</v>
      </c>
      <c r="WFH1" s="9" t="s">
        <v>17789</v>
      </c>
      <c r="WFI1" s="9" t="s">
        <v>17790</v>
      </c>
      <c r="WFJ1" s="9" t="s">
        <v>17791</v>
      </c>
      <c r="WFK1" s="9" t="s">
        <v>17792</v>
      </c>
      <c r="WFL1" s="9" t="s">
        <v>17793</v>
      </c>
      <c r="WFM1" s="9" t="s">
        <v>17794</v>
      </c>
      <c r="WFN1" s="9" t="s">
        <v>17795</v>
      </c>
      <c r="WFO1" s="9" t="s">
        <v>17796</v>
      </c>
      <c r="WFP1" s="9" t="s">
        <v>17797</v>
      </c>
      <c r="WFQ1" s="9" t="s">
        <v>17798</v>
      </c>
      <c r="WFR1" s="9" t="s">
        <v>17799</v>
      </c>
      <c r="WFS1" s="9" t="s">
        <v>17800</v>
      </c>
      <c r="WFT1" s="9" t="s">
        <v>17801</v>
      </c>
      <c r="WFU1" s="9" t="s">
        <v>17802</v>
      </c>
      <c r="WFV1" s="9" t="s">
        <v>17803</v>
      </c>
      <c r="WFW1" s="9" t="s">
        <v>17804</v>
      </c>
      <c r="WFX1" s="9" t="s">
        <v>17805</v>
      </c>
      <c r="WFY1" s="9" t="s">
        <v>17806</v>
      </c>
      <c r="WFZ1" s="9" t="s">
        <v>17807</v>
      </c>
      <c r="WGA1" s="9" t="s">
        <v>17808</v>
      </c>
      <c r="WGB1" s="9" t="s">
        <v>17809</v>
      </c>
      <c r="WGC1" s="9" t="s">
        <v>17810</v>
      </c>
      <c r="WGD1" s="9" t="s">
        <v>17811</v>
      </c>
      <c r="WGE1" s="9" t="s">
        <v>17812</v>
      </c>
      <c r="WGF1" s="9" t="s">
        <v>17813</v>
      </c>
      <c r="WGG1" s="9" t="s">
        <v>17814</v>
      </c>
      <c r="WGH1" s="9" t="s">
        <v>17815</v>
      </c>
      <c r="WGI1" s="9" t="s">
        <v>17816</v>
      </c>
      <c r="WGJ1" s="9" t="s">
        <v>17817</v>
      </c>
      <c r="WGK1" s="9" t="s">
        <v>17818</v>
      </c>
      <c r="WGL1" s="9" t="s">
        <v>17819</v>
      </c>
      <c r="WGM1" s="9" t="s">
        <v>17820</v>
      </c>
      <c r="WGN1" s="9" t="s">
        <v>17821</v>
      </c>
      <c r="WGO1" s="9" t="s">
        <v>17822</v>
      </c>
      <c r="WGP1" s="9" t="s">
        <v>17823</v>
      </c>
      <c r="WGQ1" s="9" t="s">
        <v>17824</v>
      </c>
      <c r="WGR1" s="9" t="s">
        <v>17825</v>
      </c>
      <c r="WGS1" s="9" t="s">
        <v>17826</v>
      </c>
      <c r="WGT1" s="9" t="s">
        <v>17827</v>
      </c>
      <c r="WGU1" s="9" t="s">
        <v>17828</v>
      </c>
      <c r="WGV1" s="9" t="s">
        <v>17829</v>
      </c>
      <c r="WGW1" s="9" t="s">
        <v>17830</v>
      </c>
      <c r="WGX1" s="9" t="s">
        <v>17831</v>
      </c>
      <c r="WGY1" s="9" t="s">
        <v>17832</v>
      </c>
      <c r="WGZ1" s="9" t="s">
        <v>17833</v>
      </c>
      <c r="WHA1" s="9" t="s">
        <v>17834</v>
      </c>
      <c r="WHB1" s="9" t="s">
        <v>17835</v>
      </c>
      <c r="WHC1" s="9" t="s">
        <v>17836</v>
      </c>
      <c r="WHD1" s="9" t="s">
        <v>17837</v>
      </c>
      <c r="WHE1" s="9" t="s">
        <v>17838</v>
      </c>
      <c r="WHF1" s="9" t="s">
        <v>17839</v>
      </c>
      <c r="WHG1" s="9" t="s">
        <v>17840</v>
      </c>
      <c r="WHH1" s="9" t="s">
        <v>17841</v>
      </c>
      <c r="WHI1" s="9" t="s">
        <v>17842</v>
      </c>
      <c r="WHJ1" s="9" t="s">
        <v>17843</v>
      </c>
      <c r="WHK1" s="9" t="s">
        <v>17844</v>
      </c>
      <c r="WHL1" s="9" t="s">
        <v>17845</v>
      </c>
      <c r="WHM1" s="9" t="s">
        <v>17846</v>
      </c>
      <c r="WHN1" s="9" t="s">
        <v>17847</v>
      </c>
      <c r="WHO1" s="9" t="s">
        <v>17848</v>
      </c>
      <c r="WHP1" s="9" t="s">
        <v>17849</v>
      </c>
      <c r="WHQ1" s="9" t="s">
        <v>17850</v>
      </c>
      <c r="WHR1" s="9" t="s">
        <v>17851</v>
      </c>
      <c r="WHS1" s="9" t="s">
        <v>17852</v>
      </c>
      <c r="WHT1" s="9" t="s">
        <v>17853</v>
      </c>
      <c r="WHU1" s="9" t="s">
        <v>17854</v>
      </c>
      <c r="WHV1" s="9" t="s">
        <v>17855</v>
      </c>
      <c r="WHW1" s="9" t="s">
        <v>17856</v>
      </c>
      <c r="WHX1" s="9" t="s">
        <v>17857</v>
      </c>
      <c r="WHY1" s="9" t="s">
        <v>17858</v>
      </c>
      <c r="WHZ1" s="9" t="s">
        <v>17859</v>
      </c>
      <c r="WIA1" s="9" t="s">
        <v>17860</v>
      </c>
      <c r="WIB1" s="9" t="s">
        <v>17861</v>
      </c>
      <c r="WIC1" s="9" t="s">
        <v>17862</v>
      </c>
      <c r="WID1" s="9" t="s">
        <v>17863</v>
      </c>
      <c r="WIE1" s="9" t="s">
        <v>17864</v>
      </c>
      <c r="WIF1" s="9" t="s">
        <v>17865</v>
      </c>
      <c r="WIG1" s="9" t="s">
        <v>17866</v>
      </c>
      <c r="WIH1" s="9" t="s">
        <v>17867</v>
      </c>
      <c r="WII1" s="9" t="s">
        <v>17868</v>
      </c>
      <c r="WIJ1" s="9" t="s">
        <v>17869</v>
      </c>
      <c r="WIK1" s="9" t="s">
        <v>17870</v>
      </c>
      <c r="WIL1" s="9" t="s">
        <v>17871</v>
      </c>
      <c r="WIM1" s="9" t="s">
        <v>17872</v>
      </c>
      <c r="WIN1" s="9" t="s">
        <v>17873</v>
      </c>
      <c r="WIO1" s="9" t="s">
        <v>17874</v>
      </c>
      <c r="WIP1" s="9" t="s">
        <v>17875</v>
      </c>
      <c r="WIQ1" s="9" t="s">
        <v>17876</v>
      </c>
      <c r="WIR1" s="9" t="s">
        <v>17877</v>
      </c>
      <c r="WIS1" s="9" t="s">
        <v>17878</v>
      </c>
      <c r="WIT1" s="9" t="s">
        <v>17879</v>
      </c>
      <c r="WIU1" s="9" t="s">
        <v>17880</v>
      </c>
      <c r="WIV1" s="9" t="s">
        <v>17881</v>
      </c>
      <c r="WIW1" s="9" t="s">
        <v>17882</v>
      </c>
      <c r="WIX1" s="9" t="s">
        <v>17883</v>
      </c>
      <c r="WIY1" s="9" t="s">
        <v>17884</v>
      </c>
      <c r="WIZ1" s="9" t="s">
        <v>17885</v>
      </c>
      <c r="WJA1" s="9" t="s">
        <v>17886</v>
      </c>
      <c r="WJB1" s="9" t="s">
        <v>17887</v>
      </c>
      <c r="WJC1" s="9" t="s">
        <v>17888</v>
      </c>
      <c r="WJD1" s="9" t="s">
        <v>17889</v>
      </c>
      <c r="WJE1" s="9" t="s">
        <v>17890</v>
      </c>
      <c r="WJF1" s="9" t="s">
        <v>17891</v>
      </c>
      <c r="WJG1" s="9" t="s">
        <v>17892</v>
      </c>
      <c r="WJH1" s="9" t="s">
        <v>17893</v>
      </c>
      <c r="WJI1" s="9" t="s">
        <v>17894</v>
      </c>
      <c r="WJJ1" s="9" t="s">
        <v>17895</v>
      </c>
      <c r="WJK1" s="9" t="s">
        <v>17896</v>
      </c>
      <c r="WJL1" s="9" t="s">
        <v>17897</v>
      </c>
      <c r="WJM1" s="9" t="s">
        <v>17898</v>
      </c>
      <c r="WJN1" s="9" t="s">
        <v>17899</v>
      </c>
      <c r="WJO1" s="9" t="s">
        <v>17900</v>
      </c>
      <c r="WJP1" s="9" t="s">
        <v>17901</v>
      </c>
      <c r="WJQ1" s="9" t="s">
        <v>17902</v>
      </c>
      <c r="WJR1" s="9" t="s">
        <v>17903</v>
      </c>
      <c r="WJS1" s="9" t="s">
        <v>17904</v>
      </c>
      <c r="WJT1" s="9" t="s">
        <v>17905</v>
      </c>
      <c r="WJU1" s="9" t="s">
        <v>17906</v>
      </c>
      <c r="WJV1" s="9" t="s">
        <v>17907</v>
      </c>
      <c r="WJW1" s="9" t="s">
        <v>17908</v>
      </c>
      <c r="WJX1" s="9" t="s">
        <v>17909</v>
      </c>
      <c r="WJY1" s="9" t="s">
        <v>17910</v>
      </c>
      <c r="WJZ1" s="9" t="s">
        <v>17911</v>
      </c>
      <c r="WKA1" s="9" t="s">
        <v>17912</v>
      </c>
      <c r="WKB1" s="9" t="s">
        <v>17913</v>
      </c>
      <c r="WKC1" s="9" t="s">
        <v>17914</v>
      </c>
      <c r="WKD1" s="9" t="s">
        <v>17915</v>
      </c>
      <c r="WKE1" s="9" t="s">
        <v>17916</v>
      </c>
      <c r="WKF1" s="9" t="s">
        <v>17917</v>
      </c>
      <c r="WKG1" s="9" t="s">
        <v>17918</v>
      </c>
      <c r="WKH1" s="9" t="s">
        <v>17919</v>
      </c>
      <c r="WKI1" s="9" t="s">
        <v>17920</v>
      </c>
      <c r="WKJ1" s="9" t="s">
        <v>17921</v>
      </c>
      <c r="WKK1" s="9" t="s">
        <v>17922</v>
      </c>
      <c r="WKL1" s="9" t="s">
        <v>17923</v>
      </c>
      <c r="WKM1" s="9" t="s">
        <v>17924</v>
      </c>
      <c r="WKN1" s="9" t="s">
        <v>17925</v>
      </c>
      <c r="WKO1" s="9" t="s">
        <v>17926</v>
      </c>
      <c r="WKP1" s="9" t="s">
        <v>17927</v>
      </c>
      <c r="WKQ1" s="9" t="s">
        <v>17928</v>
      </c>
      <c r="WKR1" s="9" t="s">
        <v>17929</v>
      </c>
      <c r="WKS1" s="9" t="s">
        <v>17930</v>
      </c>
      <c r="WKT1" s="9" t="s">
        <v>17931</v>
      </c>
      <c r="WKU1" s="9" t="s">
        <v>17932</v>
      </c>
      <c r="WKV1" s="9" t="s">
        <v>17933</v>
      </c>
      <c r="WKW1" s="9" t="s">
        <v>17934</v>
      </c>
      <c r="WKX1" s="9" t="s">
        <v>17935</v>
      </c>
      <c r="WKY1" s="9" t="s">
        <v>17936</v>
      </c>
      <c r="WKZ1" s="9" t="s">
        <v>17937</v>
      </c>
      <c r="WLA1" s="9" t="s">
        <v>17938</v>
      </c>
      <c r="WLB1" s="9" t="s">
        <v>17939</v>
      </c>
      <c r="WLC1" s="9" t="s">
        <v>17940</v>
      </c>
      <c r="WLD1" s="9" t="s">
        <v>17941</v>
      </c>
      <c r="WLE1" s="9" t="s">
        <v>17942</v>
      </c>
      <c r="WLF1" s="9" t="s">
        <v>17943</v>
      </c>
      <c r="WLG1" s="9" t="s">
        <v>17944</v>
      </c>
      <c r="WLH1" s="9" t="s">
        <v>17945</v>
      </c>
      <c r="WLI1" s="9" t="s">
        <v>17946</v>
      </c>
      <c r="WLJ1" s="9" t="s">
        <v>17947</v>
      </c>
      <c r="WLK1" s="9" t="s">
        <v>17948</v>
      </c>
      <c r="WLL1" s="9" t="s">
        <v>17949</v>
      </c>
      <c r="WLM1" s="9" t="s">
        <v>17950</v>
      </c>
      <c r="WLN1" s="9" t="s">
        <v>17951</v>
      </c>
      <c r="WLO1" s="9" t="s">
        <v>17952</v>
      </c>
      <c r="WLP1" s="9" t="s">
        <v>17953</v>
      </c>
      <c r="WLQ1" s="9" t="s">
        <v>17954</v>
      </c>
      <c r="WLR1" s="9" t="s">
        <v>17955</v>
      </c>
      <c r="WLS1" s="9" t="s">
        <v>17956</v>
      </c>
      <c r="WLT1" s="9" t="s">
        <v>17957</v>
      </c>
      <c r="WLU1" s="9" t="s">
        <v>17958</v>
      </c>
      <c r="WLV1" s="9" t="s">
        <v>17959</v>
      </c>
      <c r="WLW1" s="9" t="s">
        <v>17960</v>
      </c>
      <c r="WLX1" s="9" t="s">
        <v>17961</v>
      </c>
      <c r="WLY1" s="9" t="s">
        <v>17962</v>
      </c>
      <c r="WLZ1" s="9" t="s">
        <v>17963</v>
      </c>
      <c r="WMA1" s="9" t="s">
        <v>17964</v>
      </c>
      <c r="WMB1" s="9" t="s">
        <v>17965</v>
      </c>
      <c r="WMC1" s="9" t="s">
        <v>17966</v>
      </c>
      <c r="WMD1" s="9" t="s">
        <v>17967</v>
      </c>
      <c r="WME1" s="9" t="s">
        <v>17968</v>
      </c>
      <c r="WMF1" s="9" t="s">
        <v>17969</v>
      </c>
      <c r="WMG1" s="9" t="s">
        <v>17970</v>
      </c>
      <c r="WMH1" s="9" t="s">
        <v>17971</v>
      </c>
      <c r="WMI1" s="9" t="s">
        <v>17972</v>
      </c>
      <c r="WMJ1" s="9" t="s">
        <v>17973</v>
      </c>
      <c r="WMK1" s="9" t="s">
        <v>17974</v>
      </c>
      <c r="WML1" s="9" t="s">
        <v>17975</v>
      </c>
      <c r="WMM1" s="9" t="s">
        <v>17976</v>
      </c>
      <c r="WMN1" s="9" t="s">
        <v>17977</v>
      </c>
      <c r="WMO1" s="9" t="s">
        <v>17978</v>
      </c>
      <c r="WMP1" s="9" t="s">
        <v>17979</v>
      </c>
      <c r="WMQ1" s="9" t="s">
        <v>17980</v>
      </c>
      <c r="WMR1" s="9" t="s">
        <v>17981</v>
      </c>
      <c r="WMS1" s="9" t="s">
        <v>17982</v>
      </c>
      <c r="WMT1" s="9" t="s">
        <v>17983</v>
      </c>
      <c r="WMU1" s="9" t="s">
        <v>17984</v>
      </c>
      <c r="WMV1" s="9" t="s">
        <v>17985</v>
      </c>
      <c r="WMW1" s="9" t="s">
        <v>17986</v>
      </c>
      <c r="WMX1" s="9" t="s">
        <v>17987</v>
      </c>
      <c r="WMY1" s="9" t="s">
        <v>17988</v>
      </c>
      <c r="WMZ1" s="9" t="s">
        <v>17989</v>
      </c>
      <c r="WNA1" s="9" t="s">
        <v>17990</v>
      </c>
      <c r="WNB1" s="9" t="s">
        <v>17991</v>
      </c>
      <c r="WNC1" s="9" t="s">
        <v>17992</v>
      </c>
      <c r="WND1" s="9" t="s">
        <v>17993</v>
      </c>
      <c r="WNE1" s="9" t="s">
        <v>17994</v>
      </c>
      <c r="WNF1" s="9" t="s">
        <v>17995</v>
      </c>
      <c r="WNG1" s="9" t="s">
        <v>17996</v>
      </c>
      <c r="WNH1" s="9" t="s">
        <v>17997</v>
      </c>
      <c r="WNI1" s="9" t="s">
        <v>17998</v>
      </c>
      <c r="WNJ1" s="9" t="s">
        <v>17999</v>
      </c>
      <c r="WNK1" s="9" t="s">
        <v>18000</v>
      </c>
      <c r="WNL1" s="9" t="s">
        <v>18001</v>
      </c>
      <c r="WNM1" s="9" t="s">
        <v>18002</v>
      </c>
      <c r="WNN1" s="9" t="s">
        <v>18003</v>
      </c>
      <c r="WNO1" s="9" t="s">
        <v>18004</v>
      </c>
      <c r="WNP1" s="9" t="s">
        <v>18005</v>
      </c>
      <c r="WNQ1" s="9" t="s">
        <v>18006</v>
      </c>
      <c r="WNR1" s="9" t="s">
        <v>18007</v>
      </c>
      <c r="WNS1" s="9" t="s">
        <v>18008</v>
      </c>
      <c r="WNT1" s="9" t="s">
        <v>18009</v>
      </c>
      <c r="WNU1" s="9" t="s">
        <v>18010</v>
      </c>
      <c r="WNV1" s="9" t="s">
        <v>18011</v>
      </c>
      <c r="WNW1" s="9" t="s">
        <v>18012</v>
      </c>
      <c r="WNX1" s="9" t="s">
        <v>18013</v>
      </c>
      <c r="WNY1" s="9" t="s">
        <v>18014</v>
      </c>
      <c r="WNZ1" s="9" t="s">
        <v>18015</v>
      </c>
      <c r="WOA1" s="9" t="s">
        <v>18016</v>
      </c>
      <c r="WOB1" s="9" t="s">
        <v>18017</v>
      </c>
      <c r="WOC1" s="9" t="s">
        <v>18018</v>
      </c>
      <c r="WOD1" s="9" t="s">
        <v>18019</v>
      </c>
      <c r="WOE1" s="9" t="s">
        <v>18020</v>
      </c>
      <c r="WOF1" s="9" t="s">
        <v>18021</v>
      </c>
      <c r="WOG1" s="9" t="s">
        <v>18022</v>
      </c>
      <c r="WOH1" s="9" t="s">
        <v>18023</v>
      </c>
      <c r="WOI1" s="9" t="s">
        <v>18024</v>
      </c>
      <c r="WOJ1" s="9" t="s">
        <v>18025</v>
      </c>
      <c r="WOK1" s="9" t="s">
        <v>18026</v>
      </c>
      <c r="WOL1" s="9" t="s">
        <v>18027</v>
      </c>
      <c r="WOM1" s="9" t="s">
        <v>18028</v>
      </c>
      <c r="WON1" s="9" t="s">
        <v>18029</v>
      </c>
      <c r="WOO1" s="9" t="s">
        <v>18030</v>
      </c>
      <c r="WOP1" s="9" t="s">
        <v>18031</v>
      </c>
      <c r="WOQ1" s="9" t="s">
        <v>18032</v>
      </c>
      <c r="WOR1" s="9" t="s">
        <v>18033</v>
      </c>
      <c r="WOS1" s="9" t="s">
        <v>18034</v>
      </c>
      <c r="WOT1" s="9" t="s">
        <v>18035</v>
      </c>
      <c r="WOU1" s="9" t="s">
        <v>18036</v>
      </c>
      <c r="WOV1" s="9" t="s">
        <v>18037</v>
      </c>
      <c r="WOW1" s="9" t="s">
        <v>18038</v>
      </c>
      <c r="WOX1" s="9" t="s">
        <v>18039</v>
      </c>
      <c r="WOY1" s="9" t="s">
        <v>18040</v>
      </c>
      <c r="WOZ1" s="9" t="s">
        <v>18041</v>
      </c>
      <c r="WPA1" s="9" t="s">
        <v>18042</v>
      </c>
      <c r="WPB1" s="9" t="s">
        <v>18043</v>
      </c>
      <c r="WPC1" s="9" t="s">
        <v>18044</v>
      </c>
      <c r="WPD1" s="9" t="s">
        <v>18045</v>
      </c>
      <c r="WPE1" s="9" t="s">
        <v>18046</v>
      </c>
      <c r="WPF1" s="9" t="s">
        <v>18047</v>
      </c>
      <c r="WPG1" s="9" t="s">
        <v>18048</v>
      </c>
      <c r="WPH1" s="9" t="s">
        <v>18049</v>
      </c>
      <c r="WPI1" s="9" t="s">
        <v>18050</v>
      </c>
      <c r="WPJ1" s="9" t="s">
        <v>18051</v>
      </c>
      <c r="WPK1" s="9" t="s">
        <v>18052</v>
      </c>
      <c r="WPL1" s="9" t="s">
        <v>18053</v>
      </c>
      <c r="WPM1" s="9" t="s">
        <v>18054</v>
      </c>
      <c r="WPN1" s="9" t="s">
        <v>18055</v>
      </c>
      <c r="WPO1" s="9" t="s">
        <v>18056</v>
      </c>
      <c r="WPP1" s="9" t="s">
        <v>18057</v>
      </c>
      <c r="WPQ1" s="9" t="s">
        <v>18058</v>
      </c>
      <c r="WPR1" s="9" t="s">
        <v>18059</v>
      </c>
      <c r="WPS1" s="9" t="s">
        <v>18060</v>
      </c>
      <c r="WPT1" s="9" t="s">
        <v>18061</v>
      </c>
      <c r="WPU1" s="9" t="s">
        <v>18062</v>
      </c>
      <c r="WPV1" s="9" t="s">
        <v>18063</v>
      </c>
      <c r="WPW1" s="9" t="s">
        <v>18064</v>
      </c>
      <c r="WPX1" s="9" t="s">
        <v>18065</v>
      </c>
      <c r="WPY1" s="9" t="s">
        <v>18066</v>
      </c>
      <c r="WPZ1" s="9" t="s">
        <v>18067</v>
      </c>
      <c r="WQA1" s="9" t="s">
        <v>18068</v>
      </c>
      <c r="WQB1" s="9" t="s">
        <v>18069</v>
      </c>
      <c r="WQC1" s="9" t="s">
        <v>18070</v>
      </c>
      <c r="WQD1" s="9" t="s">
        <v>18071</v>
      </c>
      <c r="WQE1" s="9" t="s">
        <v>18072</v>
      </c>
      <c r="WQF1" s="9" t="s">
        <v>18073</v>
      </c>
      <c r="WQG1" s="9" t="s">
        <v>18074</v>
      </c>
      <c r="WQH1" s="9" t="s">
        <v>18075</v>
      </c>
      <c r="WQI1" s="9" t="s">
        <v>18076</v>
      </c>
      <c r="WQJ1" s="9" t="s">
        <v>18077</v>
      </c>
      <c r="WQK1" s="9" t="s">
        <v>18078</v>
      </c>
      <c r="WQL1" s="9" t="s">
        <v>18079</v>
      </c>
      <c r="WQM1" s="9" t="s">
        <v>18080</v>
      </c>
      <c r="WQN1" s="9" t="s">
        <v>18081</v>
      </c>
      <c r="WQO1" s="9" t="s">
        <v>18082</v>
      </c>
      <c r="WQP1" s="9" t="s">
        <v>18083</v>
      </c>
      <c r="WQQ1" s="9" t="s">
        <v>18084</v>
      </c>
      <c r="WQR1" s="9" t="s">
        <v>18085</v>
      </c>
      <c r="WQS1" s="9" t="s">
        <v>18086</v>
      </c>
      <c r="WQT1" s="9" t="s">
        <v>18087</v>
      </c>
      <c r="WQU1" s="9" t="s">
        <v>18088</v>
      </c>
      <c r="WQV1" s="9" t="s">
        <v>18089</v>
      </c>
      <c r="WQW1" s="9" t="s">
        <v>18090</v>
      </c>
      <c r="WQX1" s="9" t="s">
        <v>18091</v>
      </c>
      <c r="WQY1" s="9" t="s">
        <v>18092</v>
      </c>
      <c r="WQZ1" s="9" t="s">
        <v>18093</v>
      </c>
      <c r="WRA1" s="9" t="s">
        <v>18094</v>
      </c>
      <c r="WRB1" s="9" t="s">
        <v>18095</v>
      </c>
      <c r="WRC1" s="9" t="s">
        <v>18096</v>
      </c>
      <c r="WRD1" s="9" t="s">
        <v>18097</v>
      </c>
      <c r="WRE1" s="9" t="s">
        <v>18098</v>
      </c>
      <c r="WRF1" s="9" t="s">
        <v>18099</v>
      </c>
      <c r="WRG1" s="9" t="s">
        <v>18100</v>
      </c>
      <c r="WRH1" s="9" t="s">
        <v>18101</v>
      </c>
      <c r="WRI1" s="9" t="s">
        <v>18102</v>
      </c>
      <c r="WRJ1" s="9" t="s">
        <v>18103</v>
      </c>
      <c r="WRK1" s="9" t="s">
        <v>18104</v>
      </c>
      <c r="WRL1" s="9" t="s">
        <v>18105</v>
      </c>
      <c r="WRM1" s="9" t="s">
        <v>18106</v>
      </c>
      <c r="WRN1" s="9" t="s">
        <v>18107</v>
      </c>
      <c r="WRO1" s="9" t="s">
        <v>18108</v>
      </c>
      <c r="WRP1" s="9" t="s">
        <v>18109</v>
      </c>
      <c r="WRQ1" s="9" t="s">
        <v>18110</v>
      </c>
      <c r="WRR1" s="9" t="s">
        <v>18111</v>
      </c>
      <c r="WRS1" s="9" t="s">
        <v>18112</v>
      </c>
      <c r="WRT1" s="9" t="s">
        <v>18113</v>
      </c>
      <c r="WRU1" s="9" t="s">
        <v>18114</v>
      </c>
      <c r="WRV1" s="9" t="s">
        <v>18115</v>
      </c>
      <c r="WRW1" s="9" t="s">
        <v>18116</v>
      </c>
      <c r="WRX1" s="9" t="s">
        <v>18117</v>
      </c>
      <c r="WRY1" s="9" t="s">
        <v>18118</v>
      </c>
      <c r="WRZ1" s="9" t="s">
        <v>18119</v>
      </c>
      <c r="WSA1" s="9" t="s">
        <v>18120</v>
      </c>
      <c r="WSB1" s="9" t="s">
        <v>18121</v>
      </c>
      <c r="WSC1" s="9" t="s">
        <v>18122</v>
      </c>
      <c r="WSD1" s="9" t="s">
        <v>18123</v>
      </c>
      <c r="WSE1" s="9" t="s">
        <v>18124</v>
      </c>
      <c r="WSF1" s="9" t="s">
        <v>18125</v>
      </c>
      <c r="WSG1" s="9" t="s">
        <v>18126</v>
      </c>
      <c r="WSH1" s="9" t="s">
        <v>18127</v>
      </c>
      <c r="WSI1" s="9" t="s">
        <v>18128</v>
      </c>
      <c r="WSJ1" s="9" t="s">
        <v>18129</v>
      </c>
      <c r="WSK1" s="9" t="s">
        <v>18130</v>
      </c>
      <c r="WSL1" s="9" t="s">
        <v>18131</v>
      </c>
      <c r="WSM1" s="9" t="s">
        <v>18132</v>
      </c>
      <c r="WSN1" s="9" t="s">
        <v>18133</v>
      </c>
      <c r="WSO1" s="9" t="s">
        <v>18134</v>
      </c>
      <c r="WSP1" s="9" t="s">
        <v>18135</v>
      </c>
      <c r="WSQ1" s="9" t="s">
        <v>18136</v>
      </c>
      <c r="WSR1" s="9" t="s">
        <v>18137</v>
      </c>
      <c r="WSS1" s="9" t="s">
        <v>18138</v>
      </c>
      <c r="WST1" s="9" t="s">
        <v>18139</v>
      </c>
      <c r="WSU1" s="9" t="s">
        <v>18140</v>
      </c>
      <c r="WSV1" s="9" t="s">
        <v>18141</v>
      </c>
      <c r="WSW1" s="9" t="s">
        <v>18142</v>
      </c>
      <c r="WSX1" s="9" t="s">
        <v>18143</v>
      </c>
      <c r="WSY1" s="9" t="s">
        <v>18144</v>
      </c>
      <c r="WSZ1" s="9" t="s">
        <v>18145</v>
      </c>
      <c r="WTA1" s="9" t="s">
        <v>18146</v>
      </c>
      <c r="WTB1" s="9" t="s">
        <v>18147</v>
      </c>
      <c r="WTC1" s="9" t="s">
        <v>18148</v>
      </c>
      <c r="WTD1" s="9" t="s">
        <v>18149</v>
      </c>
      <c r="WTE1" s="9" t="s">
        <v>18150</v>
      </c>
      <c r="WTF1" s="9" t="s">
        <v>18151</v>
      </c>
      <c r="WTG1" s="9" t="s">
        <v>18152</v>
      </c>
      <c r="WTH1" s="9" t="s">
        <v>18153</v>
      </c>
      <c r="WTI1" s="9" t="s">
        <v>18154</v>
      </c>
      <c r="WTJ1" s="9" t="s">
        <v>18155</v>
      </c>
      <c r="WTK1" s="9" t="s">
        <v>18156</v>
      </c>
      <c r="WTL1" s="9" t="s">
        <v>18157</v>
      </c>
      <c r="WTM1" s="9" t="s">
        <v>18158</v>
      </c>
      <c r="WTN1" s="9" t="s">
        <v>18159</v>
      </c>
      <c r="WTO1" s="9" t="s">
        <v>18160</v>
      </c>
      <c r="WTP1" s="9" t="s">
        <v>18161</v>
      </c>
      <c r="WTQ1" s="9" t="s">
        <v>18162</v>
      </c>
      <c r="WTR1" s="9" t="s">
        <v>18163</v>
      </c>
      <c r="WTS1" s="9" t="s">
        <v>18164</v>
      </c>
      <c r="WTT1" s="9" t="s">
        <v>18165</v>
      </c>
      <c r="WTU1" s="9" t="s">
        <v>18166</v>
      </c>
      <c r="WTV1" s="9" t="s">
        <v>18167</v>
      </c>
      <c r="WTW1" s="9" t="s">
        <v>18168</v>
      </c>
      <c r="WTX1" s="9" t="s">
        <v>18169</v>
      </c>
      <c r="WTY1" s="9" t="s">
        <v>18170</v>
      </c>
      <c r="WTZ1" s="9" t="s">
        <v>18171</v>
      </c>
      <c r="WUA1" s="9" t="s">
        <v>18172</v>
      </c>
      <c r="WUB1" s="9" t="s">
        <v>18173</v>
      </c>
      <c r="WUC1" s="9" t="s">
        <v>18174</v>
      </c>
      <c r="WUD1" s="9" t="s">
        <v>18175</v>
      </c>
      <c r="WUE1" s="9" t="s">
        <v>18176</v>
      </c>
      <c r="WUF1" s="9" t="s">
        <v>18177</v>
      </c>
      <c r="WUG1" s="9" t="s">
        <v>18178</v>
      </c>
      <c r="WUH1" s="9" t="s">
        <v>18179</v>
      </c>
      <c r="WUI1" s="9" t="s">
        <v>18180</v>
      </c>
      <c r="WUJ1" s="9" t="s">
        <v>18181</v>
      </c>
      <c r="WUK1" s="9" t="s">
        <v>18182</v>
      </c>
      <c r="WUL1" s="9" t="s">
        <v>18183</v>
      </c>
      <c r="WUM1" s="9" t="s">
        <v>18184</v>
      </c>
      <c r="WUN1" s="9" t="s">
        <v>18185</v>
      </c>
      <c r="WUO1" s="9" t="s">
        <v>18186</v>
      </c>
      <c r="WUP1" s="9" t="s">
        <v>18187</v>
      </c>
      <c r="WUQ1" s="9" t="s">
        <v>18188</v>
      </c>
      <c r="WUR1" s="9" t="s">
        <v>18189</v>
      </c>
      <c r="WUS1" s="9" t="s">
        <v>18190</v>
      </c>
      <c r="WUT1" s="9" t="s">
        <v>18191</v>
      </c>
      <c r="WUU1" s="9" t="s">
        <v>18192</v>
      </c>
      <c r="WUV1" s="9" t="s">
        <v>18193</v>
      </c>
      <c r="WUW1" s="9" t="s">
        <v>18194</v>
      </c>
      <c r="WUX1" s="9" t="s">
        <v>18195</v>
      </c>
      <c r="WUY1" s="9" t="s">
        <v>18196</v>
      </c>
      <c r="WUZ1" s="9" t="s">
        <v>18197</v>
      </c>
      <c r="WVA1" s="9" t="s">
        <v>18198</v>
      </c>
      <c r="WVB1" s="9" t="s">
        <v>18199</v>
      </c>
      <c r="WVC1" s="9" t="s">
        <v>18200</v>
      </c>
      <c r="WVD1" s="9" t="s">
        <v>18201</v>
      </c>
      <c r="WVE1" s="9" t="s">
        <v>18202</v>
      </c>
      <c r="WVF1" s="9" t="s">
        <v>18203</v>
      </c>
      <c r="WVG1" s="9" t="s">
        <v>18204</v>
      </c>
      <c r="WVH1" s="9" t="s">
        <v>18205</v>
      </c>
      <c r="WVI1" s="9" t="s">
        <v>18206</v>
      </c>
      <c r="WVJ1" s="9" t="s">
        <v>18207</v>
      </c>
      <c r="WVK1" s="9" t="s">
        <v>18208</v>
      </c>
      <c r="WVL1" s="9" t="s">
        <v>18209</v>
      </c>
      <c r="WVM1" s="9" t="s">
        <v>18210</v>
      </c>
      <c r="WVN1" s="9" t="s">
        <v>18211</v>
      </c>
      <c r="WVO1" s="9" t="s">
        <v>18212</v>
      </c>
      <c r="WVP1" s="9" t="s">
        <v>18213</v>
      </c>
      <c r="WVQ1" s="9" t="s">
        <v>18214</v>
      </c>
      <c r="WVR1" s="9" t="s">
        <v>18215</v>
      </c>
      <c r="WVS1" s="9" t="s">
        <v>18216</v>
      </c>
      <c r="WVT1" s="9" t="s">
        <v>18217</v>
      </c>
      <c r="WVU1" s="9" t="s">
        <v>18218</v>
      </c>
      <c r="WVV1" s="9" t="s">
        <v>18219</v>
      </c>
      <c r="WVW1" s="9" t="s">
        <v>18220</v>
      </c>
      <c r="WVX1" s="9" t="s">
        <v>18221</v>
      </c>
      <c r="WVY1" s="9" t="s">
        <v>18222</v>
      </c>
      <c r="WVZ1" s="9" t="s">
        <v>18223</v>
      </c>
      <c r="WWA1" s="9" t="s">
        <v>18224</v>
      </c>
      <c r="WWB1" s="9" t="s">
        <v>18225</v>
      </c>
      <c r="WWC1" s="9" t="s">
        <v>18226</v>
      </c>
      <c r="WWD1" s="9" t="s">
        <v>18227</v>
      </c>
      <c r="WWE1" s="9" t="s">
        <v>18228</v>
      </c>
      <c r="WWF1" s="9" t="s">
        <v>18229</v>
      </c>
      <c r="WWG1" s="9" t="s">
        <v>18230</v>
      </c>
      <c r="WWH1" s="9" t="s">
        <v>18231</v>
      </c>
      <c r="WWI1" s="9" t="s">
        <v>18232</v>
      </c>
      <c r="WWJ1" s="9" t="s">
        <v>18233</v>
      </c>
      <c r="WWK1" s="9" t="s">
        <v>18234</v>
      </c>
      <c r="WWL1" s="9" t="s">
        <v>18235</v>
      </c>
      <c r="WWM1" s="9" t="s">
        <v>18236</v>
      </c>
      <c r="WWN1" s="9" t="s">
        <v>18237</v>
      </c>
      <c r="WWO1" s="9" t="s">
        <v>18238</v>
      </c>
      <c r="WWP1" s="9" t="s">
        <v>18239</v>
      </c>
      <c r="WWQ1" s="9" t="s">
        <v>18240</v>
      </c>
      <c r="WWR1" s="9" t="s">
        <v>18241</v>
      </c>
      <c r="WWS1" s="9" t="s">
        <v>18242</v>
      </c>
      <c r="WWT1" s="9" t="s">
        <v>18243</v>
      </c>
      <c r="WWU1" s="9" t="s">
        <v>18244</v>
      </c>
      <c r="WWV1" s="9" t="s">
        <v>18245</v>
      </c>
      <c r="WWW1" s="9" t="s">
        <v>18246</v>
      </c>
      <c r="WWX1" s="9" t="s">
        <v>18247</v>
      </c>
      <c r="WWY1" s="9" t="s">
        <v>18248</v>
      </c>
      <c r="WWZ1" s="9" t="s">
        <v>18249</v>
      </c>
      <c r="WXA1" s="9" t="s">
        <v>18250</v>
      </c>
      <c r="WXB1" s="9" t="s">
        <v>18251</v>
      </c>
      <c r="WXC1" s="9" t="s">
        <v>18252</v>
      </c>
      <c r="WXD1" s="9" t="s">
        <v>18253</v>
      </c>
      <c r="WXE1" s="9" t="s">
        <v>18254</v>
      </c>
      <c r="WXF1" s="9" t="s">
        <v>18255</v>
      </c>
      <c r="WXG1" s="9" t="s">
        <v>18256</v>
      </c>
      <c r="WXH1" s="9" t="s">
        <v>18257</v>
      </c>
      <c r="WXI1" s="9" t="s">
        <v>18258</v>
      </c>
      <c r="WXJ1" s="9" t="s">
        <v>18259</v>
      </c>
      <c r="WXK1" s="9" t="s">
        <v>18260</v>
      </c>
      <c r="WXL1" s="9" t="s">
        <v>18261</v>
      </c>
      <c r="WXM1" s="9" t="s">
        <v>18262</v>
      </c>
      <c r="WXN1" s="9" t="s">
        <v>18263</v>
      </c>
      <c r="WXO1" s="9" t="s">
        <v>18264</v>
      </c>
      <c r="WXP1" s="9" t="s">
        <v>18265</v>
      </c>
      <c r="WXQ1" s="9" t="s">
        <v>18266</v>
      </c>
      <c r="WXR1" s="9" t="s">
        <v>18267</v>
      </c>
      <c r="WXS1" s="9" t="s">
        <v>18268</v>
      </c>
      <c r="WXT1" s="9" t="s">
        <v>18269</v>
      </c>
      <c r="WXU1" s="9" t="s">
        <v>18270</v>
      </c>
      <c r="WXV1" s="9" t="s">
        <v>18271</v>
      </c>
      <c r="WXW1" s="9" t="s">
        <v>18272</v>
      </c>
      <c r="WXX1" s="9" t="s">
        <v>18273</v>
      </c>
      <c r="WXY1" s="9" t="s">
        <v>18274</v>
      </c>
      <c r="WXZ1" s="9" t="s">
        <v>18275</v>
      </c>
      <c r="WYA1" s="9" t="s">
        <v>18276</v>
      </c>
      <c r="WYB1" s="9" t="s">
        <v>18277</v>
      </c>
      <c r="WYC1" s="9" t="s">
        <v>18278</v>
      </c>
      <c r="WYD1" s="9" t="s">
        <v>18279</v>
      </c>
      <c r="WYE1" s="9" t="s">
        <v>18280</v>
      </c>
      <c r="WYF1" s="9" t="s">
        <v>18281</v>
      </c>
      <c r="WYG1" s="9" t="s">
        <v>18282</v>
      </c>
      <c r="WYH1" s="9" t="s">
        <v>18283</v>
      </c>
      <c r="WYI1" s="9" t="s">
        <v>18284</v>
      </c>
      <c r="WYJ1" s="9" t="s">
        <v>18285</v>
      </c>
      <c r="WYK1" s="9" t="s">
        <v>18286</v>
      </c>
      <c r="WYL1" s="9" t="s">
        <v>18287</v>
      </c>
      <c r="WYM1" s="9" t="s">
        <v>18288</v>
      </c>
      <c r="WYN1" s="9" t="s">
        <v>18289</v>
      </c>
      <c r="WYO1" s="9" t="s">
        <v>18290</v>
      </c>
      <c r="WYP1" s="9" t="s">
        <v>18291</v>
      </c>
      <c r="WYQ1" s="9" t="s">
        <v>18292</v>
      </c>
      <c r="WYR1" s="9" t="s">
        <v>18293</v>
      </c>
      <c r="WYS1" s="9" t="s">
        <v>18294</v>
      </c>
      <c r="WYT1" s="9" t="s">
        <v>18295</v>
      </c>
      <c r="WYU1" s="9" t="s">
        <v>18296</v>
      </c>
      <c r="WYV1" s="9" t="s">
        <v>18297</v>
      </c>
      <c r="WYW1" s="9" t="s">
        <v>18298</v>
      </c>
      <c r="WYX1" s="9" t="s">
        <v>18299</v>
      </c>
      <c r="WYY1" s="9" t="s">
        <v>18300</v>
      </c>
      <c r="WYZ1" s="9" t="s">
        <v>18301</v>
      </c>
      <c r="WZA1" s="9" t="s">
        <v>18302</v>
      </c>
      <c r="WZB1" s="9" t="s">
        <v>18303</v>
      </c>
      <c r="WZC1" s="9" t="s">
        <v>18304</v>
      </c>
      <c r="WZD1" s="9" t="s">
        <v>18305</v>
      </c>
      <c r="WZE1" s="9" t="s">
        <v>18306</v>
      </c>
      <c r="WZF1" s="9" t="s">
        <v>18307</v>
      </c>
      <c r="WZG1" s="9" t="s">
        <v>18308</v>
      </c>
      <c r="WZH1" s="9" t="s">
        <v>18309</v>
      </c>
      <c r="WZI1" s="9" t="s">
        <v>18310</v>
      </c>
      <c r="WZJ1" s="9" t="s">
        <v>18311</v>
      </c>
      <c r="WZK1" s="9" t="s">
        <v>18312</v>
      </c>
      <c r="WZL1" s="9" t="s">
        <v>18313</v>
      </c>
      <c r="WZM1" s="9" t="s">
        <v>18314</v>
      </c>
      <c r="WZN1" s="9" t="s">
        <v>18315</v>
      </c>
      <c r="WZO1" s="9" t="s">
        <v>18316</v>
      </c>
      <c r="WZP1" s="9" t="s">
        <v>18317</v>
      </c>
      <c r="WZQ1" s="9" t="s">
        <v>18318</v>
      </c>
      <c r="WZR1" s="9" t="s">
        <v>18319</v>
      </c>
      <c r="WZS1" s="9" t="s">
        <v>18320</v>
      </c>
      <c r="WZT1" s="9" t="s">
        <v>18321</v>
      </c>
      <c r="WZU1" s="9" t="s">
        <v>18322</v>
      </c>
      <c r="WZV1" s="9" t="s">
        <v>18323</v>
      </c>
      <c r="WZW1" s="9" t="s">
        <v>18324</v>
      </c>
      <c r="WZX1" s="9" t="s">
        <v>18325</v>
      </c>
      <c r="WZY1" s="9" t="s">
        <v>18326</v>
      </c>
      <c r="WZZ1" s="9" t="s">
        <v>18327</v>
      </c>
      <c r="XAA1" s="9" t="s">
        <v>18328</v>
      </c>
      <c r="XAB1" s="9" t="s">
        <v>18329</v>
      </c>
      <c r="XAC1" s="9" t="s">
        <v>18330</v>
      </c>
      <c r="XAD1" s="9" t="s">
        <v>18331</v>
      </c>
      <c r="XAE1" s="9" t="s">
        <v>18332</v>
      </c>
      <c r="XAF1" s="9" t="s">
        <v>18333</v>
      </c>
      <c r="XAG1" s="9" t="s">
        <v>18334</v>
      </c>
      <c r="XAH1" s="9" t="s">
        <v>18335</v>
      </c>
      <c r="XAI1" s="9" t="s">
        <v>18336</v>
      </c>
      <c r="XAJ1" s="9" t="s">
        <v>18337</v>
      </c>
      <c r="XAK1" s="9" t="s">
        <v>18338</v>
      </c>
      <c r="XAL1" s="9" t="s">
        <v>18339</v>
      </c>
      <c r="XAM1" s="9" t="s">
        <v>18340</v>
      </c>
      <c r="XAN1" s="9" t="s">
        <v>18341</v>
      </c>
      <c r="XAO1" s="9" t="s">
        <v>18342</v>
      </c>
      <c r="XAP1" s="9" t="s">
        <v>18343</v>
      </c>
      <c r="XAQ1" s="9" t="s">
        <v>18344</v>
      </c>
      <c r="XAR1" s="9" t="s">
        <v>18345</v>
      </c>
      <c r="XAS1" s="9" t="s">
        <v>18346</v>
      </c>
      <c r="XAT1" s="9" t="s">
        <v>18347</v>
      </c>
      <c r="XAU1" s="9" t="s">
        <v>18348</v>
      </c>
      <c r="XAV1" s="9" t="s">
        <v>18349</v>
      </c>
      <c r="XAW1" s="9" t="s">
        <v>18350</v>
      </c>
      <c r="XAX1" s="9" t="s">
        <v>18351</v>
      </c>
      <c r="XAY1" s="9" t="s">
        <v>18352</v>
      </c>
      <c r="XAZ1" s="9" t="s">
        <v>18353</v>
      </c>
      <c r="XBA1" s="9" t="s">
        <v>18354</v>
      </c>
      <c r="XBB1" s="9" t="s">
        <v>18355</v>
      </c>
      <c r="XBC1" s="9" t="s">
        <v>18356</v>
      </c>
      <c r="XBD1" s="9" t="s">
        <v>18357</v>
      </c>
      <c r="XBE1" s="9" t="s">
        <v>18358</v>
      </c>
      <c r="XBF1" s="9" t="s">
        <v>18359</v>
      </c>
      <c r="XBG1" s="9" t="s">
        <v>18360</v>
      </c>
      <c r="XBH1" s="9" t="s">
        <v>18361</v>
      </c>
      <c r="XBI1" s="9" t="s">
        <v>18362</v>
      </c>
      <c r="XBJ1" s="9" t="s">
        <v>18363</v>
      </c>
      <c r="XBK1" s="9" t="s">
        <v>18364</v>
      </c>
      <c r="XBL1" s="9" t="s">
        <v>18365</v>
      </c>
      <c r="XBM1" s="9" t="s">
        <v>18366</v>
      </c>
      <c r="XBN1" s="9" t="s">
        <v>18367</v>
      </c>
      <c r="XBO1" s="9" t="s">
        <v>18368</v>
      </c>
      <c r="XBP1" s="9" t="s">
        <v>18369</v>
      </c>
      <c r="XBQ1" s="9" t="s">
        <v>18370</v>
      </c>
      <c r="XBR1" s="9" t="s">
        <v>18371</v>
      </c>
      <c r="XBS1" s="9" t="s">
        <v>18372</v>
      </c>
      <c r="XBT1" s="9" t="s">
        <v>18373</v>
      </c>
      <c r="XBU1" s="9" t="s">
        <v>18374</v>
      </c>
      <c r="XBV1" s="9" t="s">
        <v>18375</v>
      </c>
      <c r="XBW1" s="9" t="s">
        <v>18376</v>
      </c>
      <c r="XBX1" s="9" t="s">
        <v>18377</v>
      </c>
      <c r="XBY1" s="9" t="s">
        <v>18378</v>
      </c>
      <c r="XBZ1" s="9" t="s">
        <v>18379</v>
      </c>
      <c r="XCA1" s="9" t="s">
        <v>18380</v>
      </c>
      <c r="XCB1" s="9" t="s">
        <v>18381</v>
      </c>
      <c r="XCC1" s="9" t="s">
        <v>18382</v>
      </c>
      <c r="XCD1" s="9" t="s">
        <v>18383</v>
      </c>
      <c r="XCE1" s="9" t="s">
        <v>18384</v>
      </c>
      <c r="XCF1" s="9" t="s">
        <v>18385</v>
      </c>
      <c r="XCG1" s="9" t="s">
        <v>18386</v>
      </c>
      <c r="XCH1" s="9" t="s">
        <v>18387</v>
      </c>
      <c r="XCI1" s="9" t="s">
        <v>18388</v>
      </c>
      <c r="XCJ1" s="9" t="s">
        <v>18389</v>
      </c>
      <c r="XCK1" s="9" t="s">
        <v>18390</v>
      </c>
      <c r="XCL1" s="9" t="s">
        <v>18391</v>
      </c>
      <c r="XCM1" s="9" t="s">
        <v>18392</v>
      </c>
      <c r="XCN1" s="9" t="s">
        <v>18393</v>
      </c>
      <c r="XCO1" s="9" t="s">
        <v>18394</v>
      </c>
      <c r="XCP1" s="9" t="s">
        <v>18395</v>
      </c>
      <c r="XCQ1" s="9" t="s">
        <v>18396</v>
      </c>
      <c r="XCR1" s="9" t="s">
        <v>18397</v>
      </c>
      <c r="XCS1" s="9" t="s">
        <v>18398</v>
      </c>
      <c r="XCT1" s="9" t="s">
        <v>18399</v>
      </c>
      <c r="XCU1" s="9" t="s">
        <v>18400</v>
      </c>
      <c r="XCV1" s="9" t="s">
        <v>18401</v>
      </c>
      <c r="XCW1" s="9" t="s">
        <v>18402</v>
      </c>
      <c r="XCX1" s="9" t="s">
        <v>18403</v>
      </c>
      <c r="XCY1" s="9" t="s">
        <v>18404</v>
      </c>
      <c r="XCZ1" s="9" t="s">
        <v>18405</v>
      </c>
      <c r="XDA1" s="9" t="s">
        <v>18406</v>
      </c>
      <c r="XDB1" s="9" t="s">
        <v>18407</v>
      </c>
      <c r="XDC1" s="9" t="s">
        <v>18408</v>
      </c>
      <c r="XDD1" s="9" t="s">
        <v>18409</v>
      </c>
      <c r="XDE1" s="9" t="s">
        <v>18410</v>
      </c>
      <c r="XDF1" s="9" t="s">
        <v>18411</v>
      </c>
      <c r="XDG1" s="9" t="s">
        <v>18412</v>
      </c>
      <c r="XDH1" s="9" t="s">
        <v>18413</v>
      </c>
      <c r="XDI1" s="9" t="s">
        <v>18414</v>
      </c>
      <c r="XDJ1" s="9" t="s">
        <v>18415</v>
      </c>
      <c r="XDK1" s="9" t="s">
        <v>18416</v>
      </c>
      <c r="XDL1" s="9" t="s">
        <v>18417</v>
      </c>
      <c r="XDM1" s="9" t="s">
        <v>18418</v>
      </c>
      <c r="XDN1" s="9" t="s">
        <v>18419</v>
      </c>
      <c r="XDO1" s="9" t="s">
        <v>18420</v>
      </c>
      <c r="XDP1" s="9" t="s">
        <v>18421</v>
      </c>
      <c r="XDQ1" s="9" t="s">
        <v>18422</v>
      </c>
      <c r="XDR1" s="9" t="s">
        <v>18423</v>
      </c>
      <c r="XDS1" s="9" t="s">
        <v>18424</v>
      </c>
      <c r="XDT1" s="9" t="s">
        <v>18425</v>
      </c>
      <c r="XDU1" s="9" t="s">
        <v>18426</v>
      </c>
      <c r="XDV1" s="9" t="s">
        <v>18427</v>
      </c>
      <c r="XDW1" s="9" t="s">
        <v>18428</v>
      </c>
      <c r="XDX1" s="9" t="s">
        <v>18429</v>
      </c>
      <c r="XDY1" s="9" t="s">
        <v>18430</v>
      </c>
      <c r="XDZ1" s="9" t="s">
        <v>18431</v>
      </c>
      <c r="XEA1" s="9" t="s">
        <v>18432</v>
      </c>
      <c r="XEB1" s="9" t="s">
        <v>18433</v>
      </c>
      <c r="XEC1" s="9" t="s">
        <v>18434</v>
      </c>
      <c r="XED1" s="9" t="s">
        <v>18435</v>
      </c>
      <c r="XEE1" s="9" t="s">
        <v>18436</v>
      </c>
      <c r="XEF1" s="9" t="s">
        <v>18437</v>
      </c>
      <c r="XEG1" s="9" t="s">
        <v>18438</v>
      </c>
      <c r="XEH1" s="9" t="s">
        <v>18439</v>
      </c>
      <c r="XEI1" s="9" t="s">
        <v>18440</v>
      </c>
      <c r="XEJ1" s="9" t="s">
        <v>18441</v>
      </c>
      <c r="XEK1" s="9" t="s">
        <v>18442</v>
      </c>
      <c r="XEL1" s="9" t="s">
        <v>18443</v>
      </c>
      <c r="XEM1" s="9" t="s">
        <v>18444</v>
      </c>
      <c r="XEN1" s="9" t="s">
        <v>18445</v>
      </c>
      <c r="XEO1" s="9" t="s">
        <v>18446</v>
      </c>
      <c r="XEP1" s="9" t="s">
        <v>18447</v>
      </c>
      <c r="XEQ1" s="9" t="s">
        <v>18448</v>
      </c>
      <c r="XER1" s="9" t="s">
        <v>18449</v>
      </c>
      <c r="XES1" s="9" t="s">
        <v>18450</v>
      </c>
      <c r="XET1" s="9" t="s">
        <v>18451</v>
      </c>
      <c r="XEU1" s="9" t="s">
        <v>18452</v>
      </c>
      <c r="XEV1" s="9" t="s">
        <v>18453</v>
      </c>
      <c r="XEW1" s="9" t="s">
        <v>18454</v>
      </c>
      <c r="XEX1" s="9" t="s">
        <v>18455</v>
      </c>
      <c r="XEY1" s="9" t="s">
        <v>18456</v>
      </c>
      <c r="XEZ1" s="9" t="s">
        <v>18457</v>
      </c>
      <c r="XFA1" s="9" t="s">
        <v>18458</v>
      </c>
      <c r="XFB1" s="9" t="s">
        <v>18459</v>
      </c>
      <c r="XFC1" s="9" t="s">
        <v>18460</v>
      </c>
      <c r="XFD1" s="9" t="s">
        <v>18461</v>
      </c>
    </row>
    <row r="2" spans="1:16384" x14ac:dyDescent="0.2">
      <c r="A2" t="s">
        <v>2</v>
      </c>
      <c r="B2" t="s">
        <v>3</v>
      </c>
      <c r="C2" t="str">
        <f>_xlfn.TEXTAFTER(B2,".",)</f>
        <v xml:space="preserve"> Nicole Kidd</v>
      </c>
      <c r="D2" t="s">
        <v>4</v>
      </c>
      <c r="E2" t="str">
        <f>IF(LOWER(LEFT(D2,1)) = "f", "Female","Male")</f>
        <v>Female</v>
      </c>
      <c r="F2">
        <v>52</v>
      </c>
      <c r="G2" t="s">
        <v>5</v>
      </c>
      <c r="H2" t="s">
        <v>6</v>
      </c>
      <c r="I2" t="s">
        <v>7</v>
      </c>
      <c r="J2">
        <v>11</v>
      </c>
      <c r="K2" t="str" cm="1">
        <f t="array" ref="K2">_xlfn.IFS( J2&lt;=5,"0-5", J2&lt;=10,"6-10",J2&lt;=15,"11-15",J2&lt;=20,"16-20",J2&gt;20,"20+")</f>
        <v>11-15</v>
      </c>
      <c r="L2">
        <v>100</v>
      </c>
      <c r="M2" s="2">
        <f>L2</f>
        <v>100</v>
      </c>
      <c r="O2">
        <v>0</v>
      </c>
      <c r="P2" t="s">
        <v>2074</v>
      </c>
    </row>
    <row r="3" spans="1:16384" x14ac:dyDescent="0.2">
      <c r="A3" t="s">
        <v>8</v>
      </c>
      <c r="B3" t="s">
        <v>9</v>
      </c>
      <c r="C3" t="str">
        <f>B3</f>
        <v>Vanessa Garcia</v>
      </c>
      <c r="D3" t="s">
        <v>10</v>
      </c>
      <c r="E3" t="str">
        <f>IF(LOWER(LEFT(D3,1)) ="f", "Female", "Male")</f>
        <v>Female</v>
      </c>
      <c r="F3">
        <v>52</v>
      </c>
      <c r="G3" t="s">
        <v>11</v>
      </c>
      <c r="H3" t="s">
        <v>12</v>
      </c>
      <c r="I3" t="s">
        <v>13</v>
      </c>
      <c r="J3">
        <v>34</v>
      </c>
      <c r="K3" t="str" cm="1">
        <f t="array" ref="K3">_xlfn.IFS( J3&lt;=5,"0-5", J3&lt;=10,"6-10",J3&lt;=15,"11-15",J3&lt;=20,"16-20",J3&gt;20,"20+")</f>
        <v>20+</v>
      </c>
      <c r="L3" t="s">
        <v>14</v>
      </c>
      <c r="M3" t="str">
        <f>_xlfn.TEXTAFTER(L3, " ")</f>
        <v>100</v>
      </c>
      <c r="N3">
        <v>3.3</v>
      </c>
      <c r="O3">
        <v>1</v>
      </c>
      <c r="Q3" s="1">
        <v>0.84</v>
      </c>
      <c r="R3" s="1">
        <f>Q3</f>
        <v>0.84</v>
      </c>
    </row>
    <row r="4" spans="1:16384" x14ac:dyDescent="0.2">
      <c r="A4" t="s">
        <v>15</v>
      </c>
      <c r="B4" t="s">
        <v>16</v>
      </c>
      <c r="C4" t="str">
        <f t="shared" ref="C4:C47" si="0">B4</f>
        <v>Juan Nelson</v>
      </c>
      <c r="D4" t="s">
        <v>17</v>
      </c>
      <c r="E4" t="str">
        <f t="shared" ref="E4:E47" si="1">IF(LOWER(LEFT(D4,1)) ="f", "Female", "Male")</f>
        <v>Male</v>
      </c>
      <c r="F4">
        <v>53</v>
      </c>
      <c r="G4" t="s">
        <v>18</v>
      </c>
      <c r="H4" t="s">
        <v>19</v>
      </c>
      <c r="I4" t="s">
        <v>20</v>
      </c>
      <c r="J4">
        <v>31</v>
      </c>
      <c r="K4" t="str" cm="1">
        <f t="array" ref="K4">_xlfn.IFS( J4&lt;=5,"0-5", J4&lt;=10,"6-10",J4&lt;=15,"11-15",J4&lt;=20,"16-20",J4&gt;20,"20+")</f>
        <v>20+</v>
      </c>
      <c r="L4">
        <v>50</v>
      </c>
      <c r="M4" s="2">
        <f>L4</f>
        <v>50</v>
      </c>
      <c r="N4">
        <v>0</v>
      </c>
      <c r="O4" t="s">
        <v>21</v>
      </c>
      <c r="P4" t="s">
        <v>2074</v>
      </c>
      <c r="Q4" s="1">
        <v>0.71</v>
      </c>
      <c r="R4" s="1">
        <f t="shared" ref="R4:R6" si="2">Q4</f>
        <v>0.71</v>
      </c>
    </row>
    <row r="5" spans="1:16384" x14ac:dyDescent="0.2">
      <c r="A5" t="s">
        <v>22</v>
      </c>
      <c r="B5" t="s">
        <v>23</v>
      </c>
      <c r="C5" t="str">
        <f t="shared" si="0"/>
        <v>Amanda Spencer</v>
      </c>
      <c r="D5" t="s">
        <v>24</v>
      </c>
      <c r="E5" t="str">
        <f t="shared" si="1"/>
        <v>Female</v>
      </c>
      <c r="F5">
        <v>38</v>
      </c>
      <c r="G5" t="s">
        <v>11</v>
      </c>
      <c r="H5" t="s">
        <v>12</v>
      </c>
      <c r="I5" t="s">
        <v>25</v>
      </c>
      <c r="J5">
        <v>4</v>
      </c>
      <c r="K5" t="str" cm="1">
        <f t="array" ref="K5">_xlfn.IFS( J5&lt;=5,"0-5", J5&lt;=10,"6-10",J5&lt;=15,"11-15",J5&lt;=20,"16-20",J5&gt;20,"20+")</f>
        <v>0-5</v>
      </c>
      <c r="L5" t="s">
        <v>26</v>
      </c>
      <c r="M5" t="str">
        <f>SUBSTITUTE(L5,"$"," ")</f>
        <v xml:space="preserve"> 40</v>
      </c>
      <c r="N5">
        <v>1.5</v>
      </c>
      <c r="O5" t="s">
        <v>21</v>
      </c>
      <c r="Q5" s="1">
        <v>0.9</v>
      </c>
      <c r="R5" s="1">
        <f t="shared" si="2"/>
        <v>0.9</v>
      </c>
    </row>
    <row r="6" spans="1:16384" x14ac:dyDescent="0.2">
      <c r="A6" t="s">
        <v>27</v>
      </c>
      <c r="B6" t="s">
        <v>28</v>
      </c>
      <c r="C6" t="str">
        <f t="shared" si="0"/>
        <v>Lynn Curtis DDS</v>
      </c>
      <c r="D6" t="s">
        <v>29</v>
      </c>
      <c r="E6" t="str">
        <f t="shared" si="1"/>
        <v>Female</v>
      </c>
      <c r="F6">
        <v>53</v>
      </c>
      <c r="G6" t="s">
        <v>18</v>
      </c>
      <c r="H6" t="s">
        <v>19</v>
      </c>
      <c r="I6" t="s">
        <v>25</v>
      </c>
      <c r="J6">
        <v>27</v>
      </c>
      <c r="K6" t="str" cm="1">
        <f t="array" ref="K6">_xlfn.IFS( J6&lt;=5,"0-5", J6&lt;=10,"6-10",J6&lt;=15,"11-15",J6&lt;=20,"16-20",J6&gt;20,"20+")</f>
        <v>20+</v>
      </c>
      <c r="L6">
        <v>30</v>
      </c>
      <c r="M6" s="2">
        <f>L6</f>
        <v>30</v>
      </c>
      <c r="N6">
        <v>4.8</v>
      </c>
      <c r="O6">
        <v>0</v>
      </c>
      <c r="P6" t="s">
        <v>2074</v>
      </c>
      <c r="Q6" s="1">
        <v>0.83</v>
      </c>
      <c r="R6" s="1">
        <f t="shared" si="2"/>
        <v>0.83</v>
      </c>
    </row>
    <row r="7" spans="1:16384" x14ac:dyDescent="0.2">
      <c r="A7" t="s">
        <v>30</v>
      </c>
      <c r="B7" t="s">
        <v>31</v>
      </c>
      <c r="C7" t="str">
        <f t="shared" si="0"/>
        <v>Lisa Johnson</v>
      </c>
      <c r="D7" t="s">
        <v>29</v>
      </c>
      <c r="E7" t="str">
        <f t="shared" si="1"/>
        <v>Female</v>
      </c>
      <c r="F7">
        <v>59</v>
      </c>
      <c r="G7" t="s">
        <v>32</v>
      </c>
      <c r="H7" t="s">
        <v>33</v>
      </c>
      <c r="I7" t="s">
        <v>34</v>
      </c>
      <c r="J7">
        <v>14</v>
      </c>
      <c r="K7" t="str" cm="1">
        <f t="array" ref="K7">_xlfn.IFS( J7&lt;=5,"0-5", J7&lt;=10,"6-10",J7&lt;=15,"11-15",J7&lt;=20,"16-20",J7&gt;20,"20+")</f>
        <v>11-15</v>
      </c>
      <c r="L7" t="s">
        <v>35</v>
      </c>
      <c r="M7" t="str">
        <f>SUBSTITUTE(L7,"$"," ")</f>
        <v xml:space="preserve"> 30</v>
      </c>
      <c r="N7">
        <v>2.4</v>
      </c>
      <c r="O7" t="b">
        <v>0</v>
      </c>
    </row>
    <row r="8" spans="1:16384" x14ac:dyDescent="0.2">
      <c r="A8" t="s">
        <v>36</v>
      </c>
      <c r="B8" t="s">
        <v>37</v>
      </c>
      <c r="C8" t="str">
        <f t="shared" si="0"/>
        <v>Eric Myers</v>
      </c>
      <c r="D8" t="s">
        <v>38</v>
      </c>
      <c r="E8" t="str">
        <f t="shared" si="1"/>
        <v>Male</v>
      </c>
      <c r="F8">
        <v>52</v>
      </c>
      <c r="G8" t="s">
        <v>39</v>
      </c>
      <c r="H8" t="s">
        <v>40</v>
      </c>
      <c r="I8" t="s">
        <v>41</v>
      </c>
      <c r="J8">
        <v>10</v>
      </c>
      <c r="K8" t="str" cm="1">
        <f t="array" ref="K8">_xlfn.IFS( J8&lt;=5,"0-5", J8&lt;=10,"6-10",J8&lt;=15,"11-15",J8&lt;=20,"16-20",J8&gt;20,"20+")</f>
        <v>6-10</v>
      </c>
      <c r="L8" t="s">
        <v>42</v>
      </c>
      <c r="M8" t="str">
        <f t="shared" ref="M8:M9" si="3">_xlfn.TEXTAFTER(L8, " ")</f>
        <v>75</v>
      </c>
      <c r="N8">
        <v>3.1</v>
      </c>
      <c r="O8">
        <v>0</v>
      </c>
      <c r="Q8" s="1">
        <v>0.94</v>
      </c>
      <c r="R8" s="1">
        <f t="shared" ref="R8:R10" si="4">Q8</f>
        <v>0.94</v>
      </c>
    </row>
    <row r="9" spans="1:16384" x14ac:dyDescent="0.2">
      <c r="A9" t="s">
        <v>43</v>
      </c>
      <c r="B9" t="s">
        <v>44</v>
      </c>
      <c r="C9" t="str">
        <f t="shared" si="0"/>
        <v>Ricky Graham</v>
      </c>
      <c r="D9" t="s">
        <v>17</v>
      </c>
      <c r="E9" t="str">
        <f t="shared" si="1"/>
        <v>Male</v>
      </c>
      <c r="F9">
        <v>43</v>
      </c>
      <c r="G9" t="s">
        <v>5</v>
      </c>
      <c r="H9" t="s">
        <v>6</v>
      </c>
      <c r="I9" t="s">
        <v>7</v>
      </c>
      <c r="J9">
        <v>14</v>
      </c>
      <c r="K9" t="str" cm="1">
        <f t="array" ref="K9">_xlfn.IFS( J9&lt;=5,"0-5", J9&lt;=10,"6-10",J9&lt;=15,"11-15",J9&lt;=20,"16-20",J9&gt;20,"20+")</f>
        <v>11-15</v>
      </c>
      <c r="L9" t="s">
        <v>45</v>
      </c>
      <c r="M9" t="str">
        <f t="shared" si="3"/>
        <v>40</v>
      </c>
      <c r="N9">
        <v>4.5999999999999996</v>
      </c>
      <c r="O9" t="b">
        <v>0</v>
      </c>
      <c r="Q9" s="1">
        <v>0.94</v>
      </c>
      <c r="R9" s="1">
        <f t="shared" si="4"/>
        <v>0.94</v>
      </c>
    </row>
    <row r="10" spans="1:16384" x14ac:dyDescent="0.2">
      <c r="A10" t="s">
        <v>46</v>
      </c>
      <c r="B10" t="s">
        <v>47</v>
      </c>
      <c r="C10" t="str">
        <f t="shared" si="0"/>
        <v>Sean Martin</v>
      </c>
      <c r="D10" t="s">
        <v>17</v>
      </c>
      <c r="E10" t="str">
        <f t="shared" si="1"/>
        <v>Male</v>
      </c>
      <c r="F10">
        <v>26</v>
      </c>
      <c r="G10" t="s">
        <v>48</v>
      </c>
      <c r="H10" t="s">
        <v>12</v>
      </c>
      <c r="I10" t="s">
        <v>7</v>
      </c>
      <c r="J10">
        <v>4</v>
      </c>
      <c r="K10" t="str" cm="1">
        <f t="array" ref="K10">_xlfn.IFS( J10&lt;=5,"0-5", J10&lt;=10,"6-10",J10&lt;=15,"11-15",J10&lt;=20,"16-20",J10&gt;20,"20+")</f>
        <v>0-5</v>
      </c>
      <c r="M10"/>
      <c r="N10">
        <v>4</v>
      </c>
      <c r="O10" t="b">
        <v>1</v>
      </c>
      <c r="Q10" s="1">
        <v>0.76</v>
      </c>
      <c r="R10" s="1">
        <f t="shared" si="4"/>
        <v>0.76</v>
      </c>
    </row>
    <row r="11" spans="1:16384" x14ac:dyDescent="0.2">
      <c r="A11" t="s">
        <v>49</v>
      </c>
      <c r="B11" t="s">
        <v>50</v>
      </c>
      <c r="C11" t="str">
        <f t="shared" si="0"/>
        <v>Matthew Lloyd</v>
      </c>
      <c r="D11" t="s">
        <v>51</v>
      </c>
      <c r="E11" t="str">
        <f t="shared" si="1"/>
        <v>Male</v>
      </c>
      <c r="F11">
        <v>52</v>
      </c>
      <c r="G11" t="s">
        <v>52</v>
      </c>
      <c r="H11" t="s">
        <v>53</v>
      </c>
      <c r="I11" t="s">
        <v>34</v>
      </c>
      <c r="J11">
        <v>22</v>
      </c>
      <c r="K11" t="str" cm="1">
        <f t="array" ref="K11">_xlfn.IFS( J11&lt;=5,"0-5", J11&lt;=10,"6-10",J11&lt;=15,"11-15",J11&lt;=20,"16-20",J11&gt;20,"20+")</f>
        <v>20+</v>
      </c>
      <c r="L11" t="s">
        <v>54</v>
      </c>
      <c r="M11" t="str">
        <f>SUBSTITUTE(L11,"$"," ")</f>
        <v xml:space="preserve"> 50</v>
      </c>
      <c r="O11">
        <v>1</v>
      </c>
    </row>
    <row r="12" spans="1:16384" x14ac:dyDescent="0.2">
      <c r="A12" t="s">
        <v>55</v>
      </c>
      <c r="B12" t="s">
        <v>56</v>
      </c>
      <c r="C12" t="str">
        <f t="shared" si="0"/>
        <v>Gavin Randall</v>
      </c>
      <c r="D12" t="s">
        <v>38</v>
      </c>
      <c r="E12" t="str">
        <f t="shared" si="1"/>
        <v>Male</v>
      </c>
      <c r="F12">
        <v>40</v>
      </c>
      <c r="G12" t="s">
        <v>57</v>
      </c>
      <c r="H12" t="s">
        <v>12</v>
      </c>
      <c r="I12" t="s">
        <v>41</v>
      </c>
      <c r="J12">
        <v>17</v>
      </c>
      <c r="K12" t="str" cm="1">
        <f t="array" ref="K12">_xlfn.IFS( J12&lt;=5,"0-5", J12&lt;=10,"6-10",J12&lt;=15,"11-15",J12&lt;=20,"16-20",J12&gt;20,"20+")</f>
        <v>16-20</v>
      </c>
      <c r="L12">
        <v>40</v>
      </c>
      <c r="M12" s="2">
        <f>L12</f>
        <v>40</v>
      </c>
      <c r="N12">
        <v>3.6</v>
      </c>
      <c r="O12" t="s">
        <v>58</v>
      </c>
      <c r="P12" t="s">
        <v>2075</v>
      </c>
      <c r="Q12" s="1">
        <v>0.77</v>
      </c>
      <c r="R12" s="1">
        <f t="shared" ref="R12:R23" si="5">Q12</f>
        <v>0.77</v>
      </c>
    </row>
    <row r="13" spans="1:16384" x14ac:dyDescent="0.2">
      <c r="A13" t="s">
        <v>59</v>
      </c>
      <c r="B13" t="s">
        <v>60</v>
      </c>
      <c r="C13" t="str">
        <f t="shared" si="0"/>
        <v>Michelle Curtis</v>
      </c>
      <c r="D13" t="s">
        <v>10</v>
      </c>
      <c r="E13" t="str">
        <f t="shared" si="1"/>
        <v>Female</v>
      </c>
      <c r="F13">
        <v>55</v>
      </c>
      <c r="G13" t="s">
        <v>61</v>
      </c>
      <c r="H13" t="s">
        <v>62</v>
      </c>
      <c r="I13" t="s">
        <v>63</v>
      </c>
      <c r="J13">
        <v>15</v>
      </c>
      <c r="K13" t="str" cm="1">
        <f t="array" ref="K13">_xlfn.IFS( J13&lt;=5,"0-5", J13&lt;=10,"6-10",J13&lt;=15,"11-15",J13&lt;=20,"16-20",J13&gt;20,"20+")</f>
        <v>11-15</v>
      </c>
      <c r="M13"/>
      <c r="O13" t="s">
        <v>64</v>
      </c>
      <c r="Q13" s="1">
        <v>0.86</v>
      </c>
      <c r="R13" s="1">
        <f t="shared" si="5"/>
        <v>0.86</v>
      </c>
    </row>
    <row r="14" spans="1:16384" x14ac:dyDescent="0.2">
      <c r="A14" t="s">
        <v>65</v>
      </c>
      <c r="B14" t="s">
        <v>66</v>
      </c>
      <c r="C14" t="str">
        <f t="shared" si="0"/>
        <v>Alice Schneider</v>
      </c>
      <c r="D14" t="s">
        <v>67</v>
      </c>
      <c r="E14" t="str">
        <f t="shared" si="1"/>
        <v>Female</v>
      </c>
      <c r="F14">
        <v>57</v>
      </c>
      <c r="G14" t="s">
        <v>57</v>
      </c>
      <c r="H14" t="s">
        <v>12</v>
      </c>
      <c r="I14" t="s">
        <v>68</v>
      </c>
      <c r="J14">
        <v>18</v>
      </c>
      <c r="K14" t="str" cm="1">
        <f t="array" ref="K14">_xlfn.IFS( J14&lt;=5,"0-5", J14&lt;=10,"6-10",J14&lt;=15,"11-15",J14&lt;=20,"16-20",J14&gt;20,"20+")</f>
        <v>16-20</v>
      </c>
      <c r="M14"/>
      <c r="N14">
        <v>2</v>
      </c>
      <c r="O14">
        <v>0</v>
      </c>
      <c r="Q14" s="1">
        <v>0.86</v>
      </c>
      <c r="R14" s="1">
        <f t="shared" si="5"/>
        <v>0.86</v>
      </c>
    </row>
    <row r="15" spans="1:16384" x14ac:dyDescent="0.2">
      <c r="A15" t="s">
        <v>69</v>
      </c>
      <c r="B15" t="s">
        <v>70</v>
      </c>
      <c r="C15" t="str">
        <f t="shared" si="0"/>
        <v>Phillip Shelton</v>
      </c>
      <c r="D15" t="s">
        <v>51</v>
      </c>
      <c r="E15" t="str">
        <f t="shared" si="1"/>
        <v>Male</v>
      </c>
      <c r="F15">
        <v>38</v>
      </c>
      <c r="G15" t="s">
        <v>61</v>
      </c>
      <c r="H15" t="s">
        <v>62</v>
      </c>
      <c r="I15" t="s">
        <v>20</v>
      </c>
      <c r="J15">
        <v>20</v>
      </c>
      <c r="K15" t="str" cm="1">
        <f t="array" ref="K15">_xlfn.IFS( J15&lt;=5,"0-5", J15&lt;=10,"6-10",J15&lt;=15,"11-15",J15&lt;=20,"16-20",J15&gt;20,"20+")</f>
        <v>16-20</v>
      </c>
      <c r="L15" t="s">
        <v>42</v>
      </c>
      <c r="M15" t="str">
        <f>_xlfn.TEXTAFTER(L15, " ")</f>
        <v>75</v>
      </c>
      <c r="N15">
        <v>2.9</v>
      </c>
      <c r="O15">
        <v>1</v>
      </c>
      <c r="Q15" s="1">
        <v>0.93</v>
      </c>
      <c r="R15" s="1">
        <f t="shared" si="5"/>
        <v>0.93</v>
      </c>
    </row>
    <row r="16" spans="1:16384" x14ac:dyDescent="0.2">
      <c r="A16" t="s">
        <v>71</v>
      </c>
      <c r="B16" t="s">
        <v>72</v>
      </c>
      <c r="C16" t="str">
        <f t="shared" si="0"/>
        <v>Edward Ferguson</v>
      </c>
      <c r="D16" t="s">
        <v>51</v>
      </c>
      <c r="E16" t="str">
        <f t="shared" si="1"/>
        <v>Male</v>
      </c>
      <c r="F16">
        <v>50</v>
      </c>
      <c r="G16" t="s">
        <v>18</v>
      </c>
      <c r="H16" t="s">
        <v>19</v>
      </c>
      <c r="I16" t="s">
        <v>41</v>
      </c>
      <c r="J16">
        <v>22</v>
      </c>
      <c r="K16" t="str" cm="1">
        <f t="array" ref="K16">_xlfn.IFS( J16&lt;=5,"0-5", J16&lt;=10,"6-10",J16&lt;=15,"11-15",J16&lt;=20,"16-20",J16&gt;20,"20+")</f>
        <v>20+</v>
      </c>
      <c r="L16">
        <v>75</v>
      </c>
      <c r="M16" s="2">
        <f>L16</f>
        <v>75</v>
      </c>
      <c r="N16">
        <v>3.7</v>
      </c>
      <c r="O16">
        <v>1</v>
      </c>
      <c r="P16" t="s">
        <v>2075</v>
      </c>
      <c r="Q16" s="1">
        <v>0.7</v>
      </c>
      <c r="R16" s="1">
        <f t="shared" si="5"/>
        <v>0.7</v>
      </c>
    </row>
    <row r="17" spans="1:18" x14ac:dyDescent="0.2">
      <c r="A17" t="s">
        <v>73</v>
      </c>
      <c r="B17" t="s">
        <v>74</v>
      </c>
      <c r="C17" t="str">
        <f t="shared" si="0"/>
        <v>Wyatt Stout</v>
      </c>
      <c r="D17" t="s">
        <v>38</v>
      </c>
      <c r="E17" t="str">
        <f t="shared" si="1"/>
        <v>Male</v>
      </c>
      <c r="F17">
        <v>42</v>
      </c>
      <c r="G17" t="s">
        <v>75</v>
      </c>
      <c r="H17" t="s">
        <v>76</v>
      </c>
      <c r="I17" t="s">
        <v>41</v>
      </c>
      <c r="J17">
        <v>0</v>
      </c>
      <c r="K17" t="str" cm="1">
        <f t="array" ref="K17">_xlfn.IFS( J17&lt;=5,"0-5", J17&lt;=10,"6-10",J17&lt;=15,"11-15",J17&lt;=20,"16-20",J17&gt;20,"20+")</f>
        <v>0-5</v>
      </c>
      <c r="L17" t="s">
        <v>35</v>
      </c>
      <c r="M17" t="str">
        <f t="shared" ref="M17:M18" si="6">SUBSTITUTE(L17,"$"," ")</f>
        <v xml:space="preserve"> 30</v>
      </c>
      <c r="N17">
        <v>1.2</v>
      </c>
      <c r="O17">
        <v>0</v>
      </c>
      <c r="Q17" s="1">
        <v>0.69</v>
      </c>
      <c r="R17" s="1">
        <f t="shared" si="5"/>
        <v>0.69</v>
      </c>
    </row>
    <row r="18" spans="1:18" x14ac:dyDescent="0.2">
      <c r="A18" t="s">
        <v>77</v>
      </c>
      <c r="B18" t="s">
        <v>78</v>
      </c>
      <c r="C18" t="str">
        <f t="shared" si="0"/>
        <v>Laura Johnson</v>
      </c>
      <c r="D18" t="s">
        <v>67</v>
      </c>
      <c r="E18" t="str">
        <f t="shared" si="1"/>
        <v>Female</v>
      </c>
      <c r="F18">
        <v>39</v>
      </c>
      <c r="G18" t="s">
        <v>11</v>
      </c>
      <c r="H18" t="s">
        <v>12</v>
      </c>
      <c r="I18" t="s">
        <v>79</v>
      </c>
      <c r="J18">
        <v>13</v>
      </c>
      <c r="K18" t="str" cm="1">
        <f t="array" ref="K18">_xlfn.IFS( J18&lt;=5,"0-5", J18&lt;=10,"6-10",J18&lt;=15,"11-15",J18&lt;=20,"16-20",J18&gt;20,"20+")</f>
        <v>11-15</v>
      </c>
      <c r="L18" t="s">
        <v>35</v>
      </c>
      <c r="M18" t="str">
        <f t="shared" si="6"/>
        <v xml:space="preserve"> 30</v>
      </c>
      <c r="N18">
        <v>2.5</v>
      </c>
      <c r="O18" t="b">
        <v>0</v>
      </c>
      <c r="Q18" s="1">
        <v>0.6</v>
      </c>
      <c r="R18" s="1">
        <f t="shared" si="5"/>
        <v>0.6</v>
      </c>
    </row>
    <row r="19" spans="1:18" x14ac:dyDescent="0.2">
      <c r="A19" t="s">
        <v>80</v>
      </c>
      <c r="B19" t="s">
        <v>81</v>
      </c>
      <c r="C19" t="str">
        <f t="shared" si="0"/>
        <v>Scott Burns</v>
      </c>
      <c r="D19" t="s">
        <v>82</v>
      </c>
      <c r="E19" t="str">
        <f t="shared" si="1"/>
        <v>Male</v>
      </c>
      <c r="F19">
        <v>56</v>
      </c>
      <c r="G19" t="s">
        <v>83</v>
      </c>
      <c r="H19" t="s">
        <v>84</v>
      </c>
      <c r="I19" t="s">
        <v>7</v>
      </c>
      <c r="K19" t="str" cm="1">
        <f t="array" ref="K19">_xlfn.IFS( J19&lt;=5,"0-5", J19&lt;=10,"6-10",J19&lt;=15,"11-15",J19&lt;=20,"16-20",J19&gt;20,"20+")</f>
        <v>0-5</v>
      </c>
      <c r="M19"/>
      <c r="Q19" s="1">
        <v>0.87</v>
      </c>
      <c r="R19" s="1">
        <f t="shared" si="5"/>
        <v>0.87</v>
      </c>
    </row>
    <row r="20" spans="1:18" x14ac:dyDescent="0.2">
      <c r="A20" t="s">
        <v>85</v>
      </c>
      <c r="B20" t="s">
        <v>86</v>
      </c>
      <c r="C20" t="str">
        <f t="shared" si="0"/>
        <v>Tyler Aguirre</v>
      </c>
      <c r="D20" t="s">
        <v>87</v>
      </c>
      <c r="E20" t="str">
        <f t="shared" si="1"/>
        <v>Male</v>
      </c>
      <c r="F20">
        <v>56</v>
      </c>
      <c r="G20" t="s">
        <v>48</v>
      </c>
      <c r="H20" t="s">
        <v>12</v>
      </c>
      <c r="I20" t="s">
        <v>63</v>
      </c>
      <c r="J20">
        <v>31</v>
      </c>
      <c r="K20" t="str" cm="1">
        <f t="array" ref="K20">_xlfn.IFS( J20&lt;=5,"0-5", J20&lt;=10,"6-10",J20&lt;=15,"11-15",J20&lt;=20,"16-20",J20&gt;20,"20+")</f>
        <v>20+</v>
      </c>
      <c r="L20" t="s">
        <v>88</v>
      </c>
      <c r="M20" t="str">
        <f t="shared" ref="M20:M21" si="7">_xlfn.TEXTAFTER(L20, " ")</f>
        <v>50</v>
      </c>
      <c r="N20">
        <v>1.1000000000000001</v>
      </c>
      <c r="O20" t="s">
        <v>21</v>
      </c>
      <c r="Q20" s="1">
        <v>0.75</v>
      </c>
      <c r="R20" s="1">
        <f t="shared" si="5"/>
        <v>0.75</v>
      </c>
    </row>
    <row r="21" spans="1:18" x14ac:dyDescent="0.2">
      <c r="A21" t="s">
        <v>89</v>
      </c>
      <c r="B21" t="s">
        <v>90</v>
      </c>
      <c r="C21" t="str">
        <f t="shared" si="0"/>
        <v>Matthew Lawson</v>
      </c>
      <c r="D21" t="s">
        <v>87</v>
      </c>
      <c r="E21" t="str">
        <f t="shared" si="1"/>
        <v>Male</v>
      </c>
      <c r="F21">
        <v>57</v>
      </c>
      <c r="G21" t="s">
        <v>5</v>
      </c>
      <c r="H21" t="s">
        <v>6</v>
      </c>
      <c r="I21" t="s">
        <v>25</v>
      </c>
      <c r="J21">
        <v>3</v>
      </c>
      <c r="K21" t="str" cm="1">
        <f t="array" ref="K21">_xlfn.IFS( J21&lt;=5,"0-5", J21&lt;=10,"6-10",J21&lt;=15,"11-15",J21&lt;=20,"16-20",J21&gt;20,"20+")</f>
        <v>0-5</v>
      </c>
      <c r="L21" t="s">
        <v>14</v>
      </c>
      <c r="M21" t="str">
        <f t="shared" si="7"/>
        <v>100</v>
      </c>
      <c r="N21">
        <v>1.8</v>
      </c>
      <c r="O21" t="s">
        <v>58</v>
      </c>
      <c r="Q21" s="1">
        <v>0.68</v>
      </c>
      <c r="R21" s="1">
        <f t="shared" si="5"/>
        <v>0.68</v>
      </c>
    </row>
    <row r="22" spans="1:18" x14ac:dyDescent="0.2">
      <c r="A22" t="s">
        <v>91</v>
      </c>
      <c r="B22" t="s">
        <v>92</v>
      </c>
      <c r="C22" t="str">
        <f t="shared" si="0"/>
        <v>James Cherry</v>
      </c>
      <c r="D22" t="s">
        <v>87</v>
      </c>
      <c r="E22" t="str">
        <f t="shared" si="1"/>
        <v>Male</v>
      </c>
      <c r="G22" t="s">
        <v>39</v>
      </c>
      <c r="H22" t="s">
        <v>40</v>
      </c>
      <c r="I22" t="s">
        <v>34</v>
      </c>
      <c r="J22">
        <v>9</v>
      </c>
      <c r="K22" t="str" cm="1">
        <f t="array" ref="K22">_xlfn.IFS( J22&lt;=5,"0-5", J22&lt;=10,"6-10",J22&lt;=15,"11-15",J22&lt;=20,"16-20",J22&gt;20,"20+")</f>
        <v>6-10</v>
      </c>
      <c r="L22">
        <v>50</v>
      </c>
      <c r="M22" s="2">
        <f>L22</f>
        <v>50</v>
      </c>
      <c r="N22">
        <v>1.8</v>
      </c>
      <c r="O22" t="b">
        <v>0</v>
      </c>
      <c r="P22" t="s">
        <v>2074</v>
      </c>
      <c r="Q22" s="1">
        <v>0.65</v>
      </c>
      <c r="R22" s="1">
        <f t="shared" si="5"/>
        <v>0.65</v>
      </c>
    </row>
    <row r="23" spans="1:18" x14ac:dyDescent="0.2">
      <c r="A23" t="s">
        <v>93</v>
      </c>
      <c r="B23" t="s">
        <v>94</v>
      </c>
      <c r="C23" t="str">
        <f t="shared" si="0"/>
        <v>Samuel Sanford</v>
      </c>
      <c r="D23" t="s">
        <v>38</v>
      </c>
      <c r="E23" t="str">
        <f t="shared" si="1"/>
        <v>Male</v>
      </c>
      <c r="F23">
        <v>51</v>
      </c>
      <c r="G23" t="s">
        <v>75</v>
      </c>
      <c r="H23" t="s">
        <v>76</v>
      </c>
      <c r="I23" t="s">
        <v>79</v>
      </c>
      <c r="K23" t="str" cm="1">
        <f t="array" ref="K23">_xlfn.IFS( J23&lt;=5,"0-5", J23&lt;=10,"6-10",J23&lt;=15,"11-15",J23&lt;=20,"16-20",J23&gt;20,"20+")</f>
        <v>0-5</v>
      </c>
      <c r="M23"/>
      <c r="N23">
        <v>2.4</v>
      </c>
      <c r="O23" t="s">
        <v>21</v>
      </c>
      <c r="Q23" s="1">
        <v>0.69</v>
      </c>
      <c r="R23" s="1">
        <f t="shared" si="5"/>
        <v>0.69</v>
      </c>
    </row>
    <row r="24" spans="1:18" x14ac:dyDescent="0.2">
      <c r="A24" t="s">
        <v>95</v>
      </c>
      <c r="B24" t="s">
        <v>96</v>
      </c>
      <c r="C24" t="str">
        <f t="shared" si="0"/>
        <v>Cesar Greene</v>
      </c>
      <c r="D24" t="s">
        <v>38</v>
      </c>
      <c r="E24" t="str">
        <f t="shared" si="1"/>
        <v>Male</v>
      </c>
      <c r="F24">
        <v>51</v>
      </c>
      <c r="G24" t="s">
        <v>97</v>
      </c>
      <c r="H24" t="s">
        <v>98</v>
      </c>
      <c r="I24" t="s">
        <v>68</v>
      </c>
      <c r="J24">
        <v>21</v>
      </c>
      <c r="K24" t="str" cm="1">
        <f t="array" ref="K24">_xlfn.IFS( J24&lt;=5,"0-5", J24&lt;=10,"6-10",J24&lt;=15,"11-15",J24&lt;=20,"16-20",J24&gt;20,"20+")</f>
        <v>20+</v>
      </c>
      <c r="L24" t="s">
        <v>99</v>
      </c>
      <c r="M24" t="str">
        <f>_xlfn.TEXTAFTER(L24, " ")</f>
        <v>30</v>
      </c>
      <c r="N24">
        <v>4.7</v>
      </c>
      <c r="O24" t="s">
        <v>21</v>
      </c>
    </row>
    <row r="25" spans="1:18" x14ac:dyDescent="0.2">
      <c r="A25" t="s">
        <v>100</v>
      </c>
      <c r="B25" t="s">
        <v>101</v>
      </c>
      <c r="C25" t="str">
        <f t="shared" si="0"/>
        <v>Melanie Carter</v>
      </c>
      <c r="D25" t="s">
        <v>29</v>
      </c>
      <c r="E25" t="str">
        <f t="shared" si="1"/>
        <v>Female</v>
      </c>
      <c r="F25">
        <v>51</v>
      </c>
      <c r="G25" t="s">
        <v>102</v>
      </c>
      <c r="H25" t="s">
        <v>103</v>
      </c>
      <c r="I25" t="s">
        <v>104</v>
      </c>
      <c r="J25">
        <v>15</v>
      </c>
      <c r="K25" t="str" cm="1">
        <f t="array" ref="K25">_xlfn.IFS( J25&lt;=5,"0-5", J25&lt;=10,"6-10",J25&lt;=15,"11-15",J25&lt;=20,"16-20",J25&gt;20,"20+")</f>
        <v>11-15</v>
      </c>
      <c r="L25" t="s">
        <v>54</v>
      </c>
      <c r="M25" t="str">
        <f>SUBSTITUTE(L25,"$"," ")</f>
        <v xml:space="preserve"> 50</v>
      </c>
      <c r="N25">
        <v>1.3</v>
      </c>
      <c r="O25">
        <v>1</v>
      </c>
      <c r="Q25" s="1">
        <v>1</v>
      </c>
      <c r="R25" s="1">
        <f>Q25</f>
        <v>1</v>
      </c>
    </row>
    <row r="26" spans="1:18" x14ac:dyDescent="0.2">
      <c r="A26" t="s">
        <v>105</v>
      </c>
      <c r="B26" t="s">
        <v>106</v>
      </c>
      <c r="C26" t="str">
        <f t="shared" si="0"/>
        <v>Jennifer Martin</v>
      </c>
      <c r="D26" t="s">
        <v>4</v>
      </c>
      <c r="E26" t="str">
        <f t="shared" si="1"/>
        <v>Female</v>
      </c>
      <c r="F26">
        <v>54</v>
      </c>
      <c r="G26" t="s">
        <v>39</v>
      </c>
      <c r="H26" t="s">
        <v>40</v>
      </c>
      <c r="I26" t="s">
        <v>104</v>
      </c>
      <c r="J26">
        <v>13</v>
      </c>
      <c r="K26" t="str" cm="1">
        <f t="array" ref="K26">_xlfn.IFS( J26&lt;=5,"0-5", J26&lt;=10,"6-10",J26&lt;=15,"11-15",J26&lt;=20,"16-20",J26&gt;20,"20+")</f>
        <v>11-15</v>
      </c>
      <c r="L26">
        <v>75</v>
      </c>
      <c r="M26" s="2">
        <f>L26</f>
        <v>75</v>
      </c>
      <c r="N26">
        <v>2.9</v>
      </c>
      <c r="Q26">
        <v>92</v>
      </c>
      <c r="R26" s="3">
        <f>Q26/100</f>
        <v>0.92</v>
      </c>
    </row>
    <row r="27" spans="1:18" x14ac:dyDescent="0.2">
      <c r="A27" t="s">
        <v>107</v>
      </c>
      <c r="B27" t="s">
        <v>108</v>
      </c>
      <c r="C27" t="str">
        <f t="shared" si="0"/>
        <v>Anna Mccann</v>
      </c>
      <c r="D27" t="s">
        <v>10</v>
      </c>
      <c r="E27" t="str">
        <f t="shared" si="1"/>
        <v>Female</v>
      </c>
      <c r="F27">
        <v>22</v>
      </c>
      <c r="G27" t="s">
        <v>102</v>
      </c>
      <c r="H27" t="s">
        <v>103</v>
      </c>
      <c r="I27" t="s">
        <v>79</v>
      </c>
      <c r="J27">
        <v>0</v>
      </c>
      <c r="K27" t="str" cm="1">
        <f t="array" ref="K27">_xlfn.IFS( J27&lt;=5,"0-5", J27&lt;=10,"6-10",J27&lt;=15,"11-15",J27&lt;=20,"16-20",J27&gt;20,"20+")</f>
        <v>0-5</v>
      </c>
      <c r="L27" t="s">
        <v>99</v>
      </c>
      <c r="M27" t="str">
        <f>_xlfn.TEXTAFTER(L27, " ")</f>
        <v>30</v>
      </c>
      <c r="N27">
        <v>1.2</v>
      </c>
      <c r="O27">
        <v>1</v>
      </c>
      <c r="Q27" s="1">
        <v>0.7</v>
      </c>
      <c r="R27" s="1">
        <f t="shared" ref="R27:R30" si="8">Q27</f>
        <v>0.7</v>
      </c>
    </row>
    <row r="28" spans="1:18" x14ac:dyDescent="0.2">
      <c r="A28" t="s">
        <v>109</v>
      </c>
      <c r="B28" t="s">
        <v>110</v>
      </c>
      <c r="C28" t="str">
        <f t="shared" si="0"/>
        <v>Marissa Bass</v>
      </c>
      <c r="D28" t="s">
        <v>29</v>
      </c>
      <c r="E28" t="str">
        <f t="shared" si="1"/>
        <v>Female</v>
      </c>
      <c r="F28">
        <v>34</v>
      </c>
      <c r="G28" t="s">
        <v>75</v>
      </c>
      <c r="H28" t="s">
        <v>76</v>
      </c>
      <c r="I28" t="s">
        <v>7</v>
      </c>
      <c r="J28">
        <v>8</v>
      </c>
      <c r="K28" t="str" cm="1">
        <f t="array" ref="K28">_xlfn.IFS( J28&lt;=5,"0-5", J28&lt;=10,"6-10",J28&lt;=15,"11-15",J28&lt;=20,"16-20",J28&gt;20,"20+")</f>
        <v>6-10</v>
      </c>
      <c r="L28" t="s">
        <v>111</v>
      </c>
      <c r="M28" t="str">
        <f>SUBSTITUTE(L28,"$"," ")</f>
        <v xml:space="preserve"> 20</v>
      </c>
      <c r="N28">
        <v>0</v>
      </c>
      <c r="O28" t="b">
        <v>1</v>
      </c>
      <c r="Q28" s="1">
        <v>0.89</v>
      </c>
      <c r="R28" s="1">
        <f t="shared" si="8"/>
        <v>0.89</v>
      </c>
    </row>
    <row r="29" spans="1:18" x14ac:dyDescent="0.2">
      <c r="A29" t="s">
        <v>112</v>
      </c>
      <c r="B29" t="s">
        <v>113</v>
      </c>
      <c r="C29" t="str">
        <f t="shared" si="0"/>
        <v>Alexis Day</v>
      </c>
      <c r="D29" t="s">
        <v>67</v>
      </c>
      <c r="E29" t="str">
        <f t="shared" si="1"/>
        <v>Female</v>
      </c>
      <c r="F29">
        <v>36</v>
      </c>
      <c r="G29" t="s">
        <v>114</v>
      </c>
      <c r="H29" t="s">
        <v>115</v>
      </c>
      <c r="I29" t="s">
        <v>20</v>
      </c>
      <c r="J29">
        <v>11</v>
      </c>
      <c r="K29" t="str" cm="1">
        <f t="array" ref="K29">_xlfn.IFS( J29&lt;=5,"0-5", J29&lt;=10,"6-10",J29&lt;=15,"11-15",J29&lt;=20,"16-20",J29&gt;20,"20+")</f>
        <v>11-15</v>
      </c>
      <c r="M29"/>
      <c r="N29">
        <v>1.8</v>
      </c>
      <c r="O29" t="s">
        <v>64</v>
      </c>
      <c r="Q29" s="1">
        <v>0.86</v>
      </c>
      <c r="R29" s="1">
        <f t="shared" si="8"/>
        <v>0.86</v>
      </c>
    </row>
    <row r="30" spans="1:18" x14ac:dyDescent="0.2">
      <c r="A30" t="s">
        <v>116</v>
      </c>
      <c r="B30" t="s">
        <v>117</v>
      </c>
      <c r="C30" t="str">
        <f t="shared" si="0"/>
        <v>Megan Jones</v>
      </c>
      <c r="D30" t="s">
        <v>29</v>
      </c>
      <c r="E30" t="str">
        <f t="shared" si="1"/>
        <v>Female</v>
      </c>
      <c r="F30">
        <v>47</v>
      </c>
      <c r="G30" t="s">
        <v>118</v>
      </c>
      <c r="H30" t="s">
        <v>12</v>
      </c>
      <c r="I30" t="s">
        <v>34</v>
      </c>
      <c r="J30">
        <v>22</v>
      </c>
      <c r="K30" t="str" cm="1">
        <f t="array" ref="K30">_xlfn.IFS( J30&lt;=5,"0-5", J30&lt;=10,"6-10",J30&lt;=15,"11-15",J30&lt;=20,"16-20",J30&gt;20,"20+")</f>
        <v>20+</v>
      </c>
      <c r="L30">
        <v>30</v>
      </c>
      <c r="M30" s="2">
        <f>L30</f>
        <v>30</v>
      </c>
      <c r="N30">
        <v>1.3</v>
      </c>
      <c r="O30">
        <v>0</v>
      </c>
      <c r="P30" t="s">
        <v>2074</v>
      </c>
      <c r="Q30" s="1">
        <v>0.62</v>
      </c>
      <c r="R30" s="1">
        <f t="shared" si="8"/>
        <v>0.62</v>
      </c>
    </row>
    <row r="31" spans="1:18" x14ac:dyDescent="0.2">
      <c r="A31" t="s">
        <v>119</v>
      </c>
      <c r="B31" t="s">
        <v>120</v>
      </c>
      <c r="C31" t="str">
        <f t="shared" si="0"/>
        <v>Lori Smith</v>
      </c>
      <c r="D31" t="s">
        <v>10</v>
      </c>
      <c r="E31" t="str">
        <f t="shared" si="1"/>
        <v>Female</v>
      </c>
      <c r="F31">
        <v>41</v>
      </c>
      <c r="G31" t="s">
        <v>32</v>
      </c>
      <c r="H31" t="s">
        <v>33</v>
      </c>
      <c r="I31" t="s">
        <v>41</v>
      </c>
      <c r="J31">
        <v>14</v>
      </c>
      <c r="K31" t="str" cm="1">
        <f t="array" ref="K31">_xlfn.IFS( J31&lt;=5,"0-5", J31&lt;=10,"6-10",J31&lt;=15,"11-15",J31&lt;=20,"16-20",J31&gt;20,"20+")</f>
        <v>11-15</v>
      </c>
      <c r="L31" t="s">
        <v>42</v>
      </c>
      <c r="M31" t="str">
        <f>_xlfn.TEXTAFTER(L31, " ")</f>
        <v>75</v>
      </c>
      <c r="N31">
        <v>1.2</v>
      </c>
      <c r="O31">
        <v>0</v>
      </c>
    </row>
    <row r="32" spans="1:18" x14ac:dyDescent="0.2">
      <c r="A32" t="s">
        <v>121</v>
      </c>
      <c r="B32" t="s">
        <v>122</v>
      </c>
      <c r="C32" t="str">
        <f t="shared" si="0"/>
        <v>Eric Carpenter</v>
      </c>
      <c r="D32" t="s">
        <v>87</v>
      </c>
      <c r="E32" t="str">
        <f t="shared" si="1"/>
        <v>Male</v>
      </c>
      <c r="F32">
        <v>22</v>
      </c>
      <c r="G32" t="s">
        <v>32</v>
      </c>
      <c r="H32" t="s">
        <v>33</v>
      </c>
      <c r="I32" t="s">
        <v>79</v>
      </c>
      <c r="J32">
        <v>4</v>
      </c>
      <c r="K32" t="str" cm="1">
        <f t="array" ref="K32">_xlfn.IFS( J32&lt;=5,"0-5", J32&lt;=10,"6-10",J32&lt;=15,"11-15",J32&lt;=20,"16-20",J32&gt;20,"20+")</f>
        <v>0-5</v>
      </c>
      <c r="M32"/>
      <c r="N32">
        <v>1</v>
      </c>
      <c r="O32" t="s">
        <v>58</v>
      </c>
    </row>
    <row r="33" spans="1:18" x14ac:dyDescent="0.2">
      <c r="A33" t="s">
        <v>123</v>
      </c>
      <c r="B33" t="s">
        <v>124</v>
      </c>
      <c r="C33" t="str">
        <f t="shared" si="0"/>
        <v>Timothy Daniels</v>
      </c>
      <c r="D33" t="s">
        <v>87</v>
      </c>
      <c r="E33" t="str">
        <f t="shared" si="1"/>
        <v>Male</v>
      </c>
      <c r="F33">
        <v>38</v>
      </c>
      <c r="G33" t="s">
        <v>125</v>
      </c>
      <c r="H33" t="s">
        <v>126</v>
      </c>
      <c r="I33" t="s">
        <v>104</v>
      </c>
      <c r="J33">
        <v>19</v>
      </c>
      <c r="K33" t="str" cm="1">
        <f t="array" ref="K33">_xlfn.IFS( J33&lt;=5,"0-5", J33&lt;=10,"6-10",J33&lt;=15,"11-15",J33&lt;=20,"16-20",J33&gt;20,"20+")</f>
        <v>16-20</v>
      </c>
      <c r="L33" t="s">
        <v>14</v>
      </c>
      <c r="M33" t="str">
        <f>_xlfn.TEXTAFTER(L33, " ")</f>
        <v>100</v>
      </c>
      <c r="N33">
        <v>4.2</v>
      </c>
      <c r="O33" t="s">
        <v>21</v>
      </c>
      <c r="Q33" s="1">
        <v>0.68</v>
      </c>
      <c r="R33" s="1">
        <f t="shared" ref="R33:R34" si="9">Q33</f>
        <v>0.68</v>
      </c>
    </row>
    <row r="34" spans="1:18" x14ac:dyDescent="0.2">
      <c r="A34" t="s">
        <v>127</v>
      </c>
      <c r="B34" t="s">
        <v>128</v>
      </c>
      <c r="C34" t="str">
        <f t="shared" si="0"/>
        <v>Robert Nelson</v>
      </c>
      <c r="D34" t="s">
        <v>82</v>
      </c>
      <c r="E34" t="str">
        <f t="shared" si="1"/>
        <v>Male</v>
      </c>
      <c r="F34">
        <v>46</v>
      </c>
      <c r="G34" t="s">
        <v>129</v>
      </c>
      <c r="H34" t="s">
        <v>130</v>
      </c>
      <c r="I34" t="s">
        <v>34</v>
      </c>
      <c r="J34">
        <v>9</v>
      </c>
      <c r="K34" t="str" cm="1">
        <f t="array" ref="K34">_xlfn.IFS( J34&lt;=5,"0-5", J34&lt;=10,"6-10",J34&lt;=15,"11-15",J34&lt;=20,"16-20",J34&gt;20,"20+")</f>
        <v>6-10</v>
      </c>
      <c r="L34">
        <v>20</v>
      </c>
      <c r="M34" s="2">
        <f t="shared" ref="M34:M36" si="10">L34</f>
        <v>20</v>
      </c>
      <c r="N34">
        <v>1.4</v>
      </c>
      <c r="O34" t="b">
        <v>1</v>
      </c>
      <c r="P34" t="s">
        <v>2075</v>
      </c>
      <c r="Q34" s="1">
        <v>0.76</v>
      </c>
      <c r="R34" s="1">
        <f t="shared" si="9"/>
        <v>0.76</v>
      </c>
    </row>
    <row r="35" spans="1:18" x14ac:dyDescent="0.2">
      <c r="A35" t="s">
        <v>131</v>
      </c>
      <c r="B35" t="s">
        <v>132</v>
      </c>
      <c r="C35" t="str">
        <f t="shared" si="0"/>
        <v>Michael Anderson</v>
      </c>
      <c r="D35" t="s">
        <v>17</v>
      </c>
      <c r="E35" t="str">
        <f t="shared" si="1"/>
        <v>Male</v>
      </c>
      <c r="G35" t="s">
        <v>102</v>
      </c>
      <c r="H35" t="s">
        <v>103</v>
      </c>
      <c r="I35" t="s">
        <v>34</v>
      </c>
      <c r="J35">
        <v>9</v>
      </c>
      <c r="K35" t="str" cm="1">
        <f t="array" ref="K35">_xlfn.IFS( J35&lt;=5,"0-5", J35&lt;=10,"6-10",J35&lt;=15,"11-15",J35&lt;=20,"16-20",J35&gt;20,"20+")</f>
        <v>6-10</v>
      </c>
      <c r="L35">
        <v>40</v>
      </c>
      <c r="M35" s="2">
        <f t="shared" si="10"/>
        <v>40</v>
      </c>
      <c r="N35">
        <v>2.4</v>
      </c>
      <c r="O35" t="s">
        <v>58</v>
      </c>
      <c r="P35" t="s">
        <v>2075</v>
      </c>
      <c r="Q35">
        <v>82</v>
      </c>
      <c r="R35" s="3">
        <f>Q35/100</f>
        <v>0.82</v>
      </c>
    </row>
    <row r="36" spans="1:18" x14ac:dyDescent="0.2">
      <c r="A36" t="s">
        <v>133</v>
      </c>
      <c r="B36" t="s">
        <v>134</v>
      </c>
      <c r="C36" t="str">
        <f t="shared" si="0"/>
        <v>Jessica Snyder</v>
      </c>
      <c r="D36" t="s">
        <v>10</v>
      </c>
      <c r="E36" t="str">
        <f t="shared" si="1"/>
        <v>Female</v>
      </c>
      <c r="F36">
        <v>54</v>
      </c>
      <c r="G36" t="s">
        <v>48</v>
      </c>
      <c r="H36" t="s">
        <v>12</v>
      </c>
      <c r="I36" t="s">
        <v>25</v>
      </c>
      <c r="J36">
        <v>32</v>
      </c>
      <c r="K36" t="str" cm="1">
        <f t="array" ref="K36">_xlfn.IFS( J36&lt;=5,"0-5", J36&lt;=10,"6-10",J36&lt;=15,"11-15",J36&lt;=20,"16-20",J36&gt;20,"20+")</f>
        <v>20+</v>
      </c>
      <c r="L36">
        <v>75</v>
      </c>
      <c r="M36" s="2">
        <f t="shared" si="10"/>
        <v>75</v>
      </c>
      <c r="N36">
        <v>1</v>
      </c>
      <c r="O36" t="s">
        <v>58</v>
      </c>
      <c r="P36" t="s">
        <v>2075</v>
      </c>
      <c r="Q36" s="1">
        <v>0.81</v>
      </c>
      <c r="R36" s="1">
        <f>Q36</f>
        <v>0.81</v>
      </c>
    </row>
    <row r="37" spans="1:18" x14ac:dyDescent="0.2">
      <c r="A37" t="s">
        <v>135</v>
      </c>
      <c r="B37" t="s">
        <v>136</v>
      </c>
      <c r="C37" t="str">
        <f t="shared" si="0"/>
        <v>Emily Daniels</v>
      </c>
      <c r="D37" t="s">
        <v>29</v>
      </c>
      <c r="E37" t="str">
        <f t="shared" si="1"/>
        <v>Female</v>
      </c>
      <c r="F37">
        <v>52</v>
      </c>
      <c r="G37" t="s">
        <v>102</v>
      </c>
      <c r="H37" t="s">
        <v>103</v>
      </c>
      <c r="I37" t="s">
        <v>25</v>
      </c>
      <c r="J37">
        <v>28</v>
      </c>
      <c r="K37" t="str" cm="1">
        <f t="array" ref="K37">_xlfn.IFS( J37&lt;=5,"0-5", J37&lt;=10,"6-10",J37&lt;=15,"11-15",J37&lt;=20,"16-20",J37&gt;20,"20+")</f>
        <v>20+</v>
      </c>
      <c r="L37" t="s">
        <v>111</v>
      </c>
      <c r="M37" t="str">
        <f>SUBSTITUTE(L37,"$"," ")</f>
        <v xml:space="preserve"> 20</v>
      </c>
      <c r="O37">
        <v>0</v>
      </c>
    </row>
    <row r="38" spans="1:18" x14ac:dyDescent="0.2">
      <c r="A38" t="s">
        <v>137</v>
      </c>
      <c r="B38" t="s">
        <v>138</v>
      </c>
      <c r="C38" t="str">
        <f t="shared" si="0"/>
        <v>Jamie Ramirez</v>
      </c>
      <c r="D38" t="s">
        <v>4</v>
      </c>
      <c r="E38" t="str">
        <f t="shared" si="1"/>
        <v>Female</v>
      </c>
      <c r="F38">
        <v>42</v>
      </c>
      <c r="G38" t="s">
        <v>75</v>
      </c>
      <c r="H38" t="s">
        <v>76</v>
      </c>
      <c r="I38" t="s">
        <v>13</v>
      </c>
      <c r="J38">
        <v>6</v>
      </c>
      <c r="K38" t="str" cm="1">
        <f t="array" ref="K38">_xlfn.IFS( J38&lt;=5,"0-5", J38&lt;=10,"6-10",J38&lt;=15,"11-15",J38&lt;=20,"16-20",J38&gt;20,"20+")</f>
        <v>6-10</v>
      </c>
      <c r="L38">
        <v>40</v>
      </c>
      <c r="M38" s="2">
        <f t="shared" ref="M38:M40" si="11">L38</f>
        <v>40</v>
      </c>
      <c r="O38">
        <v>0</v>
      </c>
      <c r="P38" t="s">
        <v>2074</v>
      </c>
      <c r="Q38" s="1">
        <v>0.63</v>
      </c>
      <c r="R38" s="1">
        <f t="shared" ref="R38:R39" si="12">Q38</f>
        <v>0.63</v>
      </c>
    </row>
    <row r="39" spans="1:18" x14ac:dyDescent="0.2">
      <c r="A39" t="s">
        <v>139</v>
      </c>
      <c r="B39" t="s">
        <v>140</v>
      </c>
      <c r="C39" t="str">
        <f t="shared" si="0"/>
        <v>Amy Harrison</v>
      </c>
      <c r="D39" t="s">
        <v>24</v>
      </c>
      <c r="E39" t="str">
        <f t="shared" si="1"/>
        <v>Female</v>
      </c>
      <c r="F39">
        <v>29</v>
      </c>
      <c r="G39" t="s">
        <v>32</v>
      </c>
      <c r="H39" t="s">
        <v>33</v>
      </c>
      <c r="I39" t="s">
        <v>20</v>
      </c>
      <c r="J39">
        <v>10</v>
      </c>
      <c r="K39" t="str" cm="1">
        <f t="array" ref="K39">_xlfn.IFS( J39&lt;=5,"0-5", J39&lt;=10,"6-10",J39&lt;=15,"11-15",J39&lt;=20,"16-20",J39&gt;20,"20+")</f>
        <v>6-10</v>
      </c>
      <c r="L39">
        <v>40</v>
      </c>
      <c r="M39" s="2">
        <f t="shared" si="11"/>
        <v>40</v>
      </c>
      <c r="N39">
        <v>2.2000000000000002</v>
      </c>
      <c r="O39" t="s">
        <v>21</v>
      </c>
      <c r="P39" t="s">
        <v>2074</v>
      </c>
      <c r="Q39" s="1">
        <v>0.67</v>
      </c>
      <c r="R39" s="1">
        <f t="shared" si="12"/>
        <v>0.67</v>
      </c>
    </row>
    <row r="40" spans="1:18" x14ac:dyDescent="0.2">
      <c r="A40" t="s">
        <v>141</v>
      </c>
      <c r="B40" t="s">
        <v>142</v>
      </c>
      <c r="C40" t="str">
        <f t="shared" si="0"/>
        <v>Melinda White</v>
      </c>
      <c r="D40" t="s">
        <v>24</v>
      </c>
      <c r="E40" t="str">
        <f t="shared" si="1"/>
        <v>Female</v>
      </c>
      <c r="F40">
        <v>42</v>
      </c>
      <c r="G40" t="s">
        <v>143</v>
      </c>
      <c r="H40" t="s">
        <v>144</v>
      </c>
      <c r="I40" t="s">
        <v>13</v>
      </c>
      <c r="J40">
        <v>23</v>
      </c>
      <c r="K40" t="str" cm="1">
        <f t="array" ref="K40">_xlfn.IFS( J40&lt;=5,"0-5", J40&lt;=10,"6-10",J40&lt;=15,"11-15",J40&lt;=20,"16-20",J40&gt;20,"20+")</f>
        <v>20+</v>
      </c>
      <c r="L40">
        <v>50</v>
      </c>
      <c r="M40" s="2">
        <f t="shared" si="11"/>
        <v>50</v>
      </c>
      <c r="N40">
        <v>3.2</v>
      </c>
      <c r="O40" t="s">
        <v>58</v>
      </c>
      <c r="P40" t="s">
        <v>2075</v>
      </c>
    </row>
    <row r="41" spans="1:18" x14ac:dyDescent="0.2">
      <c r="A41" t="s">
        <v>145</v>
      </c>
      <c r="B41" t="s">
        <v>146</v>
      </c>
      <c r="C41" t="str">
        <f t="shared" si="0"/>
        <v>James Hernandez</v>
      </c>
      <c r="D41" t="s">
        <v>87</v>
      </c>
      <c r="E41" t="str">
        <f t="shared" si="1"/>
        <v>Male</v>
      </c>
      <c r="F41">
        <v>60</v>
      </c>
      <c r="G41" t="s">
        <v>75</v>
      </c>
      <c r="H41" t="s">
        <v>76</v>
      </c>
      <c r="I41" t="s">
        <v>25</v>
      </c>
      <c r="J41">
        <v>13</v>
      </c>
      <c r="K41" t="str" cm="1">
        <f t="array" ref="K41">_xlfn.IFS( J41&lt;=5,"0-5", J41&lt;=10,"6-10",J41&lt;=15,"11-15",J41&lt;=20,"16-20",J41&gt;20,"20+")</f>
        <v>11-15</v>
      </c>
      <c r="L41" t="s">
        <v>111</v>
      </c>
      <c r="M41" t="str">
        <f>SUBSTITUTE(L41,"$"," ")</f>
        <v xml:space="preserve"> 20</v>
      </c>
      <c r="N41">
        <v>3.6</v>
      </c>
      <c r="O41">
        <v>0</v>
      </c>
      <c r="Q41" s="1">
        <v>0.8</v>
      </c>
      <c r="R41" s="1">
        <f>Q41</f>
        <v>0.8</v>
      </c>
    </row>
    <row r="42" spans="1:18" x14ac:dyDescent="0.2">
      <c r="A42" t="s">
        <v>147</v>
      </c>
      <c r="B42" t="s">
        <v>148</v>
      </c>
      <c r="C42" t="str">
        <f t="shared" si="0"/>
        <v>Angelica Rogers</v>
      </c>
      <c r="D42" t="s">
        <v>67</v>
      </c>
      <c r="E42" t="str">
        <f t="shared" si="1"/>
        <v>Female</v>
      </c>
      <c r="F42">
        <v>59</v>
      </c>
      <c r="G42" t="s">
        <v>57</v>
      </c>
      <c r="H42" t="s">
        <v>12</v>
      </c>
      <c r="I42" t="s">
        <v>34</v>
      </c>
      <c r="J42">
        <v>3</v>
      </c>
      <c r="K42" t="str" cm="1">
        <f t="array" ref="K42">_xlfn.IFS( J42&lt;=5,"0-5", J42&lt;=10,"6-10",J42&lt;=15,"11-15",J42&lt;=20,"16-20",J42&gt;20,"20+")</f>
        <v>0-5</v>
      </c>
      <c r="L42" t="s">
        <v>88</v>
      </c>
      <c r="M42" t="str">
        <f>_xlfn.TEXTAFTER(L42, " ")</f>
        <v>50</v>
      </c>
      <c r="N42">
        <v>0</v>
      </c>
      <c r="O42" t="s">
        <v>149</v>
      </c>
    </row>
    <row r="43" spans="1:18" x14ac:dyDescent="0.2">
      <c r="A43" t="s">
        <v>150</v>
      </c>
      <c r="B43" t="s">
        <v>151</v>
      </c>
      <c r="C43" t="str">
        <f t="shared" si="0"/>
        <v>Savannah Williams</v>
      </c>
      <c r="D43" t="s">
        <v>67</v>
      </c>
      <c r="E43" t="str">
        <f t="shared" si="1"/>
        <v>Female</v>
      </c>
      <c r="F43">
        <v>21</v>
      </c>
      <c r="G43" t="s">
        <v>118</v>
      </c>
      <c r="H43" t="s">
        <v>12</v>
      </c>
      <c r="I43" t="s">
        <v>25</v>
      </c>
      <c r="J43">
        <v>0</v>
      </c>
      <c r="K43" t="str" cm="1">
        <f t="array" ref="K43">_xlfn.IFS( J43&lt;=5,"0-5", J43&lt;=10,"6-10",J43&lt;=15,"11-15",J43&lt;=20,"16-20",J43&gt;20,"20+")</f>
        <v>0-5</v>
      </c>
      <c r="L43">
        <v>30</v>
      </c>
      <c r="M43" s="2">
        <f>L43</f>
        <v>30</v>
      </c>
      <c r="N43">
        <v>2.7</v>
      </c>
      <c r="O43">
        <v>1</v>
      </c>
      <c r="P43" t="s">
        <v>2075</v>
      </c>
      <c r="Q43" s="1">
        <v>0.84</v>
      </c>
      <c r="R43" s="1">
        <f>Q43</f>
        <v>0.84</v>
      </c>
    </row>
    <row r="44" spans="1:18" x14ac:dyDescent="0.2">
      <c r="A44" t="s">
        <v>152</v>
      </c>
      <c r="B44" t="s">
        <v>153</v>
      </c>
      <c r="C44" t="str">
        <f t="shared" si="0"/>
        <v>Kaitlyn Schmidt</v>
      </c>
      <c r="D44" t="s">
        <v>67</v>
      </c>
      <c r="E44" t="str">
        <f t="shared" si="1"/>
        <v>Female</v>
      </c>
      <c r="F44">
        <v>35</v>
      </c>
      <c r="G44" t="s">
        <v>18</v>
      </c>
      <c r="H44" t="s">
        <v>19</v>
      </c>
      <c r="I44" t="s">
        <v>79</v>
      </c>
      <c r="J44">
        <v>10</v>
      </c>
      <c r="K44" t="str" cm="1">
        <f t="array" ref="K44">_xlfn.IFS( J44&lt;=5,"0-5", J44&lt;=10,"6-10",J44&lt;=15,"11-15",J44&lt;=20,"16-20",J44&gt;20,"20+")</f>
        <v>6-10</v>
      </c>
      <c r="L44" t="s">
        <v>54</v>
      </c>
      <c r="M44" t="str">
        <f>SUBSTITUTE(L44,"$"," ")</f>
        <v xml:space="preserve"> 50</v>
      </c>
      <c r="N44">
        <v>0</v>
      </c>
      <c r="O44" t="s">
        <v>149</v>
      </c>
    </row>
    <row r="45" spans="1:18" x14ac:dyDescent="0.2">
      <c r="A45" t="s">
        <v>154</v>
      </c>
      <c r="B45" t="s">
        <v>155</v>
      </c>
      <c r="C45" t="str">
        <f t="shared" si="0"/>
        <v>Jason Singh</v>
      </c>
      <c r="D45" t="s">
        <v>17</v>
      </c>
      <c r="E45" t="str">
        <f t="shared" si="1"/>
        <v>Male</v>
      </c>
      <c r="F45">
        <v>41</v>
      </c>
      <c r="G45" t="s">
        <v>57</v>
      </c>
      <c r="H45" t="s">
        <v>12</v>
      </c>
      <c r="I45" t="s">
        <v>41</v>
      </c>
      <c r="K45" t="str" cm="1">
        <f t="array" ref="K45">_xlfn.IFS( J45&lt;=5,"0-5", J45&lt;=10,"6-10",J45&lt;=15,"11-15",J45&lt;=20,"16-20",J45&gt;20,"20+")</f>
        <v>0-5</v>
      </c>
      <c r="L45">
        <v>20</v>
      </c>
      <c r="M45" s="2">
        <f t="shared" ref="M45:M46" si="13">L45</f>
        <v>20</v>
      </c>
      <c r="N45">
        <v>2.8</v>
      </c>
      <c r="O45" t="b">
        <v>1</v>
      </c>
      <c r="P45" t="s">
        <v>2075</v>
      </c>
      <c r="Q45" s="1">
        <v>0.63</v>
      </c>
      <c r="R45" s="1">
        <f t="shared" ref="R45:R49" si="14">Q45</f>
        <v>0.63</v>
      </c>
    </row>
    <row r="46" spans="1:18" x14ac:dyDescent="0.2">
      <c r="A46" t="s">
        <v>156</v>
      </c>
      <c r="B46" t="s">
        <v>157</v>
      </c>
      <c r="C46" t="str">
        <f t="shared" si="0"/>
        <v>Michelle Ramirez</v>
      </c>
      <c r="D46" t="s">
        <v>67</v>
      </c>
      <c r="E46" t="str">
        <f t="shared" si="1"/>
        <v>Female</v>
      </c>
      <c r="F46">
        <v>51</v>
      </c>
      <c r="G46" t="s">
        <v>32</v>
      </c>
      <c r="H46" t="s">
        <v>33</v>
      </c>
      <c r="I46" t="s">
        <v>104</v>
      </c>
      <c r="J46">
        <v>23</v>
      </c>
      <c r="K46" t="str" cm="1">
        <f t="array" ref="K46">_xlfn.IFS( J46&lt;=5,"0-5", J46&lt;=10,"6-10",J46&lt;=15,"11-15",J46&lt;=20,"16-20",J46&gt;20,"20+")</f>
        <v>20+</v>
      </c>
      <c r="L46">
        <v>20</v>
      </c>
      <c r="M46" s="2">
        <f t="shared" si="13"/>
        <v>20</v>
      </c>
      <c r="N46">
        <v>2.5</v>
      </c>
      <c r="O46" t="b">
        <v>0</v>
      </c>
      <c r="P46" t="s">
        <v>2074</v>
      </c>
      <c r="Q46" s="1">
        <v>0.8</v>
      </c>
      <c r="R46" s="1">
        <f t="shared" si="14"/>
        <v>0.8</v>
      </c>
    </row>
    <row r="47" spans="1:18" x14ac:dyDescent="0.2">
      <c r="A47" t="s">
        <v>158</v>
      </c>
      <c r="B47" t="s">
        <v>159</v>
      </c>
      <c r="C47" t="str">
        <f t="shared" si="0"/>
        <v>James Brown</v>
      </c>
      <c r="D47" t="s">
        <v>17</v>
      </c>
      <c r="E47" t="str">
        <f t="shared" si="1"/>
        <v>Male</v>
      </c>
      <c r="F47">
        <v>41</v>
      </c>
      <c r="G47" t="s">
        <v>143</v>
      </c>
      <c r="H47" t="s">
        <v>144</v>
      </c>
      <c r="I47" t="s">
        <v>25</v>
      </c>
      <c r="J47">
        <v>9</v>
      </c>
      <c r="K47" t="str" cm="1">
        <f t="array" ref="K47">_xlfn.IFS( J47&lt;=5,"0-5", J47&lt;=10,"6-10",J47&lt;=15,"11-15",J47&lt;=20,"16-20",J47&gt;20,"20+")</f>
        <v>6-10</v>
      </c>
      <c r="L47" t="s">
        <v>160</v>
      </c>
      <c r="M47" t="str">
        <f>SUBSTITUTE(L47,"$"," ")</f>
        <v xml:space="preserve"> 75</v>
      </c>
      <c r="N47">
        <v>4.9000000000000004</v>
      </c>
      <c r="O47">
        <v>1</v>
      </c>
      <c r="Q47" s="1">
        <v>0.74</v>
      </c>
      <c r="R47" s="1">
        <f t="shared" si="14"/>
        <v>0.74</v>
      </c>
    </row>
    <row r="48" spans="1:18" x14ac:dyDescent="0.2">
      <c r="A48" t="s">
        <v>161</v>
      </c>
      <c r="B48" t="s">
        <v>162</v>
      </c>
      <c r="C48" t="str">
        <f>_xlfn.TEXTAFTER(B48,".",)</f>
        <v xml:space="preserve"> Samantha Simmons</v>
      </c>
      <c r="D48" t="s">
        <v>67</v>
      </c>
      <c r="F48">
        <v>47</v>
      </c>
      <c r="G48" t="s">
        <v>129</v>
      </c>
      <c r="H48" t="s">
        <v>130</v>
      </c>
      <c r="I48" t="s">
        <v>79</v>
      </c>
      <c r="J48">
        <v>15</v>
      </c>
      <c r="K48" t="str" cm="1">
        <f t="array" ref="K48">_xlfn.IFS( J48&lt;=5,"0-5", J48&lt;=10,"6-10",J48&lt;=15,"11-15",J48&lt;=20,"16-20",J48&gt;20,"20+")</f>
        <v>11-15</v>
      </c>
      <c r="L48" t="s">
        <v>99</v>
      </c>
      <c r="M48" t="str">
        <f>_xlfn.TEXTAFTER(L48, " ")</f>
        <v>30</v>
      </c>
      <c r="N48">
        <v>4.5</v>
      </c>
      <c r="O48">
        <v>1</v>
      </c>
      <c r="Q48" s="1">
        <v>0.85</v>
      </c>
      <c r="R48" s="1">
        <f t="shared" si="14"/>
        <v>0.85</v>
      </c>
    </row>
    <row r="49" spans="1:18" x14ac:dyDescent="0.2">
      <c r="A49" t="s">
        <v>163</v>
      </c>
      <c r="B49" t="s">
        <v>164</v>
      </c>
      <c r="C49" t="str">
        <f t="shared" ref="C49:C112" si="15">B49</f>
        <v>Chase Mason</v>
      </c>
      <c r="D49" t="s">
        <v>17</v>
      </c>
      <c r="E49" t="str">
        <f t="shared" ref="E49:E112" si="16">IF(LOWER(LEFT(D49,1)) ="f", "Female", "Male")</f>
        <v>Male</v>
      </c>
      <c r="F49">
        <v>25</v>
      </c>
      <c r="G49" t="s">
        <v>165</v>
      </c>
      <c r="H49" t="s">
        <v>166</v>
      </c>
      <c r="I49" t="s">
        <v>20</v>
      </c>
      <c r="J49">
        <v>4</v>
      </c>
      <c r="K49" t="str" cm="1">
        <f t="array" ref="K49">_xlfn.IFS( J49&lt;=5,"0-5", J49&lt;=10,"6-10",J49&lt;=15,"11-15",J49&lt;=20,"16-20",J49&gt;20,"20+")</f>
        <v>0-5</v>
      </c>
      <c r="L49">
        <v>50</v>
      </c>
      <c r="M49" s="2">
        <f t="shared" ref="M49:M56" si="17">L49</f>
        <v>50</v>
      </c>
      <c r="N49">
        <v>2.7</v>
      </c>
      <c r="O49" t="s">
        <v>21</v>
      </c>
      <c r="P49" t="s">
        <v>2074</v>
      </c>
      <c r="Q49" s="1">
        <v>0.77</v>
      </c>
      <c r="R49" s="1">
        <f t="shared" si="14"/>
        <v>0.77</v>
      </c>
    </row>
    <row r="50" spans="1:18" x14ac:dyDescent="0.2">
      <c r="A50" t="s">
        <v>167</v>
      </c>
      <c r="B50" t="s">
        <v>168</v>
      </c>
      <c r="C50" t="str">
        <f t="shared" si="15"/>
        <v>Dominique Ward</v>
      </c>
      <c r="D50" t="s">
        <v>24</v>
      </c>
      <c r="E50" t="str">
        <f t="shared" si="16"/>
        <v>Female</v>
      </c>
      <c r="F50">
        <v>25</v>
      </c>
      <c r="G50" t="s">
        <v>169</v>
      </c>
      <c r="H50" t="s">
        <v>62</v>
      </c>
      <c r="I50" t="s">
        <v>13</v>
      </c>
      <c r="J50">
        <v>7</v>
      </c>
      <c r="K50" t="str" cm="1">
        <f t="array" ref="K50">_xlfn.IFS( J50&lt;=5,"0-5", J50&lt;=10,"6-10",J50&lt;=15,"11-15",J50&lt;=20,"16-20",J50&gt;20,"20+")</f>
        <v>6-10</v>
      </c>
      <c r="L50">
        <v>20</v>
      </c>
      <c r="M50" s="2">
        <f t="shared" si="17"/>
        <v>20</v>
      </c>
      <c r="N50">
        <v>1.9</v>
      </c>
      <c r="O50">
        <v>0</v>
      </c>
      <c r="P50" t="s">
        <v>2074</v>
      </c>
    </row>
    <row r="51" spans="1:18" x14ac:dyDescent="0.2">
      <c r="A51" t="s">
        <v>170</v>
      </c>
      <c r="B51" t="s">
        <v>171</v>
      </c>
      <c r="C51" t="str">
        <f t="shared" si="15"/>
        <v>Lance Griffin</v>
      </c>
      <c r="D51" t="s">
        <v>38</v>
      </c>
      <c r="E51" t="str">
        <f t="shared" si="16"/>
        <v>Male</v>
      </c>
      <c r="F51">
        <v>29</v>
      </c>
      <c r="G51" t="s">
        <v>32</v>
      </c>
      <c r="H51" t="s">
        <v>33</v>
      </c>
      <c r="I51" t="s">
        <v>63</v>
      </c>
      <c r="J51">
        <v>1</v>
      </c>
      <c r="K51" t="str" cm="1">
        <f t="array" ref="K51">_xlfn.IFS( J51&lt;=5,"0-5", J51&lt;=10,"6-10",J51&lt;=15,"11-15",J51&lt;=20,"16-20",J51&gt;20,"20+")</f>
        <v>0-5</v>
      </c>
      <c r="L51">
        <v>20</v>
      </c>
      <c r="M51" s="2">
        <f t="shared" si="17"/>
        <v>20</v>
      </c>
      <c r="N51">
        <v>1.4</v>
      </c>
      <c r="O51">
        <v>1</v>
      </c>
      <c r="P51" t="s">
        <v>2075</v>
      </c>
      <c r="Q51" s="1">
        <v>0.63</v>
      </c>
      <c r="R51" s="1">
        <f t="shared" ref="R51:R52" si="18">Q51</f>
        <v>0.63</v>
      </c>
    </row>
    <row r="52" spans="1:18" x14ac:dyDescent="0.2">
      <c r="A52" t="s">
        <v>172</v>
      </c>
      <c r="B52" t="s">
        <v>173</v>
      </c>
      <c r="C52" t="str">
        <f t="shared" si="15"/>
        <v>Julie Burgess</v>
      </c>
      <c r="D52" t="s">
        <v>10</v>
      </c>
      <c r="E52" t="str">
        <f t="shared" si="16"/>
        <v>Female</v>
      </c>
      <c r="F52">
        <v>23</v>
      </c>
      <c r="G52" t="s">
        <v>61</v>
      </c>
      <c r="H52" t="s">
        <v>62</v>
      </c>
      <c r="I52" t="s">
        <v>68</v>
      </c>
      <c r="J52">
        <v>0</v>
      </c>
      <c r="K52" t="str" cm="1">
        <f t="array" ref="K52">_xlfn.IFS( J52&lt;=5,"0-5", J52&lt;=10,"6-10",J52&lt;=15,"11-15",J52&lt;=20,"16-20",J52&gt;20,"20+")</f>
        <v>0-5</v>
      </c>
      <c r="L52">
        <v>75</v>
      </c>
      <c r="M52" s="2">
        <f t="shared" si="17"/>
        <v>75</v>
      </c>
      <c r="N52">
        <v>1.9</v>
      </c>
      <c r="O52" t="b">
        <v>1</v>
      </c>
      <c r="P52" t="s">
        <v>2075</v>
      </c>
      <c r="Q52" s="1">
        <v>0.79</v>
      </c>
      <c r="R52" s="1">
        <f t="shared" si="18"/>
        <v>0.79</v>
      </c>
    </row>
    <row r="53" spans="1:18" x14ac:dyDescent="0.2">
      <c r="A53" t="s">
        <v>174</v>
      </c>
      <c r="B53" t="s">
        <v>175</v>
      </c>
      <c r="C53" t="str">
        <f t="shared" si="15"/>
        <v>Don Scott</v>
      </c>
      <c r="D53" t="s">
        <v>17</v>
      </c>
      <c r="E53" t="str">
        <f t="shared" si="16"/>
        <v>Male</v>
      </c>
      <c r="F53">
        <v>31</v>
      </c>
      <c r="G53" t="s">
        <v>125</v>
      </c>
      <c r="H53" t="s">
        <v>126</v>
      </c>
      <c r="I53" t="s">
        <v>41</v>
      </c>
      <c r="J53">
        <v>8</v>
      </c>
      <c r="K53" t="str" cm="1">
        <f t="array" ref="K53">_xlfn.IFS( J53&lt;=5,"0-5", J53&lt;=10,"6-10",J53&lt;=15,"11-15",J53&lt;=20,"16-20",J53&gt;20,"20+")</f>
        <v>6-10</v>
      </c>
      <c r="L53">
        <v>50</v>
      </c>
      <c r="M53" s="2">
        <f t="shared" si="17"/>
        <v>50</v>
      </c>
      <c r="N53">
        <v>3.4</v>
      </c>
      <c r="O53">
        <v>0</v>
      </c>
      <c r="P53" t="s">
        <v>2074</v>
      </c>
    </row>
    <row r="54" spans="1:18" x14ac:dyDescent="0.2">
      <c r="A54" t="s">
        <v>176</v>
      </c>
      <c r="B54" t="s">
        <v>177</v>
      </c>
      <c r="C54" t="str">
        <f t="shared" si="15"/>
        <v>Kyle Atkinson</v>
      </c>
      <c r="D54" t="s">
        <v>87</v>
      </c>
      <c r="E54" t="str">
        <f t="shared" si="16"/>
        <v>Male</v>
      </c>
      <c r="F54">
        <v>51</v>
      </c>
      <c r="G54" t="s">
        <v>18</v>
      </c>
      <c r="H54" t="s">
        <v>19</v>
      </c>
      <c r="I54" t="s">
        <v>104</v>
      </c>
      <c r="J54">
        <v>33</v>
      </c>
      <c r="K54" t="str" cm="1">
        <f t="array" ref="K54">_xlfn.IFS( J54&lt;=5,"0-5", J54&lt;=10,"6-10",J54&lt;=15,"11-15",J54&lt;=20,"16-20",J54&gt;20,"20+")</f>
        <v>20+</v>
      </c>
      <c r="L54">
        <v>75</v>
      </c>
      <c r="M54" s="2">
        <f t="shared" si="17"/>
        <v>75</v>
      </c>
      <c r="N54">
        <v>3.3</v>
      </c>
      <c r="Q54" s="1">
        <v>0.68</v>
      </c>
      <c r="R54" s="1">
        <f t="shared" ref="R54:R61" si="19">Q54</f>
        <v>0.68</v>
      </c>
    </row>
    <row r="55" spans="1:18" x14ac:dyDescent="0.2">
      <c r="A55" t="s">
        <v>178</v>
      </c>
      <c r="B55" t="s">
        <v>179</v>
      </c>
      <c r="C55" t="str">
        <f t="shared" si="15"/>
        <v>Jimmy Hogan</v>
      </c>
      <c r="D55" t="s">
        <v>38</v>
      </c>
      <c r="E55" t="str">
        <f t="shared" si="16"/>
        <v>Male</v>
      </c>
      <c r="G55" t="s">
        <v>180</v>
      </c>
      <c r="H55" t="s">
        <v>62</v>
      </c>
      <c r="I55" t="s">
        <v>63</v>
      </c>
      <c r="J55">
        <v>1</v>
      </c>
      <c r="K55" t="str" cm="1">
        <f t="array" ref="K55">_xlfn.IFS( J55&lt;=5,"0-5", J55&lt;=10,"6-10",J55&lt;=15,"11-15",J55&lt;=20,"16-20",J55&gt;20,"20+")</f>
        <v>0-5</v>
      </c>
      <c r="L55">
        <v>30</v>
      </c>
      <c r="M55" s="2">
        <f t="shared" si="17"/>
        <v>30</v>
      </c>
      <c r="N55">
        <v>0</v>
      </c>
      <c r="O55">
        <v>0</v>
      </c>
      <c r="P55" t="s">
        <v>2074</v>
      </c>
      <c r="Q55" s="1">
        <v>0.68</v>
      </c>
      <c r="R55" s="1">
        <f t="shared" si="19"/>
        <v>0.68</v>
      </c>
    </row>
    <row r="56" spans="1:18" x14ac:dyDescent="0.2">
      <c r="A56" t="s">
        <v>181</v>
      </c>
      <c r="B56" t="s">
        <v>182</v>
      </c>
      <c r="C56" t="str">
        <f t="shared" si="15"/>
        <v>Jennifer Mcintyre</v>
      </c>
      <c r="D56" t="s">
        <v>4</v>
      </c>
      <c r="E56" t="str">
        <f t="shared" si="16"/>
        <v>Female</v>
      </c>
      <c r="F56">
        <v>29</v>
      </c>
      <c r="G56" t="s">
        <v>52</v>
      </c>
      <c r="H56" t="s">
        <v>53</v>
      </c>
      <c r="I56" t="s">
        <v>68</v>
      </c>
      <c r="J56">
        <v>11</v>
      </c>
      <c r="K56" t="str" cm="1">
        <f t="array" ref="K56">_xlfn.IFS( J56&lt;=5,"0-5", J56&lt;=10,"6-10",J56&lt;=15,"11-15",J56&lt;=20,"16-20",J56&gt;20,"20+")</f>
        <v>11-15</v>
      </c>
      <c r="L56">
        <v>100</v>
      </c>
      <c r="M56" s="2">
        <f t="shared" si="17"/>
        <v>100</v>
      </c>
      <c r="N56">
        <v>2.2999999999999998</v>
      </c>
      <c r="O56" t="b">
        <v>1</v>
      </c>
      <c r="P56" t="s">
        <v>2075</v>
      </c>
      <c r="Q56" s="1">
        <v>0.72</v>
      </c>
      <c r="R56" s="1">
        <f t="shared" si="19"/>
        <v>0.72</v>
      </c>
    </row>
    <row r="57" spans="1:18" x14ac:dyDescent="0.2">
      <c r="A57" t="s">
        <v>183</v>
      </c>
      <c r="B57" t="s">
        <v>184</v>
      </c>
      <c r="C57" t="str">
        <f t="shared" si="15"/>
        <v>Larry Simpson</v>
      </c>
      <c r="D57" t="s">
        <v>38</v>
      </c>
      <c r="E57" t="str">
        <f t="shared" si="16"/>
        <v>Male</v>
      </c>
      <c r="F57">
        <v>50</v>
      </c>
      <c r="G57" t="s">
        <v>57</v>
      </c>
      <c r="H57" t="s">
        <v>12</v>
      </c>
      <c r="I57" t="s">
        <v>34</v>
      </c>
      <c r="J57">
        <v>15</v>
      </c>
      <c r="K57" t="str" cm="1">
        <f t="array" ref="K57">_xlfn.IFS( J57&lt;=5,"0-5", J57&lt;=10,"6-10",J57&lt;=15,"11-15",J57&lt;=20,"16-20",J57&gt;20,"20+")</f>
        <v>11-15</v>
      </c>
      <c r="M57"/>
      <c r="N57">
        <v>2</v>
      </c>
      <c r="O57" t="s">
        <v>58</v>
      </c>
      <c r="Q57" s="1">
        <v>0.65</v>
      </c>
      <c r="R57" s="1">
        <f t="shared" si="19"/>
        <v>0.65</v>
      </c>
    </row>
    <row r="58" spans="1:18" x14ac:dyDescent="0.2">
      <c r="A58" t="s">
        <v>185</v>
      </c>
      <c r="B58" t="s">
        <v>186</v>
      </c>
      <c r="C58" t="str">
        <f t="shared" si="15"/>
        <v>Laura Price</v>
      </c>
      <c r="D58" t="s">
        <v>4</v>
      </c>
      <c r="E58" t="str">
        <f t="shared" si="16"/>
        <v>Female</v>
      </c>
      <c r="F58">
        <v>26</v>
      </c>
      <c r="G58" t="s">
        <v>57</v>
      </c>
      <c r="H58" t="s">
        <v>12</v>
      </c>
      <c r="I58" t="s">
        <v>79</v>
      </c>
      <c r="J58">
        <v>8</v>
      </c>
      <c r="K58" t="str" cm="1">
        <f t="array" ref="K58">_xlfn.IFS( J58&lt;=5,"0-5", J58&lt;=10,"6-10",J58&lt;=15,"11-15",J58&lt;=20,"16-20",J58&gt;20,"20+")</f>
        <v>6-10</v>
      </c>
      <c r="L58">
        <v>50</v>
      </c>
      <c r="M58" s="2">
        <f>L58</f>
        <v>50</v>
      </c>
      <c r="N58">
        <v>1.3</v>
      </c>
      <c r="O58" t="b">
        <v>0</v>
      </c>
      <c r="P58" t="s">
        <v>2074</v>
      </c>
      <c r="Q58" s="1">
        <v>0.76</v>
      </c>
      <c r="R58" s="1">
        <f t="shared" si="19"/>
        <v>0.76</v>
      </c>
    </row>
    <row r="59" spans="1:18" x14ac:dyDescent="0.2">
      <c r="A59" t="s">
        <v>187</v>
      </c>
      <c r="B59" t="s">
        <v>188</v>
      </c>
      <c r="C59" t="str">
        <f t="shared" si="15"/>
        <v>Mark Wright</v>
      </c>
      <c r="D59" t="s">
        <v>87</v>
      </c>
      <c r="E59" t="str">
        <f t="shared" si="16"/>
        <v>Male</v>
      </c>
      <c r="F59">
        <v>38</v>
      </c>
      <c r="G59" t="s">
        <v>118</v>
      </c>
      <c r="H59" t="s">
        <v>12</v>
      </c>
      <c r="I59" t="s">
        <v>34</v>
      </c>
      <c r="J59">
        <v>17</v>
      </c>
      <c r="K59" t="str" cm="1">
        <f t="array" ref="K59">_xlfn.IFS( J59&lt;=5,"0-5", J59&lt;=10,"6-10",J59&lt;=15,"11-15",J59&lt;=20,"16-20",J59&gt;20,"20+")</f>
        <v>16-20</v>
      </c>
      <c r="L59" t="s">
        <v>45</v>
      </c>
      <c r="M59" t="str">
        <f>_xlfn.TEXTAFTER(L59, " ")</f>
        <v>40</v>
      </c>
      <c r="N59">
        <v>4</v>
      </c>
      <c r="O59" t="b">
        <v>1</v>
      </c>
      <c r="Q59" s="1">
        <v>0.9</v>
      </c>
      <c r="R59" s="1">
        <f t="shared" si="19"/>
        <v>0.9</v>
      </c>
    </row>
    <row r="60" spans="1:18" x14ac:dyDescent="0.2">
      <c r="A60" t="s">
        <v>189</v>
      </c>
      <c r="B60" t="s">
        <v>190</v>
      </c>
      <c r="C60" t="str">
        <f t="shared" si="15"/>
        <v>Samantha Mcdaniel</v>
      </c>
      <c r="D60" t="s">
        <v>10</v>
      </c>
      <c r="E60" t="str">
        <f t="shared" si="16"/>
        <v>Female</v>
      </c>
      <c r="F60">
        <v>23</v>
      </c>
      <c r="G60" t="s">
        <v>83</v>
      </c>
      <c r="H60" t="s">
        <v>84</v>
      </c>
      <c r="I60" t="s">
        <v>13</v>
      </c>
      <c r="K60" t="str" cm="1">
        <f t="array" ref="K60">_xlfn.IFS( J60&lt;=5,"0-5", J60&lt;=10,"6-10",J60&lt;=15,"11-15",J60&lt;=20,"16-20",J60&gt;20,"20+")</f>
        <v>0-5</v>
      </c>
      <c r="L60">
        <v>75</v>
      </c>
      <c r="M60" s="2">
        <f t="shared" ref="M60:M61" si="20">L60</f>
        <v>75</v>
      </c>
      <c r="N60">
        <v>3.6</v>
      </c>
      <c r="O60">
        <v>1</v>
      </c>
      <c r="P60" t="s">
        <v>2075</v>
      </c>
      <c r="Q60" s="1">
        <v>0.65</v>
      </c>
      <c r="R60" s="1">
        <f t="shared" si="19"/>
        <v>0.65</v>
      </c>
    </row>
    <row r="61" spans="1:18" x14ac:dyDescent="0.2">
      <c r="A61" t="s">
        <v>191</v>
      </c>
      <c r="B61" t="s">
        <v>192</v>
      </c>
      <c r="C61" t="str">
        <f t="shared" si="15"/>
        <v>Barbara Foster</v>
      </c>
      <c r="D61" t="s">
        <v>67</v>
      </c>
      <c r="E61" t="str">
        <f t="shared" si="16"/>
        <v>Female</v>
      </c>
      <c r="F61">
        <v>51</v>
      </c>
      <c r="G61" t="s">
        <v>143</v>
      </c>
      <c r="H61" t="s">
        <v>144</v>
      </c>
      <c r="I61" t="s">
        <v>79</v>
      </c>
      <c r="J61">
        <v>28</v>
      </c>
      <c r="K61" t="str" cm="1">
        <f t="array" ref="K61">_xlfn.IFS( J61&lt;=5,"0-5", J61&lt;=10,"6-10",J61&lt;=15,"11-15",J61&lt;=20,"16-20",J61&gt;20,"20+")</f>
        <v>20+</v>
      </c>
      <c r="L61">
        <v>40</v>
      </c>
      <c r="M61" s="2">
        <f t="shared" si="20"/>
        <v>40</v>
      </c>
      <c r="N61">
        <v>3.9</v>
      </c>
      <c r="O61">
        <v>0</v>
      </c>
      <c r="P61" t="s">
        <v>2074</v>
      </c>
      <c r="Q61" s="1">
        <v>0.63</v>
      </c>
      <c r="R61" s="1">
        <f t="shared" si="19"/>
        <v>0.63</v>
      </c>
    </row>
    <row r="62" spans="1:18" x14ac:dyDescent="0.2">
      <c r="A62" t="s">
        <v>193</v>
      </c>
      <c r="B62" t="s">
        <v>194</v>
      </c>
      <c r="C62" t="str">
        <f t="shared" si="15"/>
        <v>Courtney Tran</v>
      </c>
      <c r="D62" t="s">
        <v>24</v>
      </c>
      <c r="E62" t="str">
        <f t="shared" si="16"/>
        <v>Female</v>
      </c>
      <c r="F62">
        <v>51</v>
      </c>
      <c r="G62" t="s">
        <v>39</v>
      </c>
      <c r="H62" t="s">
        <v>40</v>
      </c>
      <c r="I62" t="s">
        <v>34</v>
      </c>
      <c r="J62">
        <v>33</v>
      </c>
      <c r="K62" t="str" cm="1">
        <f t="array" ref="K62">_xlfn.IFS( J62&lt;=5,"0-5", J62&lt;=10,"6-10",J62&lt;=15,"11-15",J62&lt;=20,"16-20",J62&gt;20,"20+")</f>
        <v>20+</v>
      </c>
      <c r="L62" t="s">
        <v>160</v>
      </c>
      <c r="M62" t="str">
        <f>SUBSTITUTE(L62,"$"," ")</f>
        <v xml:space="preserve"> 75</v>
      </c>
      <c r="N62">
        <v>0</v>
      </c>
      <c r="O62" t="b">
        <v>1</v>
      </c>
    </row>
    <row r="63" spans="1:18" x14ac:dyDescent="0.2">
      <c r="A63" t="s">
        <v>195</v>
      </c>
      <c r="B63" t="s">
        <v>196</v>
      </c>
      <c r="C63" t="str">
        <f t="shared" si="15"/>
        <v>Eddie Todd</v>
      </c>
      <c r="D63" t="s">
        <v>87</v>
      </c>
      <c r="E63" t="str">
        <f t="shared" si="16"/>
        <v>Male</v>
      </c>
      <c r="F63">
        <v>47</v>
      </c>
      <c r="G63" t="s">
        <v>18</v>
      </c>
      <c r="H63" t="s">
        <v>19</v>
      </c>
      <c r="I63" t="s">
        <v>34</v>
      </c>
      <c r="J63">
        <v>18</v>
      </c>
      <c r="K63" t="str" cm="1">
        <f t="array" ref="K63">_xlfn.IFS( J63&lt;=5,"0-5", J63&lt;=10,"6-10",J63&lt;=15,"11-15",J63&lt;=20,"16-20",J63&gt;20,"20+")</f>
        <v>16-20</v>
      </c>
      <c r="L63">
        <v>75</v>
      </c>
      <c r="M63" s="2">
        <f>L63</f>
        <v>75</v>
      </c>
      <c r="N63">
        <v>0</v>
      </c>
      <c r="O63">
        <v>0</v>
      </c>
      <c r="P63" t="s">
        <v>2074</v>
      </c>
    </row>
    <row r="64" spans="1:18" x14ac:dyDescent="0.2">
      <c r="A64" t="s">
        <v>197</v>
      </c>
      <c r="B64" t="s">
        <v>198</v>
      </c>
      <c r="C64" t="str">
        <f t="shared" si="15"/>
        <v>Christine Johnson</v>
      </c>
      <c r="D64" t="s">
        <v>67</v>
      </c>
      <c r="E64" t="str">
        <f t="shared" si="16"/>
        <v>Female</v>
      </c>
      <c r="F64">
        <v>34</v>
      </c>
      <c r="G64" t="s">
        <v>114</v>
      </c>
      <c r="H64" t="s">
        <v>115</v>
      </c>
      <c r="I64" t="s">
        <v>63</v>
      </c>
      <c r="J64">
        <v>16</v>
      </c>
      <c r="K64" t="str" cm="1">
        <f t="array" ref="K64">_xlfn.IFS( J64&lt;=5,"0-5", J64&lt;=10,"6-10",J64&lt;=15,"11-15",J64&lt;=20,"16-20",J64&gt;20,"20+")</f>
        <v>16-20</v>
      </c>
      <c r="L64" t="s">
        <v>111</v>
      </c>
      <c r="M64" t="str">
        <f>SUBSTITUTE(L64,"$"," ")</f>
        <v xml:space="preserve"> 20</v>
      </c>
      <c r="N64">
        <v>2.2999999999999998</v>
      </c>
      <c r="O64" t="s">
        <v>58</v>
      </c>
      <c r="Q64" s="1">
        <v>0.93</v>
      </c>
      <c r="R64" s="1">
        <f t="shared" ref="R64:R66" si="21">Q64</f>
        <v>0.93</v>
      </c>
    </row>
    <row r="65" spans="1:18" x14ac:dyDescent="0.2">
      <c r="A65" t="s">
        <v>199</v>
      </c>
      <c r="B65" t="s">
        <v>200</v>
      </c>
      <c r="C65" t="str">
        <f t="shared" si="15"/>
        <v>Leah Phelps</v>
      </c>
      <c r="D65" t="s">
        <v>4</v>
      </c>
      <c r="E65" t="str">
        <f t="shared" si="16"/>
        <v>Female</v>
      </c>
      <c r="F65">
        <v>58</v>
      </c>
      <c r="G65" t="s">
        <v>39</v>
      </c>
      <c r="H65" t="s">
        <v>40</v>
      </c>
      <c r="I65" t="s">
        <v>41</v>
      </c>
      <c r="J65">
        <v>35</v>
      </c>
      <c r="K65" t="str" cm="1">
        <f t="array" ref="K65">_xlfn.IFS( J65&lt;=5,"0-5", J65&lt;=10,"6-10",J65&lt;=15,"11-15",J65&lt;=20,"16-20",J65&gt;20,"20+")</f>
        <v>20+</v>
      </c>
      <c r="L65" t="s">
        <v>88</v>
      </c>
      <c r="M65" t="str">
        <f>_xlfn.TEXTAFTER(L65, " ")</f>
        <v>50</v>
      </c>
      <c r="N65">
        <v>4.7</v>
      </c>
      <c r="O65" t="s">
        <v>149</v>
      </c>
      <c r="Q65" s="1">
        <v>0.7</v>
      </c>
      <c r="R65" s="1">
        <f t="shared" si="21"/>
        <v>0.7</v>
      </c>
    </row>
    <row r="66" spans="1:18" x14ac:dyDescent="0.2">
      <c r="A66" t="s">
        <v>201</v>
      </c>
      <c r="B66" t="s">
        <v>202</v>
      </c>
      <c r="C66" t="str">
        <f t="shared" si="15"/>
        <v>Rebekah Williams</v>
      </c>
      <c r="D66" t="s">
        <v>24</v>
      </c>
      <c r="E66" t="str">
        <f t="shared" si="16"/>
        <v>Female</v>
      </c>
      <c r="F66">
        <v>50</v>
      </c>
      <c r="G66" t="s">
        <v>114</v>
      </c>
      <c r="H66" t="s">
        <v>115</v>
      </c>
      <c r="I66" t="s">
        <v>34</v>
      </c>
      <c r="J66">
        <v>14</v>
      </c>
      <c r="K66" t="str" cm="1">
        <f t="array" ref="K66">_xlfn.IFS( J66&lt;=5,"0-5", J66&lt;=10,"6-10",J66&lt;=15,"11-15",J66&lt;=20,"16-20",J66&gt;20,"20+")</f>
        <v>11-15</v>
      </c>
      <c r="M66"/>
      <c r="N66">
        <v>3.5</v>
      </c>
      <c r="O66" t="s">
        <v>64</v>
      </c>
      <c r="Q66" s="1">
        <v>0.83</v>
      </c>
      <c r="R66" s="1">
        <f t="shared" si="21"/>
        <v>0.83</v>
      </c>
    </row>
    <row r="67" spans="1:18" x14ac:dyDescent="0.2">
      <c r="A67" t="s">
        <v>203</v>
      </c>
      <c r="B67" t="s">
        <v>204</v>
      </c>
      <c r="C67" t="str">
        <f t="shared" si="15"/>
        <v>Crystal Wilson</v>
      </c>
      <c r="D67" t="s">
        <v>10</v>
      </c>
      <c r="E67" t="str">
        <f t="shared" si="16"/>
        <v>Female</v>
      </c>
      <c r="F67">
        <v>34</v>
      </c>
      <c r="G67" t="s">
        <v>180</v>
      </c>
      <c r="H67" t="s">
        <v>62</v>
      </c>
      <c r="I67" t="s">
        <v>25</v>
      </c>
      <c r="J67">
        <v>12</v>
      </c>
      <c r="K67" t="str" cm="1">
        <f t="array" ref="K67">_xlfn.IFS( J67&lt;=5,"0-5", J67&lt;=10,"6-10",J67&lt;=15,"11-15",J67&lt;=20,"16-20",J67&gt;20,"20+")</f>
        <v>11-15</v>
      </c>
      <c r="L67">
        <v>40</v>
      </c>
      <c r="M67" s="2">
        <f>L67</f>
        <v>40</v>
      </c>
      <c r="N67">
        <v>2.4</v>
      </c>
      <c r="O67">
        <v>1</v>
      </c>
      <c r="P67" t="s">
        <v>2075</v>
      </c>
      <c r="Q67">
        <v>64</v>
      </c>
      <c r="R67" s="3">
        <f>Q67/100</f>
        <v>0.64</v>
      </c>
    </row>
    <row r="68" spans="1:18" x14ac:dyDescent="0.2">
      <c r="A68" t="s">
        <v>205</v>
      </c>
      <c r="B68" t="s">
        <v>206</v>
      </c>
      <c r="C68" t="str">
        <f t="shared" si="15"/>
        <v>Ashley Cordova</v>
      </c>
      <c r="D68" t="s">
        <v>67</v>
      </c>
      <c r="E68" t="str">
        <f t="shared" si="16"/>
        <v>Female</v>
      </c>
      <c r="F68">
        <v>45</v>
      </c>
      <c r="G68" t="s">
        <v>97</v>
      </c>
      <c r="H68" t="s">
        <v>98</v>
      </c>
      <c r="I68" t="s">
        <v>34</v>
      </c>
      <c r="J68">
        <v>11</v>
      </c>
      <c r="K68" t="str" cm="1">
        <f t="array" ref="K68">_xlfn.IFS( J68&lt;=5,"0-5", J68&lt;=10,"6-10",J68&lt;=15,"11-15",J68&lt;=20,"16-20",J68&gt;20,"20+")</f>
        <v>11-15</v>
      </c>
      <c r="L68" t="s">
        <v>42</v>
      </c>
      <c r="M68" t="str">
        <f>_xlfn.TEXTAFTER(L68, " ")</f>
        <v>75</v>
      </c>
      <c r="N68">
        <v>4</v>
      </c>
      <c r="O68" t="s">
        <v>21</v>
      </c>
      <c r="Q68" s="1">
        <v>1</v>
      </c>
      <c r="R68" s="1">
        <f>Q68</f>
        <v>1</v>
      </c>
    </row>
    <row r="69" spans="1:18" x14ac:dyDescent="0.2">
      <c r="A69" t="s">
        <v>207</v>
      </c>
      <c r="B69" t="s">
        <v>208</v>
      </c>
      <c r="C69" t="str">
        <f t="shared" si="15"/>
        <v>Vicki Kelly</v>
      </c>
      <c r="D69" t="s">
        <v>10</v>
      </c>
      <c r="E69" t="str">
        <f t="shared" si="16"/>
        <v>Female</v>
      </c>
      <c r="F69">
        <v>55</v>
      </c>
      <c r="G69" t="s">
        <v>97</v>
      </c>
      <c r="H69" t="s">
        <v>98</v>
      </c>
      <c r="I69" t="s">
        <v>25</v>
      </c>
      <c r="J69">
        <v>0</v>
      </c>
      <c r="K69" t="str" cm="1">
        <f t="array" ref="K69">_xlfn.IFS( J69&lt;=5,"0-5", J69&lt;=10,"6-10",J69&lt;=15,"11-15",J69&lt;=20,"16-20",J69&gt;20,"20+")</f>
        <v>0-5</v>
      </c>
      <c r="L69" t="s">
        <v>26</v>
      </c>
      <c r="M69" t="str">
        <f>SUBSTITUTE(L69,"$"," ")</f>
        <v xml:space="preserve"> 40</v>
      </c>
      <c r="N69">
        <v>0</v>
      </c>
      <c r="O69" t="b">
        <v>1</v>
      </c>
    </row>
    <row r="70" spans="1:18" x14ac:dyDescent="0.2">
      <c r="A70" t="s">
        <v>209</v>
      </c>
      <c r="B70" t="s">
        <v>210</v>
      </c>
      <c r="C70" t="str">
        <f t="shared" si="15"/>
        <v>Corey Warren</v>
      </c>
      <c r="D70" t="s">
        <v>38</v>
      </c>
      <c r="E70" t="str">
        <f t="shared" si="16"/>
        <v>Male</v>
      </c>
      <c r="G70" t="s">
        <v>61</v>
      </c>
      <c r="H70" t="s">
        <v>62</v>
      </c>
      <c r="I70" t="s">
        <v>63</v>
      </c>
      <c r="J70">
        <v>6</v>
      </c>
      <c r="K70" t="str" cm="1">
        <f t="array" ref="K70">_xlfn.IFS( J70&lt;=5,"0-5", J70&lt;=10,"6-10",J70&lt;=15,"11-15",J70&lt;=20,"16-20",J70&gt;20,"20+")</f>
        <v>6-10</v>
      </c>
      <c r="L70">
        <v>100</v>
      </c>
      <c r="M70" s="2">
        <f>L70</f>
        <v>100</v>
      </c>
      <c r="N70">
        <v>1.5</v>
      </c>
      <c r="O70" t="b">
        <v>0</v>
      </c>
      <c r="P70" t="s">
        <v>2074</v>
      </c>
    </row>
    <row r="71" spans="1:18" x14ac:dyDescent="0.2">
      <c r="A71" t="s">
        <v>211</v>
      </c>
      <c r="B71" t="s">
        <v>212</v>
      </c>
      <c r="C71" t="str">
        <f t="shared" si="15"/>
        <v>Gina Thompson</v>
      </c>
      <c r="D71" t="s">
        <v>10</v>
      </c>
      <c r="E71" t="str">
        <f t="shared" si="16"/>
        <v>Female</v>
      </c>
      <c r="F71">
        <v>60</v>
      </c>
      <c r="G71" t="s">
        <v>165</v>
      </c>
      <c r="H71" t="s">
        <v>166</v>
      </c>
      <c r="I71" t="s">
        <v>63</v>
      </c>
      <c r="J71">
        <v>38</v>
      </c>
      <c r="K71" t="str" cm="1">
        <f t="array" ref="K71">_xlfn.IFS( J71&lt;=5,"0-5", J71&lt;=10,"6-10",J71&lt;=15,"11-15",J71&lt;=20,"16-20",J71&gt;20,"20+")</f>
        <v>20+</v>
      </c>
      <c r="L71" t="s">
        <v>111</v>
      </c>
      <c r="M71" t="str">
        <f>SUBSTITUTE(L71,"$"," ")</f>
        <v xml:space="preserve"> 20</v>
      </c>
      <c r="N71">
        <v>2</v>
      </c>
      <c r="O71" t="s">
        <v>149</v>
      </c>
      <c r="Q71" s="1">
        <v>0.71</v>
      </c>
      <c r="R71" s="1">
        <f t="shared" ref="R71:R72" si="22">Q71</f>
        <v>0.71</v>
      </c>
    </row>
    <row r="72" spans="1:18" x14ac:dyDescent="0.2">
      <c r="A72" t="s">
        <v>213</v>
      </c>
      <c r="B72" t="s">
        <v>214</v>
      </c>
      <c r="C72" t="str">
        <f t="shared" si="15"/>
        <v>Yvonne Berg</v>
      </c>
      <c r="D72" t="s">
        <v>4</v>
      </c>
      <c r="E72" t="str">
        <f t="shared" si="16"/>
        <v>Female</v>
      </c>
      <c r="F72">
        <v>33</v>
      </c>
      <c r="G72" t="s">
        <v>143</v>
      </c>
      <c r="H72" t="s">
        <v>144</v>
      </c>
      <c r="I72" t="s">
        <v>13</v>
      </c>
      <c r="J72">
        <v>11</v>
      </c>
      <c r="K72" t="str" cm="1">
        <f t="array" ref="K72">_xlfn.IFS( J72&lt;=5,"0-5", J72&lt;=10,"6-10",J72&lt;=15,"11-15",J72&lt;=20,"16-20",J72&gt;20,"20+")</f>
        <v>11-15</v>
      </c>
      <c r="M72"/>
      <c r="O72" t="s">
        <v>58</v>
      </c>
      <c r="Q72" s="1">
        <v>0.84</v>
      </c>
      <c r="R72" s="1">
        <f t="shared" si="22"/>
        <v>0.84</v>
      </c>
    </row>
    <row r="73" spans="1:18" x14ac:dyDescent="0.2">
      <c r="A73" t="s">
        <v>215</v>
      </c>
      <c r="B73" t="s">
        <v>216</v>
      </c>
      <c r="C73" t="str">
        <f t="shared" si="15"/>
        <v>Thomas Miller</v>
      </c>
      <c r="D73" t="s">
        <v>82</v>
      </c>
      <c r="E73" t="str">
        <f t="shared" si="16"/>
        <v>Male</v>
      </c>
      <c r="F73">
        <v>60</v>
      </c>
      <c r="G73" t="s">
        <v>5</v>
      </c>
      <c r="H73" t="s">
        <v>6</v>
      </c>
      <c r="I73" t="s">
        <v>79</v>
      </c>
      <c r="J73">
        <v>13</v>
      </c>
      <c r="K73" t="str" cm="1">
        <f t="array" ref="K73">_xlfn.IFS( J73&lt;=5,"0-5", J73&lt;=10,"6-10",J73&lt;=15,"11-15",J73&lt;=20,"16-20",J73&gt;20,"20+")</f>
        <v>11-15</v>
      </c>
      <c r="L73" t="s">
        <v>88</v>
      </c>
      <c r="M73" t="str">
        <f>_xlfn.TEXTAFTER(L73, " ")</f>
        <v>50</v>
      </c>
      <c r="N73">
        <v>1</v>
      </c>
      <c r="O73" t="b">
        <v>0</v>
      </c>
    </row>
    <row r="74" spans="1:18" x14ac:dyDescent="0.2">
      <c r="A74" t="s">
        <v>217</v>
      </c>
      <c r="B74" t="s">
        <v>218</v>
      </c>
      <c r="C74" t="str">
        <f t="shared" si="15"/>
        <v>Nicholas Burton</v>
      </c>
      <c r="D74" t="s">
        <v>51</v>
      </c>
      <c r="E74" t="str">
        <f t="shared" si="16"/>
        <v>Male</v>
      </c>
      <c r="F74">
        <v>40</v>
      </c>
      <c r="G74" t="s">
        <v>48</v>
      </c>
      <c r="H74" t="s">
        <v>12</v>
      </c>
      <c r="I74" t="s">
        <v>25</v>
      </c>
      <c r="J74">
        <v>9</v>
      </c>
      <c r="K74" t="str" cm="1">
        <f t="array" ref="K74">_xlfn.IFS( J74&lt;=5,"0-5", J74&lt;=10,"6-10",J74&lt;=15,"11-15",J74&lt;=20,"16-20",J74&gt;20,"20+")</f>
        <v>6-10</v>
      </c>
      <c r="L74" t="s">
        <v>219</v>
      </c>
      <c r="M74" t="str">
        <f>SUBSTITUTE(L74,"$"," ")</f>
        <v xml:space="preserve"> 100</v>
      </c>
      <c r="N74">
        <v>4.5</v>
      </c>
      <c r="O74" t="s">
        <v>58</v>
      </c>
      <c r="Q74" s="1">
        <v>0.69</v>
      </c>
      <c r="R74" s="1">
        <f>Q74</f>
        <v>0.69</v>
      </c>
    </row>
    <row r="75" spans="1:18" x14ac:dyDescent="0.2">
      <c r="A75" t="s">
        <v>220</v>
      </c>
      <c r="B75" t="s">
        <v>221</v>
      </c>
      <c r="C75" t="str">
        <f t="shared" si="15"/>
        <v>Jorge Riley</v>
      </c>
      <c r="D75" t="s">
        <v>87</v>
      </c>
      <c r="E75" t="str">
        <f t="shared" si="16"/>
        <v>Male</v>
      </c>
      <c r="F75">
        <v>59</v>
      </c>
      <c r="G75" t="s">
        <v>11</v>
      </c>
      <c r="H75" t="s">
        <v>12</v>
      </c>
      <c r="I75" t="s">
        <v>7</v>
      </c>
      <c r="J75">
        <v>4</v>
      </c>
      <c r="K75" t="str" cm="1">
        <f t="array" ref="K75">_xlfn.IFS( J75&lt;=5,"0-5", J75&lt;=10,"6-10",J75&lt;=15,"11-15",J75&lt;=20,"16-20",J75&gt;20,"20+")</f>
        <v>0-5</v>
      </c>
      <c r="M75"/>
      <c r="N75">
        <v>1.9</v>
      </c>
      <c r="O75" t="b">
        <v>0</v>
      </c>
      <c r="Q75">
        <v>88</v>
      </c>
      <c r="R75" s="3">
        <f>Q75/100</f>
        <v>0.88</v>
      </c>
    </row>
    <row r="76" spans="1:18" x14ac:dyDescent="0.2">
      <c r="A76" t="s">
        <v>222</v>
      </c>
      <c r="B76" t="s">
        <v>223</v>
      </c>
      <c r="C76" t="str">
        <f t="shared" si="15"/>
        <v>Melvin Harris</v>
      </c>
      <c r="D76" t="s">
        <v>82</v>
      </c>
      <c r="E76" t="str">
        <f t="shared" si="16"/>
        <v>Male</v>
      </c>
      <c r="F76">
        <v>36</v>
      </c>
      <c r="G76" t="s">
        <v>5</v>
      </c>
      <c r="H76" t="s">
        <v>6</v>
      </c>
      <c r="I76" t="s">
        <v>104</v>
      </c>
      <c r="J76">
        <v>14</v>
      </c>
      <c r="K76" t="str" cm="1">
        <f t="array" ref="K76">_xlfn.IFS( J76&lt;=5,"0-5", J76&lt;=10,"6-10",J76&lt;=15,"11-15",J76&lt;=20,"16-20",J76&gt;20,"20+")</f>
        <v>11-15</v>
      </c>
      <c r="L76" t="s">
        <v>219</v>
      </c>
      <c r="M76" t="str">
        <f>SUBSTITUTE(L76,"$"," ")</f>
        <v xml:space="preserve"> 100</v>
      </c>
      <c r="N76">
        <v>3.7</v>
      </c>
      <c r="O76">
        <v>0</v>
      </c>
    </row>
    <row r="77" spans="1:18" x14ac:dyDescent="0.2">
      <c r="A77" t="s">
        <v>224</v>
      </c>
      <c r="B77" t="s">
        <v>225</v>
      </c>
      <c r="C77" t="str">
        <f t="shared" si="15"/>
        <v>Jeremy Meyer</v>
      </c>
      <c r="D77" t="s">
        <v>87</v>
      </c>
      <c r="E77" t="str">
        <f t="shared" si="16"/>
        <v>Male</v>
      </c>
      <c r="F77">
        <v>32</v>
      </c>
      <c r="G77" t="s">
        <v>83</v>
      </c>
      <c r="H77" t="s">
        <v>84</v>
      </c>
      <c r="I77" t="s">
        <v>41</v>
      </c>
      <c r="K77" t="str" cm="1">
        <f t="array" ref="K77">_xlfn.IFS( J77&lt;=5,"0-5", J77&lt;=10,"6-10",J77&lt;=15,"11-15",J77&lt;=20,"16-20",J77&gt;20,"20+")</f>
        <v>0-5</v>
      </c>
      <c r="L77">
        <v>30</v>
      </c>
      <c r="M77" s="2">
        <f>L77</f>
        <v>30</v>
      </c>
      <c r="N77">
        <v>1.9</v>
      </c>
      <c r="O77" t="b">
        <v>1</v>
      </c>
      <c r="P77" t="s">
        <v>2075</v>
      </c>
      <c r="Q77" s="1">
        <v>0.96</v>
      </c>
      <c r="R77" s="1">
        <f>Q77</f>
        <v>0.96</v>
      </c>
    </row>
    <row r="78" spans="1:18" x14ac:dyDescent="0.2">
      <c r="A78" t="s">
        <v>226</v>
      </c>
      <c r="B78" t="s">
        <v>227</v>
      </c>
      <c r="C78" t="str">
        <f t="shared" si="15"/>
        <v>Timothy Lee</v>
      </c>
      <c r="D78" t="s">
        <v>17</v>
      </c>
      <c r="E78" t="str">
        <f t="shared" si="16"/>
        <v>Male</v>
      </c>
      <c r="F78">
        <v>59</v>
      </c>
      <c r="G78" t="s">
        <v>11</v>
      </c>
      <c r="H78" t="s">
        <v>12</v>
      </c>
      <c r="I78" t="s">
        <v>34</v>
      </c>
      <c r="J78">
        <v>9</v>
      </c>
      <c r="K78" t="str" cm="1">
        <f t="array" ref="K78">_xlfn.IFS( J78&lt;=5,"0-5", J78&lt;=10,"6-10",J78&lt;=15,"11-15",J78&lt;=20,"16-20",J78&gt;20,"20+")</f>
        <v>6-10</v>
      </c>
      <c r="L78" t="s">
        <v>42</v>
      </c>
      <c r="M78" t="str">
        <f t="shared" ref="M78:M79" si="23">_xlfn.TEXTAFTER(L78, " ")</f>
        <v>75</v>
      </c>
      <c r="N78">
        <v>4</v>
      </c>
      <c r="O78">
        <v>1</v>
      </c>
      <c r="Q78">
        <v>96</v>
      </c>
      <c r="R78" s="3">
        <f>Q78/100</f>
        <v>0.96</v>
      </c>
    </row>
    <row r="79" spans="1:18" x14ac:dyDescent="0.2">
      <c r="A79" t="s">
        <v>228</v>
      </c>
      <c r="B79" t="s">
        <v>229</v>
      </c>
      <c r="C79" t="str">
        <f t="shared" si="15"/>
        <v>Diana Bautista</v>
      </c>
      <c r="D79" t="s">
        <v>24</v>
      </c>
      <c r="E79" t="str">
        <f t="shared" si="16"/>
        <v>Female</v>
      </c>
      <c r="F79">
        <v>54</v>
      </c>
      <c r="G79" t="s">
        <v>180</v>
      </c>
      <c r="H79" t="s">
        <v>62</v>
      </c>
      <c r="I79" t="s">
        <v>79</v>
      </c>
      <c r="J79">
        <v>32</v>
      </c>
      <c r="K79" t="str" cm="1">
        <f t="array" ref="K79">_xlfn.IFS( J79&lt;=5,"0-5", J79&lt;=10,"6-10",J79&lt;=15,"11-15",J79&lt;=20,"16-20",J79&gt;20,"20+")</f>
        <v>20+</v>
      </c>
      <c r="L79" t="s">
        <v>45</v>
      </c>
      <c r="M79" t="str">
        <f t="shared" si="23"/>
        <v>40</v>
      </c>
      <c r="N79">
        <v>1.8</v>
      </c>
      <c r="O79" t="s">
        <v>21</v>
      </c>
    </row>
    <row r="80" spans="1:18" x14ac:dyDescent="0.2">
      <c r="A80" t="s">
        <v>230</v>
      </c>
      <c r="B80" t="s">
        <v>231</v>
      </c>
      <c r="C80" t="str">
        <f t="shared" si="15"/>
        <v>Leslie Rodriguez</v>
      </c>
      <c r="D80" t="s">
        <v>4</v>
      </c>
      <c r="E80" t="str">
        <f t="shared" si="16"/>
        <v>Female</v>
      </c>
      <c r="F80">
        <v>37</v>
      </c>
      <c r="G80" t="s">
        <v>118</v>
      </c>
      <c r="H80" t="s">
        <v>12</v>
      </c>
      <c r="I80" t="s">
        <v>20</v>
      </c>
      <c r="J80">
        <v>9</v>
      </c>
      <c r="K80" t="str" cm="1">
        <f t="array" ref="K80">_xlfn.IFS( J80&lt;=5,"0-5", J80&lt;=10,"6-10",J80&lt;=15,"11-15",J80&lt;=20,"16-20",J80&gt;20,"20+")</f>
        <v>6-10</v>
      </c>
      <c r="M80"/>
      <c r="N80">
        <v>0</v>
      </c>
      <c r="O80">
        <v>1</v>
      </c>
      <c r="Q80" s="1">
        <v>0.89</v>
      </c>
      <c r="R80" s="1">
        <f>Q80</f>
        <v>0.89</v>
      </c>
    </row>
    <row r="81" spans="1:18" x14ac:dyDescent="0.2">
      <c r="A81" t="s">
        <v>232</v>
      </c>
      <c r="B81" t="s">
        <v>233</v>
      </c>
      <c r="C81" t="str">
        <f t="shared" si="15"/>
        <v>Noah Wiggins</v>
      </c>
      <c r="D81" t="s">
        <v>51</v>
      </c>
      <c r="E81" t="str">
        <f t="shared" si="16"/>
        <v>Male</v>
      </c>
      <c r="F81">
        <v>54</v>
      </c>
      <c r="G81" t="s">
        <v>83</v>
      </c>
      <c r="H81" t="s">
        <v>84</v>
      </c>
      <c r="I81" t="s">
        <v>104</v>
      </c>
      <c r="J81">
        <v>21</v>
      </c>
      <c r="K81" t="str" cm="1">
        <f t="array" ref="K81">_xlfn.IFS( J81&lt;=5,"0-5", J81&lt;=10,"6-10",J81&lt;=15,"11-15",J81&lt;=20,"16-20",J81&gt;20,"20+")</f>
        <v>20+</v>
      </c>
      <c r="L81" t="s">
        <v>219</v>
      </c>
      <c r="M81" t="str">
        <f>SUBSTITUTE(L81,"$"," ")</f>
        <v xml:space="preserve"> 100</v>
      </c>
      <c r="N81">
        <v>4.5999999999999996</v>
      </c>
      <c r="O81" t="b">
        <v>0</v>
      </c>
    </row>
    <row r="82" spans="1:18" x14ac:dyDescent="0.2">
      <c r="A82" t="s">
        <v>234</v>
      </c>
      <c r="B82" t="s">
        <v>235</v>
      </c>
      <c r="C82" t="str">
        <f t="shared" si="15"/>
        <v>Bridget Williams</v>
      </c>
      <c r="D82" t="s">
        <v>67</v>
      </c>
      <c r="E82" t="str">
        <f t="shared" si="16"/>
        <v>Female</v>
      </c>
      <c r="F82">
        <v>33</v>
      </c>
      <c r="G82" t="s">
        <v>61</v>
      </c>
      <c r="H82" t="s">
        <v>62</v>
      </c>
      <c r="I82" t="s">
        <v>63</v>
      </c>
      <c r="J82">
        <v>12</v>
      </c>
      <c r="K82" t="str" cm="1">
        <f t="array" ref="K82">_xlfn.IFS( J82&lt;=5,"0-5", J82&lt;=10,"6-10",J82&lt;=15,"11-15",J82&lt;=20,"16-20",J82&gt;20,"20+")</f>
        <v>11-15</v>
      </c>
      <c r="L82">
        <v>100</v>
      </c>
      <c r="M82" s="2">
        <f>L82</f>
        <v>100</v>
      </c>
      <c r="N82">
        <v>3.6</v>
      </c>
      <c r="O82">
        <v>0</v>
      </c>
      <c r="P82" t="s">
        <v>2074</v>
      </c>
      <c r="Q82" s="1">
        <v>0.63</v>
      </c>
      <c r="R82" s="1">
        <f>Q82</f>
        <v>0.63</v>
      </c>
    </row>
    <row r="83" spans="1:18" x14ac:dyDescent="0.2">
      <c r="A83" t="s">
        <v>236</v>
      </c>
      <c r="B83" t="s">
        <v>237</v>
      </c>
      <c r="C83" t="str">
        <f t="shared" si="15"/>
        <v>Veronica Baker</v>
      </c>
      <c r="D83" t="s">
        <v>4</v>
      </c>
      <c r="E83" t="str">
        <f t="shared" si="16"/>
        <v>Female</v>
      </c>
      <c r="F83">
        <v>25</v>
      </c>
      <c r="G83" t="s">
        <v>129</v>
      </c>
      <c r="H83" t="s">
        <v>130</v>
      </c>
      <c r="I83" t="s">
        <v>25</v>
      </c>
      <c r="J83">
        <v>7</v>
      </c>
      <c r="K83" t="str" cm="1">
        <f t="array" ref="K83">_xlfn.IFS( J83&lt;=5,"0-5", J83&lt;=10,"6-10",J83&lt;=15,"11-15",J83&lt;=20,"16-20",J83&gt;20,"20+")</f>
        <v>6-10</v>
      </c>
      <c r="L83" t="s">
        <v>45</v>
      </c>
      <c r="M83" t="str">
        <f>_xlfn.TEXTAFTER(L83, " ")</f>
        <v>40</v>
      </c>
      <c r="N83">
        <v>4.4000000000000004</v>
      </c>
      <c r="Q83">
        <v>81</v>
      </c>
      <c r="R83" s="3">
        <f>Q83/100</f>
        <v>0.81</v>
      </c>
    </row>
    <row r="84" spans="1:18" x14ac:dyDescent="0.2">
      <c r="A84" t="s">
        <v>238</v>
      </c>
      <c r="B84" t="s">
        <v>239</v>
      </c>
      <c r="C84" t="str">
        <f t="shared" si="15"/>
        <v>Andrew Avila</v>
      </c>
      <c r="D84" t="s">
        <v>87</v>
      </c>
      <c r="E84" t="str">
        <f t="shared" si="16"/>
        <v>Male</v>
      </c>
      <c r="G84" t="s">
        <v>165</v>
      </c>
      <c r="H84" t="s">
        <v>166</v>
      </c>
      <c r="I84" t="s">
        <v>79</v>
      </c>
      <c r="J84">
        <v>3</v>
      </c>
      <c r="K84" t="str" cm="1">
        <f t="array" ref="K84">_xlfn.IFS( J84&lt;=5,"0-5", J84&lt;=10,"6-10",J84&lt;=15,"11-15",J84&lt;=20,"16-20",J84&gt;20,"20+")</f>
        <v>0-5</v>
      </c>
      <c r="L84">
        <v>40</v>
      </c>
      <c r="M84" s="2">
        <f>L84</f>
        <v>40</v>
      </c>
      <c r="N84">
        <v>4.5999999999999996</v>
      </c>
      <c r="O84" t="s">
        <v>21</v>
      </c>
      <c r="P84" t="s">
        <v>2074</v>
      </c>
      <c r="Q84" s="1">
        <v>0.74</v>
      </c>
      <c r="R84" s="1">
        <f t="shared" ref="R84:R85" si="24">Q84</f>
        <v>0.74</v>
      </c>
    </row>
    <row r="85" spans="1:18" x14ac:dyDescent="0.2">
      <c r="A85" t="s">
        <v>240</v>
      </c>
      <c r="B85" t="s">
        <v>241</v>
      </c>
      <c r="C85" t="str">
        <f t="shared" si="15"/>
        <v>Michael Roberson</v>
      </c>
      <c r="D85" t="s">
        <v>17</v>
      </c>
      <c r="E85" t="str">
        <f t="shared" si="16"/>
        <v>Male</v>
      </c>
      <c r="F85">
        <v>35</v>
      </c>
      <c r="G85" t="s">
        <v>102</v>
      </c>
      <c r="H85" t="s">
        <v>103</v>
      </c>
      <c r="I85" t="s">
        <v>25</v>
      </c>
      <c r="J85">
        <v>5</v>
      </c>
      <c r="K85" t="str" cm="1">
        <f t="array" ref="K85">_xlfn.IFS( J85&lt;=5,"0-5", J85&lt;=10,"6-10",J85&lt;=15,"11-15",J85&lt;=20,"16-20",J85&gt;20,"20+")</f>
        <v>0-5</v>
      </c>
      <c r="L85" t="s">
        <v>160</v>
      </c>
      <c r="M85" t="str">
        <f t="shared" ref="M85:M86" si="25">SUBSTITUTE(L85,"$"," ")</f>
        <v xml:space="preserve"> 75</v>
      </c>
      <c r="N85">
        <v>3.2</v>
      </c>
      <c r="O85" t="b">
        <v>0</v>
      </c>
      <c r="Q85" s="1">
        <v>0.72</v>
      </c>
      <c r="R85" s="1">
        <f t="shared" si="24"/>
        <v>0.72</v>
      </c>
    </row>
    <row r="86" spans="1:18" x14ac:dyDescent="0.2">
      <c r="A86" t="s">
        <v>242</v>
      </c>
      <c r="B86" t="s">
        <v>243</v>
      </c>
      <c r="C86" t="str">
        <f t="shared" si="15"/>
        <v>Austin Jenkins</v>
      </c>
      <c r="D86" t="s">
        <v>87</v>
      </c>
      <c r="E86" t="str">
        <f t="shared" si="16"/>
        <v>Male</v>
      </c>
      <c r="F86">
        <v>59</v>
      </c>
      <c r="G86" t="s">
        <v>102</v>
      </c>
      <c r="H86" t="s">
        <v>103</v>
      </c>
      <c r="I86" t="s">
        <v>34</v>
      </c>
      <c r="J86">
        <v>30</v>
      </c>
      <c r="K86" t="str" cm="1">
        <f t="array" ref="K86">_xlfn.IFS( J86&lt;=5,"0-5", J86&lt;=10,"6-10",J86&lt;=15,"11-15",J86&lt;=20,"16-20",J86&gt;20,"20+")</f>
        <v>20+</v>
      </c>
      <c r="L86" t="s">
        <v>26</v>
      </c>
      <c r="M86" t="str">
        <f t="shared" si="25"/>
        <v xml:space="preserve"> 40</v>
      </c>
      <c r="N86">
        <v>0</v>
      </c>
      <c r="O86" t="b">
        <v>1</v>
      </c>
    </row>
    <row r="87" spans="1:18" x14ac:dyDescent="0.2">
      <c r="A87" t="s">
        <v>244</v>
      </c>
      <c r="B87" t="s">
        <v>245</v>
      </c>
      <c r="C87" t="str">
        <f t="shared" si="15"/>
        <v>Brenda Green</v>
      </c>
      <c r="D87" t="s">
        <v>29</v>
      </c>
      <c r="E87" t="str">
        <f t="shared" si="16"/>
        <v>Female</v>
      </c>
      <c r="F87">
        <v>21</v>
      </c>
      <c r="G87" t="s">
        <v>165</v>
      </c>
      <c r="H87" t="s">
        <v>166</v>
      </c>
      <c r="I87" t="s">
        <v>79</v>
      </c>
      <c r="J87">
        <v>2</v>
      </c>
      <c r="K87" t="str" cm="1">
        <f t="array" ref="K87">_xlfn.IFS( J87&lt;=5,"0-5", J87&lt;=10,"6-10",J87&lt;=15,"11-15",J87&lt;=20,"16-20",J87&gt;20,"20+")</f>
        <v>0-5</v>
      </c>
      <c r="L87">
        <v>100</v>
      </c>
      <c r="M87" s="2">
        <f>L87</f>
        <v>100</v>
      </c>
      <c r="N87">
        <v>2.6</v>
      </c>
      <c r="O87" t="s">
        <v>64</v>
      </c>
      <c r="P87" t="s">
        <v>2075</v>
      </c>
      <c r="Q87" s="1">
        <v>0.85</v>
      </c>
      <c r="R87" s="1">
        <f>Q87</f>
        <v>0.85</v>
      </c>
    </row>
    <row r="88" spans="1:18" x14ac:dyDescent="0.2">
      <c r="A88" t="s">
        <v>246</v>
      </c>
      <c r="B88" t="s">
        <v>247</v>
      </c>
      <c r="C88" t="str">
        <f t="shared" si="15"/>
        <v>Samuel Pierce</v>
      </c>
      <c r="D88" t="s">
        <v>82</v>
      </c>
      <c r="E88" t="str">
        <f t="shared" si="16"/>
        <v>Male</v>
      </c>
      <c r="F88">
        <v>25</v>
      </c>
      <c r="G88" t="s">
        <v>48</v>
      </c>
      <c r="H88" t="s">
        <v>12</v>
      </c>
      <c r="I88" t="s">
        <v>13</v>
      </c>
      <c r="J88">
        <v>2</v>
      </c>
      <c r="K88" t="str" cm="1">
        <f t="array" ref="K88">_xlfn.IFS( J88&lt;=5,"0-5", J88&lt;=10,"6-10",J88&lt;=15,"11-15",J88&lt;=20,"16-20",J88&gt;20,"20+")</f>
        <v>0-5</v>
      </c>
      <c r="L88" t="s">
        <v>160</v>
      </c>
      <c r="M88" t="str">
        <f>SUBSTITUTE(L88,"$"," ")</f>
        <v xml:space="preserve"> 75</v>
      </c>
      <c r="N88">
        <v>3.7</v>
      </c>
      <c r="O88" t="s">
        <v>21</v>
      </c>
    </row>
    <row r="89" spans="1:18" x14ac:dyDescent="0.2">
      <c r="A89" t="s">
        <v>248</v>
      </c>
      <c r="B89" t="s">
        <v>249</v>
      </c>
      <c r="C89" t="str">
        <f t="shared" si="15"/>
        <v>Briana Smith</v>
      </c>
      <c r="D89" t="s">
        <v>4</v>
      </c>
      <c r="E89" t="str">
        <f t="shared" si="16"/>
        <v>Female</v>
      </c>
      <c r="F89">
        <v>38</v>
      </c>
      <c r="G89" t="s">
        <v>169</v>
      </c>
      <c r="H89" t="s">
        <v>62</v>
      </c>
      <c r="I89" t="s">
        <v>25</v>
      </c>
      <c r="J89">
        <v>19</v>
      </c>
      <c r="K89" t="str" cm="1">
        <f t="array" ref="K89">_xlfn.IFS( J89&lt;=5,"0-5", J89&lt;=10,"6-10",J89&lt;=15,"11-15",J89&lt;=20,"16-20",J89&gt;20,"20+")</f>
        <v>16-20</v>
      </c>
      <c r="L89">
        <v>75</v>
      </c>
      <c r="M89" s="2">
        <f t="shared" ref="M89:M90" si="26">L89</f>
        <v>75</v>
      </c>
      <c r="N89">
        <v>2.2999999999999998</v>
      </c>
      <c r="O89" t="b">
        <v>0</v>
      </c>
      <c r="P89" t="s">
        <v>2074</v>
      </c>
      <c r="Q89" s="1">
        <v>0.61</v>
      </c>
      <c r="R89" s="1">
        <f>Q89</f>
        <v>0.61</v>
      </c>
    </row>
    <row r="90" spans="1:18" x14ac:dyDescent="0.2">
      <c r="A90" t="s">
        <v>250</v>
      </c>
      <c r="B90" t="s">
        <v>251</v>
      </c>
      <c r="C90" t="str">
        <f t="shared" si="15"/>
        <v>Ronald Barrett</v>
      </c>
      <c r="D90" t="s">
        <v>87</v>
      </c>
      <c r="E90" t="str">
        <f t="shared" si="16"/>
        <v>Male</v>
      </c>
      <c r="F90">
        <v>57</v>
      </c>
      <c r="G90" t="s">
        <v>114</v>
      </c>
      <c r="H90" t="s">
        <v>115</v>
      </c>
      <c r="I90" t="s">
        <v>34</v>
      </c>
      <c r="J90">
        <v>16</v>
      </c>
      <c r="K90" t="str" cm="1">
        <f t="array" ref="K90">_xlfn.IFS( J90&lt;=5,"0-5", J90&lt;=10,"6-10",J90&lt;=15,"11-15",J90&lt;=20,"16-20",J90&gt;20,"20+")</f>
        <v>16-20</v>
      </c>
      <c r="L90">
        <v>100</v>
      </c>
      <c r="M90" s="2">
        <f t="shared" si="26"/>
        <v>100</v>
      </c>
      <c r="N90">
        <v>3.1</v>
      </c>
      <c r="O90" t="b">
        <v>0</v>
      </c>
      <c r="P90" t="s">
        <v>2074</v>
      </c>
    </row>
    <row r="91" spans="1:18" x14ac:dyDescent="0.2">
      <c r="A91" t="s">
        <v>252</v>
      </c>
      <c r="B91" t="s">
        <v>253</v>
      </c>
      <c r="C91" t="str">
        <f t="shared" si="15"/>
        <v>Matthew Smith</v>
      </c>
      <c r="D91" t="s">
        <v>38</v>
      </c>
      <c r="E91" t="str">
        <f t="shared" si="16"/>
        <v>Male</v>
      </c>
      <c r="F91">
        <v>32</v>
      </c>
      <c r="G91" t="s">
        <v>83</v>
      </c>
      <c r="H91" t="s">
        <v>84</v>
      </c>
      <c r="I91" t="s">
        <v>13</v>
      </c>
      <c r="J91">
        <v>10</v>
      </c>
      <c r="K91" t="str" cm="1">
        <f t="array" ref="K91">_xlfn.IFS( J91&lt;=5,"0-5", J91&lt;=10,"6-10",J91&lt;=15,"11-15",J91&lt;=20,"16-20",J91&gt;20,"20+")</f>
        <v>6-10</v>
      </c>
      <c r="L91" t="s">
        <v>111</v>
      </c>
      <c r="M91" t="str">
        <f>SUBSTITUTE(L91,"$"," ")</f>
        <v xml:space="preserve"> 20</v>
      </c>
      <c r="N91">
        <v>2.4</v>
      </c>
      <c r="O91">
        <v>0</v>
      </c>
      <c r="Q91" s="1">
        <v>0.86</v>
      </c>
      <c r="R91" s="1">
        <f t="shared" ref="R91:R98" si="27">Q91</f>
        <v>0.86</v>
      </c>
    </row>
    <row r="92" spans="1:18" x14ac:dyDescent="0.2">
      <c r="A92" t="s">
        <v>254</v>
      </c>
      <c r="B92" t="s">
        <v>255</v>
      </c>
      <c r="C92" t="str">
        <f t="shared" si="15"/>
        <v>Logan Huang</v>
      </c>
      <c r="D92" t="s">
        <v>17</v>
      </c>
      <c r="E92" t="str">
        <f t="shared" si="16"/>
        <v>Male</v>
      </c>
      <c r="F92">
        <v>21</v>
      </c>
      <c r="G92" t="s">
        <v>5</v>
      </c>
      <c r="H92" t="s">
        <v>6</v>
      </c>
      <c r="I92" t="s">
        <v>79</v>
      </c>
      <c r="J92">
        <v>2</v>
      </c>
      <c r="K92" t="str" cm="1">
        <f t="array" ref="K92">_xlfn.IFS( J92&lt;=5,"0-5", J92&lt;=10,"6-10",J92&lt;=15,"11-15",J92&lt;=20,"16-20",J92&gt;20,"20+")</f>
        <v>0-5</v>
      </c>
      <c r="L92" t="s">
        <v>14</v>
      </c>
      <c r="M92" t="str">
        <f>_xlfn.TEXTAFTER(L92, " ")</f>
        <v>100</v>
      </c>
      <c r="N92">
        <v>1.6</v>
      </c>
      <c r="O92" t="s">
        <v>58</v>
      </c>
      <c r="Q92" s="1">
        <v>0.97</v>
      </c>
      <c r="R92" s="1">
        <f t="shared" si="27"/>
        <v>0.97</v>
      </c>
    </row>
    <row r="93" spans="1:18" x14ac:dyDescent="0.2">
      <c r="A93" t="s">
        <v>256</v>
      </c>
      <c r="B93" t="s">
        <v>257</v>
      </c>
      <c r="C93" t="str">
        <f t="shared" si="15"/>
        <v>Miranda Hutchinson</v>
      </c>
      <c r="D93" t="s">
        <v>67</v>
      </c>
      <c r="E93" t="str">
        <f t="shared" si="16"/>
        <v>Female</v>
      </c>
      <c r="F93">
        <v>57</v>
      </c>
      <c r="G93" t="s">
        <v>118</v>
      </c>
      <c r="H93" t="s">
        <v>12</v>
      </c>
      <c r="I93" t="s">
        <v>68</v>
      </c>
      <c r="J93">
        <v>18</v>
      </c>
      <c r="K93" t="str" cm="1">
        <f t="array" ref="K93">_xlfn.IFS( J93&lt;=5,"0-5", J93&lt;=10,"6-10",J93&lt;=15,"11-15",J93&lt;=20,"16-20",J93&gt;20,"20+")</f>
        <v>16-20</v>
      </c>
      <c r="L93">
        <v>50</v>
      </c>
      <c r="M93" s="2">
        <f>L93</f>
        <v>50</v>
      </c>
      <c r="N93">
        <v>2.4</v>
      </c>
      <c r="O93">
        <v>1</v>
      </c>
      <c r="P93" t="s">
        <v>2075</v>
      </c>
      <c r="Q93" s="1">
        <v>0.63</v>
      </c>
      <c r="R93" s="1">
        <f t="shared" si="27"/>
        <v>0.63</v>
      </c>
    </row>
    <row r="94" spans="1:18" x14ac:dyDescent="0.2">
      <c r="A94" t="s">
        <v>258</v>
      </c>
      <c r="B94" t="s">
        <v>259</v>
      </c>
      <c r="C94" t="str">
        <f t="shared" si="15"/>
        <v>Paul Richardson</v>
      </c>
      <c r="D94" t="s">
        <v>17</v>
      </c>
      <c r="E94" t="str">
        <f t="shared" si="16"/>
        <v>Male</v>
      </c>
      <c r="F94">
        <v>53</v>
      </c>
      <c r="G94" t="s">
        <v>165</v>
      </c>
      <c r="H94" t="s">
        <v>166</v>
      </c>
      <c r="I94" t="s">
        <v>63</v>
      </c>
      <c r="J94">
        <v>21</v>
      </c>
      <c r="K94" t="str" cm="1">
        <f t="array" ref="K94">_xlfn.IFS( J94&lt;=5,"0-5", J94&lt;=10,"6-10",J94&lt;=15,"11-15",J94&lt;=20,"16-20",J94&gt;20,"20+")</f>
        <v>20+</v>
      </c>
      <c r="L94" t="s">
        <v>14</v>
      </c>
      <c r="M94" t="str">
        <f t="shared" ref="M94:M95" si="28">_xlfn.TEXTAFTER(L94, " ")</f>
        <v>100</v>
      </c>
      <c r="O94" t="s">
        <v>64</v>
      </c>
      <c r="Q94" s="1">
        <v>0.97</v>
      </c>
      <c r="R94" s="1">
        <f t="shared" si="27"/>
        <v>0.97</v>
      </c>
    </row>
    <row r="95" spans="1:18" x14ac:dyDescent="0.2">
      <c r="A95" t="s">
        <v>260</v>
      </c>
      <c r="B95" t="s">
        <v>261</v>
      </c>
      <c r="C95" t="str">
        <f t="shared" si="15"/>
        <v>Jose Jones</v>
      </c>
      <c r="D95" t="s">
        <v>82</v>
      </c>
      <c r="E95" t="str">
        <f t="shared" si="16"/>
        <v>Male</v>
      </c>
      <c r="F95">
        <v>35</v>
      </c>
      <c r="G95" t="s">
        <v>114</v>
      </c>
      <c r="H95" t="s">
        <v>115</v>
      </c>
      <c r="I95" t="s">
        <v>7</v>
      </c>
      <c r="J95">
        <v>3</v>
      </c>
      <c r="K95" t="str" cm="1">
        <f t="array" ref="K95">_xlfn.IFS( J95&lt;=5,"0-5", J95&lt;=10,"6-10",J95&lt;=15,"11-15",J95&lt;=20,"16-20",J95&gt;20,"20+")</f>
        <v>0-5</v>
      </c>
      <c r="L95" t="s">
        <v>99</v>
      </c>
      <c r="M95" t="str">
        <f t="shared" si="28"/>
        <v>30</v>
      </c>
      <c r="N95">
        <v>3.8</v>
      </c>
      <c r="O95" t="s">
        <v>58</v>
      </c>
      <c r="Q95" s="1">
        <v>0.81</v>
      </c>
      <c r="R95" s="1">
        <f t="shared" si="27"/>
        <v>0.81</v>
      </c>
    </row>
    <row r="96" spans="1:18" x14ac:dyDescent="0.2">
      <c r="A96" t="s">
        <v>262</v>
      </c>
      <c r="B96" t="s">
        <v>263</v>
      </c>
      <c r="C96" t="str">
        <f t="shared" si="15"/>
        <v>Denise Smith</v>
      </c>
      <c r="D96" t="s">
        <v>4</v>
      </c>
      <c r="E96" t="str">
        <f t="shared" si="16"/>
        <v>Female</v>
      </c>
      <c r="F96">
        <v>54</v>
      </c>
      <c r="G96" t="s">
        <v>165</v>
      </c>
      <c r="H96" t="s">
        <v>166</v>
      </c>
      <c r="I96" t="s">
        <v>104</v>
      </c>
      <c r="J96">
        <v>17</v>
      </c>
      <c r="K96" t="str" cm="1">
        <f t="array" ref="K96">_xlfn.IFS( J96&lt;=5,"0-5", J96&lt;=10,"6-10",J96&lt;=15,"11-15",J96&lt;=20,"16-20",J96&gt;20,"20+")</f>
        <v>16-20</v>
      </c>
      <c r="L96">
        <v>20</v>
      </c>
      <c r="M96" s="2">
        <f t="shared" ref="M96:M99" si="29">L96</f>
        <v>20</v>
      </c>
      <c r="N96">
        <v>1.7</v>
      </c>
      <c r="O96">
        <v>0</v>
      </c>
      <c r="P96" t="s">
        <v>2074</v>
      </c>
      <c r="Q96" s="1">
        <v>0.69</v>
      </c>
      <c r="R96" s="1">
        <f t="shared" si="27"/>
        <v>0.69</v>
      </c>
    </row>
    <row r="97" spans="1:18" x14ac:dyDescent="0.2">
      <c r="A97" t="s">
        <v>264</v>
      </c>
      <c r="B97" t="s">
        <v>265</v>
      </c>
      <c r="C97" t="str">
        <f t="shared" si="15"/>
        <v>Shelby Mcmahon</v>
      </c>
      <c r="D97" t="s">
        <v>10</v>
      </c>
      <c r="E97" t="str">
        <f t="shared" si="16"/>
        <v>Female</v>
      </c>
      <c r="F97">
        <v>36</v>
      </c>
      <c r="G97" t="s">
        <v>5</v>
      </c>
      <c r="H97" t="s">
        <v>6</v>
      </c>
      <c r="I97" t="s">
        <v>63</v>
      </c>
      <c r="J97">
        <v>0</v>
      </c>
      <c r="K97" t="str" cm="1">
        <f t="array" ref="K97">_xlfn.IFS( J97&lt;=5,"0-5", J97&lt;=10,"6-10",J97&lt;=15,"11-15",J97&lt;=20,"16-20",J97&gt;20,"20+")</f>
        <v>0-5</v>
      </c>
      <c r="L97">
        <v>20</v>
      </c>
      <c r="M97" s="2">
        <f t="shared" si="29"/>
        <v>20</v>
      </c>
      <c r="N97">
        <v>1.3</v>
      </c>
      <c r="O97" t="s">
        <v>64</v>
      </c>
      <c r="P97" t="s">
        <v>2075</v>
      </c>
      <c r="Q97" s="1">
        <v>0.64</v>
      </c>
      <c r="R97" s="1">
        <f t="shared" si="27"/>
        <v>0.64</v>
      </c>
    </row>
    <row r="98" spans="1:18" x14ac:dyDescent="0.2">
      <c r="A98" t="s">
        <v>266</v>
      </c>
      <c r="B98" t="s">
        <v>267</v>
      </c>
      <c r="C98" t="str">
        <f t="shared" si="15"/>
        <v>Bethany Wright</v>
      </c>
      <c r="D98" t="s">
        <v>4</v>
      </c>
      <c r="E98" t="str">
        <f t="shared" si="16"/>
        <v>Female</v>
      </c>
      <c r="F98">
        <v>49</v>
      </c>
      <c r="G98" t="s">
        <v>180</v>
      </c>
      <c r="H98" t="s">
        <v>62</v>
      </c>
      <c r="I98" t="s">
        <v>68</v>
      </c>
      <c r="J98">
        <v>25</v>
      </c>
      <c r="K98" t="str" cm="1">
        <f t="array" ref="K98">_xlfn.IFS( J98&lt;=5,"0-5", J98&lt;=10,"6-10",J98&lt;=15,"11-15",J98&lt;=20,"16-20",J98&gt;20,"20+")</f>
        <v>20+</v>
      </c>
      <c r="L98">
        <v>50</v>
      </c>
      <c r="M98" s="2">
        <f t="shared" si="29"/>
        <v>50</v>
      </c>
      <c r="N98">
        <v>5</v>
      </c>
      <c r="O98" t="s">
        <v>21</v>
      </c>
      <c r="P98" t="s">
        <v>2074</v>
      </c>
      <c r="Q98" s="1">
        <v>0.77</v>
      </c>
      <c r="R98" s="1">
        <f t="shared" si="27"/>
        <v>0.77</v>
      </c>
    </row>
    <row r="99" spans="1:18" x14ac:dyDescent="0.2">
      <c r="A99" t="s">
        <v>268</v>
      </c>
      <c r="B99" t="s">
        <v>269</v>
      </c>
      <c r="C99" t="str">
        <f t="shared" si="15"/>
        <v>David Ortiz</v>
      </c>
      <c r="D99" t="s">
        <v>87</v>
      </c>
      <c r="E99" t="str">
        <f t="shared" si="16"/>
        <v>Male</v>
      </c>
      <c r="F99">
        <v>37</v>
      </c>
      <c r="G99" t="s">
        <v>48</v>
      </c>
      <c r="H99" t="s">
        <v>12</v>
      </c>
      <c r="I99" t="s">
        <v>7</v>
      </c>
      <c r="J99">
        <v>17</v>
      </c>
      <c r="K99" t="str" cm="1">
        <f t="array" ref="K99">_xlfn.IFS( J99&lt;=5,"0-5", J99&lt;=10,"6-10",J99&lt;=15,"11-15",J99&lt;=20,"16-20",J99&gt;20,"20+")</f>
        <v>16-20</v>
      </c>
      <c r="L99">
        <v>20</v>
      </c>
      <c r="M99" s="2">
        <f t="shared" si="29"/>
        <v>20</v>
      </c>
      <c r="N99">
        <v>3.3</v>
      </c>
      <c r="O99">
        <v>0</v>
      </c>
      <c r="P99" t="s">
        <v>2074</v>
      </c>
      <c r="Q99">
        <v>96</v>
      </c>
      <c r="R99" s="3">
        <f>Q99/100</f>
        <v>0.96</v>
      </c>
    </row>
    <row r="100" spans="1:18" x14ac:dyDescent="0.2">
      <c r="A100" t="s">
        <v>270</v>
      </c>
      <c r="B100" t="s">
        <v>271</v>
      </c>
      <c r="C100" t="str">
        <f t="shared" si="15"/>
        <v>Andrew Lynch</v>
      </c>
      <c r="D100" t="s">
        <v>51</v>
      </c>
      <c r="E100" t="str">
        <f t="shared" si="16"/>
        <v>Male</v>
      </c>
      <c r="G100" t="s">
        <v>48</v>
      </c>
      <c r="H100" t="s">
        <v>12</v>
      </c>
      <c r="I100" t="s">
        <v>63</v>
      </c>
      <c r="J100">
        <v>5</v>
      </c>
      <c r="K100" t="str" cm="1">
        <f t="array" ref="K100">_xlfn.IFS( J100&lt;=5,"0-5", J100&lt;=10,"6-10",J100&lt;=15,"11-15",J100&lt;=20,"16-20",J100&gt;20,"20+")</f>
        <v>0-5</v>
      </c>
      <c r="L100" t="s">
        <v>111</v>
      </c>
      <c r="M100" t="str">
        <f>SUBSTITUTE(L100,"$"," ")</f>
        <v xml:space="preserve"> 20</v>
      </c>
      <c r="N100">
        <v>1.1000000000000001</v>
      </c>
      <c r="O100" t="s">
        <v>149</v>
      </c>
      <c r="Q100" s="1">
        <v>0.74</v>
      </c>
      <c r="R100" s="1">
        <f t="shared" ref="R100:R102" si="30">Q100</f>
        <v>0.74</v>
      </c>
    </row>
    <row r="101" spans="1:18" x14ac:dyDescent="0.2">
      <c r="A101" t="s">
        <v>272</v>
      </c>
      <c r="B101" t="s">
        <v>273</v>
      </c>
      <c r="C101" t="str">
        <f t="shared" si="15"/>
        <v>Kristopher Meyers</v>
      </c>
      <c r="D101" t="s">
        <v>38</v>
      </c>
      <c r="E101" t="str">
        <f t="shared" si="16"/>
        <v>Male</v>
      </c>
      <c r="F101">
        <v>32</v>
      </c>
      <c r="G101" t="s">
        <v>129</v>
      </c>
      <c r="H101" t="s">
        <v>130</v>
      </c>
      <c r="I101" t="s">
        <v>63</v>
      </c>
      <c r="J101">
        <v>10</v>
      </c>
      <c r="K101" t="str" cm="1">
        <f t="array" ref="K101">_xlfn.IFS( J101&lt;=5,"0-5", J101&lt;=10,"6-10",J101&lt;=15,"11-15",J101&lt;=20,"16-20",J101&gt;20,"20+")</f>
        <v>6-10</v>
      </c>
      <c r="L101">
        <v>50</v>
      </c>
      <c r="M101" s="2">
        <f>L101</f>
        <v>50</v>
      </c>
      <c r="N101">
        <v>1.2</v>
      </c>
      <c r="O101" t="b">
        <v>0</v>
      </c>
      <c r="P101" t="s">
        <v>2074</v>
      </c>
      <c r="Q101" s="1">
        <v>0.89</v>
      </c>
      <c r="R101" s="1">
        <f t="shared" si="30"/>
        <v>0.89</v>
      </c>
    </row>
    <row r="102" spans="1:18" x14ac:dyDescent="0.2">
      <c r="A102" t="s">
        <v>274</v>
      </c>
      <c r="B102" t="s">
        <v>275</v>
      </c>
      <c r="C102" t="str">
        <f t="shared" si="15"/>
        <v>Thomas Roth</v>
      </c>
      <c r="D102" t="s">
        <v>38</v>
      </c>
      <c r="E102" t="str">
        <f t="shared" si="16"/>
        <v>Male</v>
      </c>
      <c r="F102">
        <v>35</v>
      </c>
      <c r="G102" t="s">
        <v>83</v>
      </c>
      <c r="H102" t="s">
        <v>84</v>
      </c>
      <c r="I102" t="s">
        <v>13</v>
      </c>
      <c r="J102">
        <v>0</v>
      </c>
      <c r="K102" t="str" cm="1">
        <f t="array" ref="K102">_xlfn.IFS( J102&lt;=5,"0-5", J102&lt;=10,"6-10",J102&lt;=15,"11-15",J102&lt;=20,"16-20",J102&gt;20,"20+")</f>
        <v>0-5</v>
      </c>
      <c r="M102"/>
      <c r="N102">
        <v>2</v>
      </c>
      <c r="O102">
        <v>1</v>
      </c>
      <c r="Q102" s="1">
        <v>0.64</v>
      </c>
      <c r="R102" s="1">
        <f t="shared" si="30"/>
        <v>0.64</v>
      </c>
    </row>
    <row r="103" spans="1:18" x14ac:dyDescent="0.2">
      <c r="A103" t="s">
        <v>276</v>
      </c>
      <c r="B103" t="s">
        <v>277</v>
      </c>
      <c r="C103" t="str">
        <f t="shared" si="15"/>
        <v>Vicki Brown</v>
      </c>
      <c r="D103" t="s">
        <v>4</v>
      </c>
      <c r="E103" t="str">
        <f t="shared" si="16"/>
        <v>Female</v>
      </c>
      <c r="F103">
        <v>51</v>
      </c>
      <c r="G103" t="s">
        <v>114</v>
      </c>
      <c r="H103" t="s">
        <v>115</v>
      </c>
      <c r="I103" t="s">
        <v>20</v>
      </c>
      <c r="J103">
        <v>2</v>
      </c>
      <c r="K103" t="str" cm="1">
        <f t="array" ref="K103">_xlfn.IFS( J103&lt;=5,"0-5", J103&lt;=10,"6-10",J103&lt;=15,"11-15",J103&lt;=20,"16-20",J103&gt;20,"20+")</f>
        <v>0-5</v>
      </c>
      <c r="L103" t="s">
        <v>35</v>
      </c>
      <c r="M103" t="str">
        <f>SUBSTITUTE(L103,"$"," ")</f>
        <v xml:space="preserve"> 30</v>
      </c>
      <c r="N103">
        <v>4.5</v>
      </c>
      <c r="O103">
        <v>0</v>
      </c>
      <c r="Q103">
        <v>64</v>
      </c>
      <c r="R103" s="3">
        <f>Q103/100</f>
        <v>0.64</v>
      </c>
    </row>
    <row r="104" spans="1:18" x14ac:dyDescent="0.2">
      <c r="A104" t="s">
        <v>278</v>
      </c>
      <c r="B104" t="s">
        <v>279</v>
      </c>
      <c r="C104" t="str">
        <f t="shared" si="15"/>
        <v>Stacy Sutton</v>
      </c>
      <c r="D104" t="s">
        <v>4</v>
      </c>
      <c r="E104" t="str">
        <f t="shared" si="16"/>
        <v>Female</v>
      </c>
      <c r="F104">
        <v>50</v>
      </c>
      <c r="G104" t="s">
        <v>114</v>
      </c>
      <c r="H104" t="s">
        <v>115</v>
      </c>
      <c r="I104" t="s">
        <v>79</v>
      </c>
      <c r="J104">
        <v>30</v>
      </c>
      <c r="K104" t="str" cm="1">
        <f t="array" ref="K104">_xlfn.IFS( J104&lt;=5,"0-5", J104&lt;=10,"6-10",J104&lt;=15,"11-15",J104&lt;=20,"16-20",J104&gt;20,"20+")</f>
        <v>20+</v>
      </c>
      <c r="L104">
        <v>100</v>
      </c>
      <c r="M104" s="2">
        <f>L104</f>
        <v>100</v>
      </c>
      <c r="N104">
        <v>3</v>
      </c>
      <c r="O104">
        <v>1</v>
      </c>
      <c r="P104" t="s">
        <v>2075</v>
      </c>
      <c r="Q104" s="1">
        <v>0.73</v>
      </c>
      <c r="R104" s="1">
        <f t="shared" ref="R104:R107" si="31">Q104</f>
        <v>0.73</v>
      </c>
    </row>
    <row r="105" spans="1:18" x14ac:dyDescent="0.2">
      <c r="A105" t="s">
        <v>280</v>
      </c>
      <c r="B105" t="s">
        <v>281</v>
      </c>
      <c r="C105" t="str">
        <f t="shared" si="15"/>
        <v>Kimberly Holland</v>
      </c>
      <c r="D105" t="s">
        <v>4</v>
      </c>
      <c r="E105" t="str">
        <f t="shared" si="16"/>
        <v>Female</v>
      </c>
      <c r="F105">
        <v>21</v>
      </c>
      <c r="G105" t="s">
        <v>52</v>
      </c>
      <c r="H105" t="s">
        <v>53</v>
      </c>
      <c r="I105" t="s">
        <v>7</v>
      </c>
      <c r="J105">
        <v>2</v>
      </c>
      <c r="K105" t="str" cm="1">
        <f t="array" ref="K105">_xlfn.IFS( J105&lt;=5,"0-5", J105&lt;=10,"6-10",J105&lt;=15,"11-15",J105&lt;=20,"16-20",J105&gt;20,"20+")</f>
        <v>0-5</v>
      </c>
      <c r="L105" t="s">
        <v>54</v>
      </c>
      <c r="M105" t="str">
        <f t="shared" ref="M105:M107" si="32">SUBSTITUTE(L105,"$"," ")</f>
        <v xml:space="preserve"> 50</v>
      </c>
      <c r="N105">
        <v>4.9000000000000004</v>
      </c>
      <c r="O105" t="s">
        <v>58</v>
      </c>
      <c r="Q105" s="1">
        <v>0.68</v>
      </c>
      <c r="R105" s="1">
        <f t="shared" si="31"/>
        <v>0.68</v>
      </c>
    </row>
    <row r="106" spans="1:18" x14ac:dyDescent="0.2">
      <c r="A106" t="s">
        <v>282</v>
      </c>
      <c r="B106" t="s">
        <v>283</v>
      </c>
      <c r="C106" t="str">
        <f t="shared" si="15"/>
        <v>Travis Richardson</v>
      </c>
      <c r="D106" t="s">
        <v>51</v>
      </c>
      <c r="E106" t="str">
        <f t="shared" si="16"/>
        <v>Male</v>
      </c>
      <c r="F106">
        <v>25</v>
      </c>
      <c r="G106" t="s">
        <v>48</v>
      </c>
      <c r="H106" t="s">
        <v>12</v>
      </c>
      <c r="I106" t="s">
        <v>20</v>
      </c>
      <c r="J106">
        <v>3</v>
      </c>
      <c r="K106" t="str" cm="1">
        <f t="array" ref="K106">_xlfn.IFS( J106&lt;=5,"0-5", J106&lt;=10,"6-10",J106&lt;=15,"11-15",J106&lt;=20,"16-20",J106&gt;20,"20+")</f>
        <v>0-5</v>
      </c>
      <c r="L106" t="s">
        <v>35</v>
      </c>
      <c r="M106" t="str">
        <f t="shared" si="32"/>
        <v xml:space="preserve"> 30</v>
      </c>
      <c r="O106" t="s">
        <v>149</v>
      </c>
      <c r="Q106" s="1">
        <v>0.88</v>
      </c>
      <c r="R106" s="1">
        <f t="shared" si="31"/>
        <v>0.88</v>
      </c>
    </row>
    <row r="107" spans="1:18" x14ac:dyDescent="0.2">
      <c r="A107" t="s">
        <v>284</v>
      </c>
      <c r="B107" t="s">
        <v>285</v>
      </c>
      <c r="C107" t="str">
        <f t="shared" si="15"/>
        <v>Jasmin Ho</v>
      </c>
      <c r="D107" t="s">
        <v>10</v>
      </c>
      <c r="E107" t="str">
        <f t="shared" si="16"/>
        <v>Female</v>
      </c>
      <c r="F107">
        <v>57</v>
      </c>
      <c r="G107" t="s">
        <v>125</v>
      </c>
      <c r="H107" t="s">
        <v>126</v>
      </c>
      <c r="I107" t="s">
        <v>79</v>
      </c>
      <c r="J107">
        <v>21</v>
      </c>
      <c r="K107" t="str" cm="1">
        <f t="array" ref="K107">_xlfn.IFS( J107&lt;=5,"0-5", J107&lt;=10,"6-10",J107&lt;=15,"11-15",J107&lt;=20,"16-20",J107&gt;20,"20+")</f>
        <v>20+</v>
      </c>
      <c r="L107" t="s">
        <v>26</v>
      </c>
      <c r="M107" t="str">
        <f t="shared" si="32"/>
        <v xml:space="preserve"> 40</v>
      </c>
      <c r="N107">
        <v>2.5</v>
      </c>
      <c r="O107">
        <v>0</v>
      </c>
      <c r="Q107" s="1">
        <v>0.77</v>
      </c>
      <c r="R107" s="1">
        <f t="shared" si="31"/>
        <v>0.77</v>
      </c>
    </row>
    <row r="108" spans="1:18" x14ac:dyDescent="0.2">
      <c r="A108" t="s">
        <v>286</v>
      </c>
      <c r="B108" t="s">
        <v>287</v>
      </c>
      <c r="C108" t="str">
        <f t="shared" si="15"/>
        <v>Mark Paul</v>
      </c>
      <c r="D108" t="s">
        <v>38</v>
      </c>
      <c r="E108" t="str">
        <f t="shared" si="16"/>
        <v>Male</v>
      </c>
      <c r="F108">
        <v>58</v>
      </c>
      <c r="G108" t="s">
        <v>114</v>
      </c>
      <c r="H108" t="s">
        <v>115</v>
      </c>
      <c r="I108" t="s">
        <v>7</v>
      </c>
      <c r="J108">
        <v>3</v>
      </c>
      <c r="K108" t="str" cm="1">
        <f t="array" ref="K108">_xlfn.IFS( J108&lt;=5,"0-5", J108&lt;=10,"6-10",J108&lt;=15,"11-15",J108&lt;=20,"16-20",J108&gt;20,"20+")</f>
        <v>0-5</v>
      </c>
      <c r="M108"/>
      <c r="N108">
        <v>0</v>
      </c>
      <c r="O108">
        <v>1</v>
      </c>
    </row>
    <row r="109" spans="1:18" x14ac:dyDescent="0.2">
      <c r="A109" t="s">
        <v>288</v>
      </c>
      <c r="B109" t="s">
        <v>289</v>
      </c>
      <c r="C109" t="str">
        <f t="shared" si="15"/>
        <v>Jennifer Lewis</v>
      </c>
      <c r="D109" t="s">
        <v>24</v>
      </c>
      <c r="E109" t="str">
        <f t="shared" si="16"/>
        <v>Female</v>
      </c>
      <c r="F109">
        <v>45</v>
      </c>
      <c r="G109" t="s">
        <v>39</v>
      </c>
      <c r="H109" t="s">
        <v>40</v>
      </c>
      <c r="I109" t="s">
        <v>13</v>
      </c>
      <c r="J109">
        <v>19</v>
      </c>
      <c r="K109" t="str" cm="1">
        <f t="array" ref="K109">_xlfn.IFS( J109&lt;=5,"0-5", J109&lt;=10,"6-10",J109&lt;=15,"11-15",J109&lt;=20,"16-20",J109&gt;20,"20+")</f>
        <v>16-20</v>
      </c>
      <c r="L109">
        <v>40</v>
      </c>
      <c r="M109" s="2">
        <f t="shared" ref="M109:M110" si="33">L109</f>
        <v>40</v>
      </c>
      <c r="O109">
        <v>1</v>
      </c>
      <c r="P109" t="s">
        <v>2075</v>
      </c>
      <c r="Q109" s="1">
        <v>0.72</v>
      </c>
      <c r="R109" s="1">
        <f t="shared" ref="R109:R110" si="34">Q109</f>
        <v>0.72</v>
      </c>
    </row>
    <row r="110" spans="1:18" x14ac:dyDescent="0.2">
      <c r="A110" t="s">
        <v>290</v>
      </c>
      <c r="B110" t="s">
        <v>291</v>
      </c>
      <c r="C110" t="str">
        <f t="shared" si="15"/>
        <v>Elizabeth Lester</v>
      </c>
      <c r="D110" t="s">
        <v>24</v>
      </c>
      <c r="E110" t="str">
        <f t="shared" si="16"/>
        <v>Female</v>
      </c>
      <c r="F110">
        <v>23</v>
      </c>
      <c r="G110" t="s">
        <v>48</v>
      </c>
      <c r="H110" t="s">
        <v>12</v>
      </c>
      <c r="I110" t="s">
        <v>25</v>
      </c>
      <c r="J110">
        <v>0</v>
      </c>
      <c r="K110" t="str" cm="1">
        <f t="array" ref="K110">_xlfn.IFS( J110&lt;=5,"0-5", J110&lt;=10,"6-10",J110&lt;=15,"11-15",J110&lt;=20,"16-20",J110&gt;20,"20+")</f>
        <v>0-5</v>
      </c>
      <c r="L110">
        <v>20</v>
      </c>
      <c r="M110" s="2">
        <f t="shared" si="33"/>
        <v>20</v>
      </c>
      <c r="N110">
        <v>4.7</v>
      </c>
      <c r="O110" t="s">
        <v>64</v>
      </c>
      <c r="P110" t="s">
        <v>2075</v>
      </c>
      <c r="Q110" s="1">
        <v>0.6</v>
      </c>
      <c r="R110" s="1">
        <f t="shared" si="34"/>
        <v>0.6</v>
      </c>
    </row>
    <row r="111" spans="1:18" x14ac:dyDescent="0.2">
      <c r="A111" t="s">
        <v>292</v>
      </c>
      <c r="B111" t="s">
        <v>293</v>
      </c>
      <c r="C111" t="str">
        <f t="shared" si="15"/>
        <v>Kimberly Griffin</v>
      </c>
      <c r="D111" t="s">
        <v>10</v>
      </c>
      <c r="E111" t="str">
        <f t="shared" si="16"/>
        <v>Female</v>
      </c>
      <c r="F111">
        <v>46</v>
      </c>
      <c r="G111" t="s">
        <v>48</v>
      </c>
      <c r="H111" t="s">
        <v>12</v>
      </c>
      <c r="I111" t="s">
        <v>34</v>
      </c>
      <c r="J111">
        <v>9</v>
      </c>
      <c r="K111" t="str" cm="1">
        <f t="array" ref="K111">_xlfn.IFS( J111&lt;=5,"0-5", J111&lt;=10,"6-10",J111&lt;=15,"11-15",J111&lt;=20,"16-20",J111&gt;20,"20+")</f>
        <v>6-10</v>
      </c>
      <c r="L111" t="s">
        <v>35</v>
      </c>
      <c r="M111" t="str">
        <f>SUBSTITUTE(L111,"$"," ")</f>
        <v xml:space="preserve"> 30</v>
      </c>
      <c r="N111">
        <v>3.5</v>
      </c>
      <c r="Q111">
        <v>72</v>
      </c>
      <c r="R111" s="3">
        <f>Q111/100</f>
        <v>0.72</v>
      </c>
    </row>
    <row r="112" spans="1:18" x14ac:dyDescent="0.2">
      <c r="A112" t="s">
        <v>294</v>
      </c>
      <c r="B112" t="s">
        <v>295</v>
      </c>
      <c r="C112" t="str">
        <f t="shared" si="15"/>
        <v>Tyler Warner</v>
      </c>
      <c r="D112" t="s">
        <v>51</v>
      </c>
      <c r="E112" t="str">
        <f t="shared" si="16"/>
        <v>Male</v>
      </c>
      <c r="F112">
        <v>27</v>
      </c>
      <c r="G112" t="s">
        <v>61</v>
      </c>
      <c r="H112" t="s">
        <v>62</v>
      </c>
      <c r="I112" t="s">
        <v>63</v>
      </c>
      <c r="J112">
        <v>5</v>
      </c>
      <c r="K112" t="str" cm="1">
        <f t="array" ref="K112">_xlfn.IFS( J112&lt;=5,"0-5", J112&lt;=10,"6-10",J112&lt;=15,"11-15",J112&lt;=20,"16-20",J112&gt;20,"20+")</f>
        <v>0-5</v>
      </c>
      <c r="L112">
        <v>30</v>
      </c>
      <c r="M112" s="2">
        <f>L112</f>
        <v>30</v>
      </c>
      <c r="O112" t="s">
        <v>21</v>
      </c>
      <c r="P112" t="s">
        <v>2074</v>
      </c>
      <c r="Q112" s="1">
        <v>0.92</v>
      </c>
      <c r="R112" s="1">
        <f>Q112</f>
        <v>0.92</v>
      </c>
    </row>
    <row r="113" spans="1:18" x14ac:dyDescent="0.2">
      <c r="A113" t="s">
        <v>296</v>
      </c>
      <c r="B113" t="s">
        <v>297</v>
      </c>
      <c r="C113" t="str">
        <f t="shared" ref="C113:C176" si="35">B113</f>
        <v>Jane Cox</v>
      </c>
      <c r="D113" t="s">
        <v>10</v>
      </c>
      <c r="E113" t="str">
        <f t="shared" ref="E113:E176" si="36">IF(LOWER(LEFT(D113,1)) ="f", "Female", "Male")</f>
        <v>Female</v>
      </c>
      <c r="F113">
        <v>32</v>
      </c>
      <c r="G113" t="s">
        <v>48</v>
      </c>
      <c r="H113" t="s">
        <v>12</v>
      </c>
      <c r="I113" t="s">
        <v>104</v>
      </c>
      <c r="J113">
        <v>6</v>
      </c>
      <c r="K113" t="str" cm="1">
        <f t="array" ref="K113">_xlfn.IFS( J113&lt;=5,"0-5", J113&lt;=10,"6-10",J113&lt;=15,"11-15",J113&lt;=20,"16-20",J113&gt;20,"20+")</f>
        <v>6-10</v>
      </c>
      <c r="L113" t="s">
        <v>88</v>
      </c>
      <c r="M113" t="str">
        <f t="shared" ref="M113:M114" si="37">_xlfn.TEXTAFTER(L113, " ")</f>
        <v>50</v>
      </c>
      <c r="N113">
        <v>3.4</v>
      </c>
      <c r="O113">
        <v>1</v>
      </c>
    </row>
    <row r="114" spans="1:18" x14ac:dyDescent="0.2">
      <c r="A114" t="s">
        <v>298</v>
      </c>
      <c r="B114" t="s">
        <v>299</v>
      </c>
      <c r="C114" t="str">
        <f t="shared" si="35"/>
        <v>Leah Williams</v>
      </c>
      <c r="D114" t="s">
        <v>4</v>
      </c>
      <c r="E114" t="str">
        <f t="shared" si="36"/>
        <v>Female</v>
      </c>
      <c r="F114">
        <v>48</v>
      </c>
      <c r="G114" t="s">
        <v>61</v>
      </c>
      <c r="H114" t="s">
        <v>62</v>
      </c>
      <c r="I114" t="s">
        <v>104</v>
      </c>
      <c r="J114">
        <v>6</v>
      </c>
      <c r="K114" t="str" cm="1">
        <f t="array" ref="K114">_xlfn.IFS( J114&lt;=5,"0-5", J114&lt;=10,"6-10",J114&lt;=15,"11-15",J114&lt;=20,"16-20",J114&gt;20,"20+")</f>
        <v>6-10</v>
      </c>
      <c r="L114" t="s">
        <v>42</v>
      </c>
      <c r="M114" t="str">
        <f t="shared" si="37"/>
        <v>75</v>
      </c>
      <c r="N114">
        <v>2.5</v>
      </c>
      <c r="Q114" s="1">
        <v>0.92</v>
      </c>
      <c r="R114" s="1">
        <f>Q114</f>
        <v>0.92</v>
      </c>
    </row>
    <row r="115" spans="1:18" x14ac:dyDescent="0.2">
      <c r="A115" t="s">
        <v>300</v>
      </c>
      <c r="B115" t="s">
        <v>301</v>
      </c>
      <c r="C115" t="str">
        <f t="shared" si="35"/>
        <v>Kevin Wong</v>
      </c>
      <c r="D115" t="s">
        <v>17</v>
      </c>
      <c r="E115" t="str">
        <f t="shared" si="36"/>
        <v>Male</v>
      </c>
      <c r="F115">
        <v>30</v>
      </c>
      <c r="G115" t="s">
        <v>52</v>
      </c>
      <c r="H115" t="s">
        <v>53</v>
      </c>
      <c r="I115" t="s">
        <v>13</v>
      </c>
      <c r="J115">
        <v>3</v>
      </c>
      <c r="K115" t="str" cm="1">
        <f t="array" ref="K115">_xlfn.IFS( J115&lt;=5,"0-5", J115&lt;=10,"6-10",J115&lt;=15,"11-15",J115&lt;=20,"16-20",J115&gt;20,"20+")</f>
        <v>0-5</v>
      </c>
      <c r="L115" t="s">
        <v>35</v>
      </c>
      <c r="M115" t="str">
        <f>SUBSTITUTE(L115,"$"," ")</f>
        <v xml:space="preserve"> 30</v>
      </c>
      <c r="N115">
        <v>1.1000000000000001</v>
      </c>
      <c r="O115" t="b">
        <v>1</v>
      </c>
    </row>
    <row r="116" spans="1:18" x14ac:dyDescent="0.2">
      <c r="A116" t="s">
        <v>302</v>
      </c>
      <c r="B116" t="s">
        <v>303</v>
      </c>
      <c r="C116" t="str">
        <f t="shared" si="35"/>
        <v>Robert Andrews</v>
      </c>
      <c r="D116" t="s">
        <v>87</v>
      </c>
      <c r="E116" t="str">
        <f t="shared" si="36"/>
        <v>Male</v>
      </c>
      <c r="F116">
        <v>59</v>
      </c>
      <c r="G116" t="s">
        <v>52</v>
      </c>
      <c r="H116" t="s">
        <v>53</v>
      </c>
      <c r="I116" t="s">
        <v>34</v>
      </c>
      <c r="J116">
        <v>13</v>
      </c>
      <c r="K116" t="str" cm="1">
        <f t="array" ref="K116">_xlfn.IFS( J116&lt;=5,"0-5", J116&lt;=10,"6-10",J116&lt;=15,"11-15",J116&lt;=20,"16-20",J116&gt;20,"20+")</f>
        <v>11-15</v>
      </c>
      <c r="L116" t="s">
        <v>304</v>
      </c>
      <c r="M116" t="str">
        <f>_xlfn.TEXTAFTER(L116, " ")</f>
        <v>20</v>
      </c>
      <c r="N116">
        <v>4.8</v>
      </c>
    </row>
    <row r="117" spans="1:18" x14ac:dyDescent="0.2">
      <c r="A117" t="s">
        <v>305</v>
      </c>
      <c r="B117" t="s">
        <v>306</v>
      </c>
      <c r="C117" t="str">
        <f t="shared" si="35"/>
        <v>Jessica Torres</v>
      </c>
      <c r="D117" t="s">
        <v>29</v>
      </c>
      <c r="E117" t="str">
        <f t="shared" si="36"/>
        <v>Female</v>
      </c>
      <c r="F117">
        <v>32</v>
      </c>
      <c r="G117" t="s">
        <v>169</v>
      </c>
      <c r="H117" t="s">
        <v>62</v>
      </c>
      <c r="I117" t="s">
        <v>34</v>
      </c>
      <c r="J117">
        <v>5</v>
      </c>
      <c r="K117" t="str" cm="1">
        <f t="array" ref="K117">_xlfn.IFS( J117&lt;=5,"0-5", J117&lt;=10,"6-10",J117&lt;=15,"11-15",J117&lt;=20,"16-20",J117&gt;20,"20+")</f>
        <v>0-5</v>
      </c>
      <c r="L117" t="s">
        <v>35</v>
      </c>
      <c r="M117" t="str">
        <f>SUBSTITUTE(L117,"$"," ")</f>
        <v xml:space="preserve"> 30</v>
      </c>
      <c r="O117">
        <v>0</v>
      </c>
      <c r="Q117" s="1">
        <v>0.86</v>
      </c>
      <c r="R117" s="1">
        <f t="shared" ref="R117:R119" si="38">Q117</f>
        <v>0.86</v>
      </c>
    </row>
    <row r="118" spans="1:18" x14ac:dyDescent="0.2">
      <c r="A118" t="s">
        <v>307</v>
      </c>
      <c r="B118" t="s">
        <v>308</v>
      </c>
      <c r="C118" t="str">
        <f t="shared" si="35"/>
        <v>Teresa Kim</v>
      </c>
      <c r="D118" t="s">
        <v>67</v>
      </c>
      <c r="E118" t="str">
        <f t="shared" si="36"/>
        <v>Female</v>
      </c>
      <c r="F118">
        <v>57</v>
      </c>
      <c r="G118" t="s">
        <v>129</v>
      </c>
      <c r="H118" t="s">
        <v>130</v>
      </c>
      <c r="I118" t="s">
        <v>63</v>
      </c>
      <c r="J118">
        <v>4</v>
      </c>
      <c r="K118" t="str" cm="1">
        <f t="array" ref="K118">_xlfn.IFS( J118&lt;=5,"0-5", J118&lt;=10,"6-10",J118&lt;=15,"11-15",J118&lt;=20,"16-20",J118&gt;20,"20+")</f>
        <v>0-5</v>
      </c>
      <c r="L118" t="s">
        <v>45</v>
      </c>
      <c r="M118" t="str">
        <f t="shared" ref="M118:M119" si="39">_xlfn.TEXTAFTER(L118, " ")</f>
        <v>40</v>
      </c>
      <c r="N118">
        <v>3.4</v>
      </c>
      <c r="O118">
        <v>1</v>
      </c>
      <c r="Q118" s="1">
        <v>0.68</v>
      </c>
      <c r="R118" s="1">
        <f t="shared" si="38"/>
        <v>0.68</v>
      </c>
    </row>
    <row r="119" spans="1:18" x14ac:dyDescent="0.2">
      <c r="A119" t="s">
        <v>309</v>
      </c>
      <c r="B119" t="s">
        <v>310</v>
      </c>
      <c r="C119" t="str">
        <f t="shared" si="35"/>
        <v>Jon Morgan</v>
      </c>
      <c r="D119" t="s">
        <v>51</v>
      </c>
      <c r="E119" t="str">
        <f t="shared" si="36"/>
        <v>Male</v>
      </c>
      <c r="F119">
        <v>27</v>
      </c>
      <c r="G119" t="s">
        <v>11</v>
      </c>
      <c r="H119" t="s">
        <v>12</v>
      </c>
      <c r="I119" t="s">
        <v>104</v>
      </c>
      <c r="J119">
        <v>7</v>
      </c>
      <c r="K119" t="str" cm="1">
        <f t="array" ref="K119">_xlfn.IFS( J119&lt;=5,"0-5", J119&lt;=10,"6-10",J119&lt;=15,"11-15",J119&lt;=20,"16-20",J119&gt;20,"20+")</f>
        <v>6-10</v>
      </c>
      <c r="L119" t="s">
        <v>304</v>
      </c>
      <c r="M119" t="str">
        <f t="shared" si="39"/>
        <v>20</v>
      </c>
      <c r="N119">
        <v>3.2</v>
      </c>
      <c r="O119">
        <v>1</v>
      </c>
      <c r="Q119" s="1">
        <v>0.62</v>
      </c>
      <c r="R119" s="1">
        <f t="shared" si="38"/>
        <v>0.62</v>
      </c>
    </row>
    <row r="120" spans="1:18" x14ac:dyDescent="0.2">
      <c r="A120" t="s">
        <v>311</v>
      </c>
      <c r="B120" t="s">
        <v>312</v>
      </c>
      <c r="C120" t="str">
        <f t="shared" si="35"/>
        <v>Gloria Chaney</v>
      </c>
      <c r="D120" t="s">
        <v>24</v>
      </c>
      <c r="E120" t="str">
        <f t="shared" si="36"/>
        <v>Female</v>
      </c>
      <c r="F120">
        <v>33</v>
      </c>
      <c r="G120" t="s">
        <v>39</v>
      </c>
      <c r="H120" t="s">
        <v>40</v>
      </c>
      <c r="I120" t="s">
        <v>104</v>
      </c>
      <c r="J120">
        <v>13</v>
      </c>
      <c r="K120" t="str" cm="1">
        <f t="array" ref="K120">_xlfn.IFS( J120&lt;=5,"0-5", J120&lt;=10,"6-10",J120&lt;=15,"11-15",J120&lt;=20,"16-20",J120&gt;20,"20+")</f>
        <v>11-15</v>
      </c>
      <c r="L120">
        <v>20</v>
      </c>
      <c r="M120" s="2">
        <f t="shared" ref="M120:M122" si="40">L120</f>
        <v>20</v>
      </c>
      <c r="N120">
        <v>3.2</v>
      </c>
      <c r="O120" t="b">
        <v>0</v>
      </c>
      <c r="P120" t="s">
        <v>2074</v>
      </c>
    </row>
    <row r="121" spans="1:18" x14ac:dyDescent="0.2">
      <c r="A121" t="s">
        <v>313</v>
      </c>
      <c r="B121" t="s">
        <v>314</v>
      </c>
      <c r="C121" t="str">
        <f t="shared" si="35"/>
        <v>Jesse Campbell</v>
      </c>
      <c r="D121" t="s">
        <v>17</v>
      </c>
      <c r="E121" t="str">
        <f t="shared" si="36"/>
        <v>Male</v>
      </c>
      <c r="F121">
        <v>29</v>
      </c>
      <c r="G121" t="s">
        <v>102</v>
      </c>
      <c r="H121" t="s">
        <v>103</v>
      </c>
      <c r="I121" t="s">
        <v>41</v>
      </c>
      <c r="J121">
        <v>4</v>
      </c>
      <c r="K121" t="str" cm="1">
        <f t="array" ref="K121">_xlfn.IFS( J121&lt;=5,"0-5", J121&lt;=10,"6-10",J121&lt;=15,"11-15",J121&lt;=20,"16-20",J121&gt;20,"20+")</f>
        <v>0-5</v>
      </c>
      <c r="L121">
        <v>30</v>
      </c>
      <c r="M121" s="2">
        <f t="shared" si="40"/>
        <v>30</v>
      </c>
      <c r="N121">
        <v>0</v>
      </c>
      <c r="O121" t="s">
        <v>64</v>
      </c>
      <c r="P121" t="s">
        <v>2075</v>
      </c>
      <c r="Q121" s="1">
        <v>0.82</v>
      </c>
      <c r="R121" s="1">
        <f>Q121</f>
        <v>0.82</v>
      </c>
    </row>
    <row r="122" spans="1:18" x14ac:dyDescent="0.2">
      <c r="A122" t="s">
        <v>315</v>
      </c>
      <c r="B122" t="s">
        <v>316</v>
      </c>
      <c r="C122" t="str">
        <f t="shared" si="35"/>
        <v>Allison Tucker MD</v>
      </c>
      <c r="D122" t="s">
        <v>29</v>
      </c>
      <c r="E122" t="str">
        <f t="shared" si="36"/>
        <v>Female</v>
      </c>
      <c r="F122">
        <v>36</v>
      </c>
      <c r="G122" t="s">
        <v>39</v>
      </c>
      <c r="H122" t="s">
        <v>40</v>
      </c>
      <c r="I122" t="s">
        <v>63</v>
      </c>
      <c r="J122">
        <v>13</v>
      </c>
      <c r="K122" t="str" cm="1">
        <f t="array" ref="K122">_xlfn.IFS( J122&lt;=5,"0-5", J122&lt;=10,"6-10",J122&lt;=15,"11-15",J122&lt;=20,"16-20",J122&gt;20,"20+")</f>
        <v>11-15</v>
      </c>
      <c r="L122">
        <v>75</v>
      </c>
      <c r="M122" s="2">
        <f t="shared" si="40"/>
        <v>75</v>
      </c>
      <c r="O122">
        <v>1</v>
      </c>
      <c r="P122" t="s">
        <v>2075</v>
      </c>
    </row>
    <row r="123" spans="1:18" x14ac:dyDescent="0.2">
      <c r="A123" t="s">
        <v>317</v>
      </c>
      <c r="B123" t="s">
        <v>318</v>
      </c>
      <c r="C123" t="str">
        <f t="shared" si="35"/>
        <v>Candice Petersen</v>
      </c>
      <c r="D123" t="s">
        <v>67</v>
      </c>
      <c r="E123" t="str">
        <f t="shared" si="36"/>
        <v>Female</v>
      </c>
      <c r="F123">
        <v>47</v>
      </c>
      <c r="G123" t="s">
        <v>5</v>
      </c>
      <c r="H123" t="s">
        <v>6</v>
      </c>
      <c r="I123" t="s">
        <v>79</v>
      </c>
      <c r="J123">
        <v>5</v>
      </c>
      <c r="K123" t="str" cm="1">
        <f t="array" ref="K123">_xlfn.IFS( J123&lt;=5,"0-5", J123&lt;=10,"6-10",J123&lt;=15,"11-15",J123&lt;=20,"16-20",J123&gt;20,"20+")</f>
        <v>0-5</v>
      </c>
      <c r="L123" t="s">
        <v>26</v>
      </c>
      <c r="M123" t="str">
        <f>SUBSTITUTE(L123,"$"," ")</f>
        <v xml:space="preserve"> 40</v>
      </c>
      <c r="N123">
        <v>3.7</v>
      </c>
      <c r="O123" t="b">
        <v>0</v>
      </c>
      <c r="Q123">
        <v>93</v>
      </c>
      <c r="R123" s="3">
        <f>Q123/100</f>
        <v>0.93</v>
      </c>
    </row>
    <row r="124" spans="1:18" x14ac:dyDescent="0.2">
      <c r="A124" t="s">
        <v>319</v>
      </c>
      <c r="B124" t="s">
        <v>320</v>
      </c>
      <c r="C124" t="str">
        <f t="shared" si="35"/>
        <v>Christopher Nichols</v>
      </c>
      <c r="D124" t="s">
        <v>51</v>
      </c>
      <c r="E124" t="str">
        <f t="shared" si="36"/>
        <v>Male</v>
      </c>
      <c r="F124">
        <v>48</v>
      </c>
      <c r="G124" t="s">
        <v>118</v>
      </c>
      <c r="H124" t="s">
        <v>12</v>
      </c>
      <c r="I124" t="s">
        <v>104</v>
      </c>
      <c r="J124">
        <v>15</v>
      </c>
      <c r="K124" t="str" cm="1">
        <f t="array" ref="K124">_xlfn.IFS( J124&lt;=5,"0-5", J124&lt;=10,"6-10",J124&lt;=15,"11-15",J124&lt;=20,"16-20",J124&gt;20,"20+")</f>
        <v>11-15</v>
      </c>
      <c r="L124" t="s">
        <v>88</v>
      </c>
      <c r="M124" t="str">
        <f>_xlfn.TEXTAFTER(L124, " ")</f>
        <v>50</v>
      </c>
      <c r="N124">
        <v>1</v>
      </c>
      <c r="O124" t="s">
        <v>64</v>
      </c>
      <c r="Q124" s="1">
        <v>0.64</v>
      </c>
      <c r="R124" s="1">
        <f>Q124</f>
        <v>0.64</v>
      </c>
    </row>
    <row r="125" spans="1:18" x14ac:dyDescent="0.2">
      <c r="A125" t="s">
        <v>321</v>
      </c>
      <c r="B125" t="s">
        <v>322</v>
      </c>
      <c r="C125" t="str">
        <f t="shared" si="35"/>
        <v>Debra Garcia</v>
      </c>
      <c r="D125" t="s">
        <v>4</v>
      </c>
      <c r="E125" t="str">
        <f t="shared" si="36"/>
        <v>Female</v>
      </c>
      <c r="F125">
        <v>27</v>
      </c>
      <c r="G125" t="s">
        <v>165</v>
      </c>
      <c r="H125" t="s">
        <v>166</v>
      </c>
      <c r="I125" t="s">
        <v>63</v>
      </c>
      <c r="J125">
        <v>8</v>
      </c>
      <c r="K125" t="str" cm="1">
        <f t="array" ref="K125">_xlfn.IFS( J125&lt;=5,"0-5", J125&lt;=10,"6-10",J125&lt;=15,"11-15",J125&lt;=20,"16-20",J125&gt;20,"20+")</f>
        <v>6-10</v>
      </c>
      <c r="L125" t="s">
        <v>54</v>
      </c>
      <c r="M125" t="str">
        <f>SUBSTITUTE(L125,"$"," ")</f>
        <v xml:space="preserve"> 50</v>
      </c>
      <c r="N125">
        <v>0</v>
      </c>
    </row>
    <row r="126" spans="1:18" x14ac:dyDescent="0.2">
      <c r="A126" t="s">
        <v>323</v>
      </c>
      <c r="B126" t="s">
        <v>324</v>
      </c>
      <c r="C126" t="str">
        <f t="shared" si="35"/>
        <v>Andrew Fuentes</v>
      </c>
      <c r="D126" t="s">
        <v>17</v>
      </c>
      <c r="E126" t="str">
        <f t="shared" si="36"/>
        <v>Male</v>
      </c>
      <c r="F126">
        <v>34</v>
      </c>
      <c r="G126" t="s">
        <v>11</v>
      </c>
      <c r="H126" t="s">
        <v>12</v>
      </c>
      <c r="I126" t="s">
        <v>25</v>
      </c>
      <c r="J126">
        <v>10</v>
      </c>
      <c r="K126" t="str" cm="1">
        <f t="array" ref="K126">_xlfn.IFS( J126&lt;=5,"0-5", J126&lt;=10,"6-10",J126&lt;=15,"11-15",J126&lt;=20,"16-20",J126&gt;20,"20+")</f>
        <v>6-10</v>
      </c>
      <c r="M126"/>
      <c r="N126">
        <v>1.7</v>
      </c>
      <c r="O126" t="s">
        <v>21</v>
      </c>
      <c r="Q126" s="1">
        <v>0.96</v>
      </c>
      <c r="R126" s="1">
        <f t="shared" ref="R126:R131" si="41">Q126</f>
        <v>0.96</v>
      </c>
    </row>
    <row r="127" spans="1:18" x14ac:dyDescent="0.2">
      <c r="A127" t="s">
        <v>325</v>
      </c>
      <c r="B127" t="s">
        <v>326</v>
      </c>
      <c r="C127" t="str">
        <f t="shared" si="35"/>
        <v>Jason Carter</v>
      </c>
      <c r="D127" t="s">
        <v>87</v>
      </c>
      <c r="E127" t="str">
        <f t="shared" si="36"/>
        <v>Male</v>
      </c>
      <c r="F127">
        <v>49</v>
      </c>
      <c r="G127" t="s">
        <v>102</v>
      </c>
      <c r="H127" t="s">
        <v>103</v>
      </c>
      <c r="I127" t="s">
        <v>41</v>
      </c>
      <c r="J127">
        <v>19</v>
      </c>
      <c r="K127" t="str" cm="1">
        <f t="array" ref="K127">_xlfn.IFS( J127&lt;=5,"0-5", J127&lt;=10,"6-10",J127&lt;=15,"11-15",J127&lt;=20,"16-20",J127&gt;20,"20+")</f>
        <v>16-20</v>
      </c>
      <c r="M127"/>
      <c r="N127">
        <v>5</v>
      </c>
      <c r="O127" t="s">
        <v>64</v>
      </c>
      <c r="Q127" s="1">
        <v>0.83</v>
      </c>
      <c r="R127" s="1">
        <f t="shared" si="41"/>
        <v>0.83</v>
      </c>
    </row>
    <row r="128" spans="1:18" x14ac:dyDescent="0.2">
      <c r="A128" t="s">
        <v>327</v>
      </c>
      <c r="B128" t="s">
        <v>328</v>
      </c>
      <c r="C128" t="str">
        <f t="shared" si="35"/>
        <v>Austin Romero</v>
      </c>
      <c r="D128" t="s">
        <v>17</v>
      </c>
      <c r="E128" t="str">
        <f t="shared" si="36"/>
        <v>Male</v>
      </c>
      <c r="F128">
        <v>30</v>
      </c>
      <c r="G128" t="s">
        <v>97</v>
      </c>
      <c r="H128" t="s">
        <v>98</v>
      </c>
      <c r="I128" t="s">
        <v>13</v>
      </c>
      <c r="J128">
        <v>10</v>
      </c>
      <c r="K128" t="str" cm="1">
        <f t="array" ref="K128">_xlfn.IFS( J128&lt;=5,"0-5", J128&lt;=10,"6-10",J128&lt;=15,"11-15",J128&lt;=20,"16-20",J128&gt;20,"20+")</f>
        <v>6-10</v>
      </c>
      <c r="L128" t="s">
        <v>219</v>
      </c>
      <c r="M128" t="str">
        <f>SUBSTITUTE(L128,"$"," ")</f>
        <v xml:space="preserve"> 100</v>
      </c>
      <c r="N128">
        <v>1.7</v>
      </c>
      <c r="O128" t="s">
        <v>58</v>
      </c>
      <c r="Q128" s="1">
        <v>0.64</v>
      </c>
      <c r="R128" s="1">
        <f t="shared" si="41"/>
        <v>0.64</v>
      </c>
    </row>
    <row r="129" spans="1:18" x14ac:dyDescent="0.2">
      <c r="A129" t="s">
        <v>329</v>
      </c>
      <c r="B129" t="s">
        <v>330</v>
      </c>
      <c r="C129" t="str">
        <f t="shared" si="35"/>
        <v>Clayton Burns</v>
      </c>
      <c r="D129" t="s">
        <v>17</v>
      </c>
      <c r="E129" t="str">
        <f t="shared" si="36"/>
        <v>Male</v>
      </c>
      <c r="F129">
        <v>31</v>
      </c>
      <c r="G129" t="s">
        <v>129</v>
      </c>
      <c r="H129" t="s">
        <v>130</v>
      </c>
      <c r="I129" t="s">
        <v>20</v>
      </c>
      <c r="J129">
        <v>8</v>
      </c>
      <c r="K129" t="str" cm="1">
        <f t="array" ref="K129">_xlfn.IFS( J129&lt;=5,"0-5", J129&lt;=10,"6-10",J129&lt;=15,"11-15",J129&lt;=20,"16-20",J129&gt;20,"20+")</f>
        <v>6-10</v>
      </c>
      <c r="L129">
        <v>40</v>
      </c>
      <c r="M129" s="2">
        <f t="shared" ref="M129:M131" si="42">L129</f>
        <v>40</v>
      </c>
      <c r="N129">
        <v>4.4000000000000004</v>
      </c>
      <c r="O129">
        <v>0</v>
      </c>
      <c r="P129" t="s">
        <v>2074</v>
      </c>
      <c r="Q129" s="1">
        <v>0.7</v>
      </c>
      <c r="R129" s="1">
        <f t="shared" si="41"/>
        <v>0.7</v>
      </c>
    </row>
    <row r="130" spans="1:18" x14ac:dyDescent="0.2">
      <c r="A130" t="s">
        <v>331</v>
      </c>
      <c r="B130" t="s">
        <v>332</v>
      </c>
      <c r="C130" t="str">
        <f t="shared" si="35"/>
        <v>Jonathan Clark</v>
      </c>
      <c r="D130" t="s">
        <v>38</v>
      </c>
      <c r="E130" t="str">
        <f t="shared" si="36"/>
        <v>Male</v>
      </c>
      <c r="F130">
        <v>58</v>
      </c>
      <c r="G130" t="s">
        <v>165</v>
      </c>
      <c r="H130" t="s">
        <v>166</v>
      </c>
      <c r="I130" t="s">
        <v>104</v>
      </c>
      <c r="J130">
        <v>9</v>
      </c>
      <c r="K130" t="str" cm="1">
        <f t="array" ref="K130">_xlfn.IFS( J130&lt;=5,"0-5", J130&lt;=10,"6-10",J130&lt;=15,"11-15",J130&lt;=20,"16-20",J130&gt;20,"20+")</f>
        <v>6-10</v>
      </c>
      <c r="L130">
        <v>20</v>
      </c>
      <c r="M130" s="2">
        <f t="shared" si="42"/>
        <v>20</v>
      </c>
      <c r="N130">
        <v>0</v>
      </c>
      <c r="O130" t="s">
        <v>21</v>
      </c>
      <c r="P130" t="s">
        <v>2074</v>
      </c>
      <c r="Q130" s="1">
        <v>0.65</v>
      </c>
      <c r="R130" s="1">
        <f t="shared" si="41"/>
        <v>0.65</v>
      </c>
    </row>
    <row r="131" spans="1:18" x14ac:dyDescent="0.2">
      <c r="A131" t="s">
        <v>333</v>
      </c>
      <c r="B131" t="s">
        <v>334</v>
      </c>
      <c r="C131" t="str">
        <f t="shared" si="35"/>
        <v>Alexander Griffin</v>
      </c>
      <c r="D131" t="s">
        <v>87</v>
      </c>
      <c r="E131" t="str">
        <f t="shared" si="36"/>
        <v>Male</v>
      </c>
      <c r="F131">
        <v>47</v>
      </c>
      <c r="G131" t="s">
        <v>125</v>
      </c>
      <c r="H131" t="s">
        <v>126</v>
      </c>
      <c r="I131" t="s">
        <v>104</v>
      </c>
      <c r="J131">
        <v>13</v>
      </c>
      <c r="K131" t="str" cm="1">
        <f t="array" ref="K131">_xlfn.IFS( J131&lt;=5,"0-5", J131&lt;=10,"6-10",J131&lt;=15,"11-15",J131&lt;=20,"16-20",J131&gt;20,"20+")</f>
        <v>11-15</v>
      </c>
      <c r="L131">
        <v>40</v>
      </c>
      <c r="M131" s="2">
        <f t="shared" si="42"/>
        <v>40</v>
      </c>
      <c r="N131">
        <v>3.4</v>
      </c>
      <c r="Q131" s="1">
        <v>0.67</v>
      </c>
      <c r="R131" s="1">
        <f t="shared" si="41"/>
        <v>0.67</v>
      </c>
    </row>
    <row r="132" spans="1:18" x14ac:dyDescent="0.2">
      <c r="A132" t="s">
        <v>335</v>
      </c>
      <c r="B132" t="s">
        <v>336</v>
      </c>
      <c r="C132" t="str">
        <f t="shared" si="35"/>
        <v>Shelly Whitehead</v>
      </c>
      <c r="D132" t="s">
        <v>4</v>
      </c>
      <c r="E132" t="str">
        <f t="shared" si="36"/>
        <v>Female</v>
      </c>
      <c r="F132">
        <v>45</v>
      </c>
      <c r="G132" t="s">
        <v>57</v>
      </c>
      <c r="H132" t="s">
        <v>12</v>
      </c>
      <c r="I132" t="s">
        <v>68</v>
      </c>
      <c r="J132">
        <v>14</v>
      </c>
      <c r="K132" t="str" cm="1">
        <f t="array" ref="K132">_xlfn.IFS( J132&lt;=5,"0-5", J132&lt;=10,"6-10",J132&lt;=15,"11-15",J132&lt;=20,"16-20",J132&gt;20,"20+")</f>
        <v>11-15</v>
      </c>
      <c r="L132" t="s">
        <v>14</v>
      </c>
      <c r="M132" t="str">
        <f>_xlfn.TEXTAFTER(L132, " ")</f>
        <v>100</v>
      </c>
      <c r="N132">
        <v>1.1000000000000001</v>
      </c>
      <c r="O132" t="s">
        <v>149</v>
      </c>
      <c r="Q132">
        <v>93</v>
      </c>
      <c r="R132" s="3">
        <f>Q132/100</f>
        <v>0.93</v>
      </c>
    </row>
    <row r="133" spans="1:18" x14ac:dyDescent="0.2">
      <c r="A133" t="s">
        <v>337</v>
      </c>
      <c r="B133" t="s">
        <v>338</v>
      </c>
      <c r="C133" t="str">
        <f t="shared" si="35"/>
        <v>Kaitlyn Davis</v>
      </c>
      <c r="D133" t="s">
        <v>10</v>
      </c>
      <c r="E133" t="str">
        <f t="shared" si="36"/>
        <v>Female</v>
      </c>
      <c r="F133">
        <v>57</v>
      </c>
      <c r="G133" t="s">
        <v>125</v>
      </c>
      <c r="H133" t="s">
        <v>126</v>
      </c>
      <c r="I133" t="s">
        <v>104</v>
      </c>
      <c r="J133">
        <v>0</v>
      </c>
      <c r="K133" t="str" cm="1">
        <f t="array" ref="K133">_xlfn.IFS( J133&lt;=5,"0-5", J133&lt;=10,"6-10",J133&lt;=15,"11-15",J133&lt;=20,"16-20",J133&gt;20,"20+")</f>
        <v>0-5</v>
      </c>
      <c r="L133">
        <v>50</v>
      </c>
      <c r="M133" s="2">
        <f t="shared" ref="M133:M134" si="43">L133</f>
        <v>50</v>
      </c>
      <c r="N133">
        <v>1.6</v>
      </c>
      <c r="O133" t="s">
        <v>21</v>
      </c>
      <c r="P133" t="s">
        <v>2074</v>
      </c>
      <c r="Q133" s="1">
        <v>0.6</v>
      </c>
      <c r="R133" s="1">
        <f t="shared" ref="R133:R138" si="44">Q133</f>
        <v>0.6</v>
      </c>
    </row>
    <row r="134" spans="1:18" x14ac:dyDescent="0.2">
      <c r="A134" t="s">
        <v>339</v>
      </c>
      <c r="B134" t="s">
        <v>340</v>
      </c>
      <c r="C134" t="str">
        <f t="shared" si="35"/>
        <v>Christopher Jones</v>
      </c>
      <c r="D134" t="s">
        <v>51</v>
      </c>
      <c r="E134" t="str">
        <f t="shared" si="36"/>
        <v>Male</v>
      </c>
      <c r="F134">
        <v>50</v>
      </c>
      <c r="G134" t="s">
        <v>83</v>
      </c>
      <c r="H134" t="s">
        <v>84</v>
      </c>
      <c r="I134" t="s">
        <v>25</v>
      </c>
      <c r="J134">
        <v>22</v>
      </c>
      <c r="K134" t="str" cm="1">
        <f t="array" ref="K134">_xlfn.IFS( J134&lt;=5,"0-5", J134&lt;=10,"6-10",J134&lt;=15,"11-15",J134&lt;=20,"16-20",J134&gt;20,"20+")</f>
        <v>20+</v>
      </c>
      <c r="L134">
        <v>100</v>
      </c>
      <c r="M134" s="2">
        <f t="shared" si="43"/>
        <v>100</v>
      </c>
      <c r="N134">
        <v>4.0999999999999996</v>
      </c>
      <c r="O134" t="s">
        <v>21</v>
      </c>
      <c r="P134" t="s">
        <v>2074</v>
      </c>
      <c r="Q134" s="1">
        <v>0.62</v>
      </c>
      <c r="R134" s="1">
        <f t="shared" si="44"/>
        <v>0.62</v>
      </c>
    </row>
    <row r="135" spans="1:18" x14ac:dyDescent="0.2">
      <c r="A135" t="s">
        <v>341</v>
      </c>
      <c r="B135" t="s">
        <v>342</v>
      </c>
      <c r="C135" t="str">
        <f t="shared" si="35"/>
        <v>Cindy Jacobs</v>
      </c>
      <c r="D135" t="s">
        <v>10</v>
      </c>
      <c r="E135" t="str">
        <f t="shared" si="36"/>
        <v>Female</v>
      </c>
      <c r="G135" t="s">
        <v>97</v>
      </c>
      <c r="H135" t="s">
        <v>98</v>
      </c>
      <c r="I135" t="s">
        <v>104</v>
      </c>
      <c r="J135">
        <v>4</v>
      </c>
      <c r="K135" t="str" cm="1">
        <f t="array" ref="K135">_xlfn.IFS( J135&lt;=5,"0-5", J135&lt;=10,"6-10",J135&lt;=15,"11-15",J135&lt;=20,"16-20",J135&gt;20,"20+")</f>
        <v>0-5</v>
      </c>
      <c r="M135"/>
      <c r="N135">
        <v>2.5</v>
      </c>
      <c r="Q135" s="1">
        <v>0.7</v>
      </c>
      <c r="R135" s="1">
        <f t="shared" si="44"/>
        <v>0.7</v>
      </c>
    </row>
    <row r="136" spans="1:18" x14ac:dyDescent="0.2">
      <c r="A136" t="s">
        <v>343</v>
      </c>
      <c r="B136" t="s">
        <v>344</v>
      </c>
      <c r="C136" t="str">
        <f t="shared" si="35"/>
        <v>Penny Day</v>
      </c>
      <c r="D136" t="s">
        <v>67</v>
      </c>
      <c r="E136" t="str">
        <f t="shared" si="36"/>
        <v>Female</v>
      </c>
      <c r="F136">
        <v>45</v>
      </c>
      <c r="G136" t="s">
        <v>39</v>
      </c>
      <c r="H136" t="s">
        <v>40</v>
      </c>
      <c r="I136" t="s">
        <v>7</v>
      </c>
      <c r="J136">
        <v>22</v>
      </c>
      <c r="K136" t="str" cm="1">
        <f t="array" ref="K136">_xlfn.IFS( J136&lt;=5,"0-5", J136&lt;=10,"6-10",J136&lt;=15,"11-15",J136&lt;=20,"16-20",J136&gt;20,"20+")</f>
        <v>20+</v>
      </c>
      <c r="L136" t="s">
        <v>219</v>
      </c>
      <c r="M136" t="str">
        <f>SUBSTITUTE(L136,"$"," ")</f>
        <v xml:space="preserve"> 100</v>
      </c>
      <c r="N136">
        <v>4</v>
      </c>
      <c r="O136" t="s">
        <v>64</v>
      </c>
      <c r="Q136" s="1">
        <v>0.75</v>
      </c>
      <c r="R136" s="1">
        <f t="shared" si="44"/>
        <v>0.75</v>
      </c>
    </row>
    <row r="137" spans="1:18" x14ac:dyDescent="0.2">
      <c r="A137" t="s">
        <v>345</v>
      </c>
      <c r="B137" t="s">
        <v>346</v>
      </c>
      <c r="C137" t="str">
        <f t="shared" si="35"/>
        <v>Thomas Ingram</v>
      </c>
      <c r="D137" t="s">
        <v>51</v>
      </c>
      <c r="E137" t="str">
        <f t="shared" si="36"/>
        <v>Male</v>
      </c>
      <c r="F137">
        <v>60</v>
      </c>
      <c r="G137" t="s">
        <v>143</v>
      </c>
      <c r="H137" t="s">
        <v>144</v>
      </c>
      <c r="I137" t="s">
        <v>68</v>
      </c>
      <c r="J137">
        <v>39</v>
      </c>
      <c r="K137" t="str" cm="1">
        <f t="array" ref="K137">_xlfn.IFS( J137&lt;=5,"0-5", J137&lt;=10,"6-10",J137&lt;=15,"11-15",J137&lt;=20,"16-20",J137&gt;20,"20+")</f>
        <v>20+</v>
      </c>
      <c r="L137">
        <v>75</v>
      </c>
      <c r="M137" s="2">
        <f>L137</f>
        <v>75</v>
      </c>
      <c r="N137">
        <v>1.4</v>
      </c>
      <c r="O137" t="s">
        <v>149</v>
      </c>
      <c r="P137" t="s">
        <v>2074</v>
      </c>
      <c r="Q137" s="1">
        <v>0.7</v>
      </c>
      <c r="R137" s="1">
        <f t="shared" si="44"/>
        <v>0.7</v>
      </c>
    </row>
    <row r="138" spans="1:18" x14ac:dyDescent="0.2">
      <c r="A138" t="s">
        <v>347</v>
      </c>
      <c r="B138" t="s">
        <v>348</v>
      </c>
      <c r="C138" t="str">
        <f t="shared" si="35"/>
        <v>Donna Hansen</v>
      </c>
      <c r="D138" t="s">
        <v>29</v>
      </c>
      <c r="E138" t="str">
        <f t="shared" si="36"/>
        <v>Female</v>
      </c>
      <c r="F138">
        <v>43</v>
      </c>
      <c r="G138" t="s">
        <v>57</v>
      </c>
      <c r="H138" t="s">
        <v>12</v>
      </c>
      <c r="I138" t="s">
        <v>68</v>
      </c>
      <c r="J138">
        <v>5</v>
      </c>
      <c r="K138" t="str" cm="1">
        <f t="array" ref="K138">_xlfn.IFS( J138&lt;=5,"0-5", J138&lt;=10,"6-10",J138&lt;=15,"11-15",J138&lt;=20,"16-20",J138&gt;20,"20+")</f>
        <v>0-5</v>
      </c>
      <c r="L138" t="s">
        <v>88</v>
      </c>
      <c r="M138" t="str">
        <f t="shared" ref="M138:M139" si="45">_xlfn.TEXTAFTER(L138, " ")</f>
        <v>50</v>
      </c>
      <c r="O138">
        <v>1</v>
      </c>
      <c r="Q138" s="1">
        <v>0.84</v>
      </c>
      <c r="R138" s="1">
        <f t="shared" si="44"/>
        <v>0.84</v>
      </c>
    </row>
    <row r="139" spans="1:18" x14ac:dyDescent="0.2">
      <c r="A139" t="s">
        <v>349</v>
      </c>
      <c r="B139" t="s">
        <v>350</v>
      </c>
      <c r="C139" t="str">
        <f t="shared" si="35"/>
        <v>Donna Bailey</v>
      </c>
      <c r="D139" t="s">
        <v>24</v>
      </c>
      <c r="E139" t="str">
        <f t="shared" si="36"/>
        <v>Female</v>
      </c>
      <c r="F139">
        <v>39</v>
      </c>
      <c r="G139" t="s">
        <v>125</v>
      </c>
      <c r="H139" t="s">
        <v>126</v>
      </c>
      <c r="I139" t="s">
        <v>68</v>
      </c>
      <c r="J139">
        <v>5</v>
      </c>
      <c r="K139" t="str" cm="1">
        <f t="array" ref="K139">_xlfn.IFS( J139&lt;=5,"0-5", J139&lt;=10,"6-10",J139&lt;=15,"11-15",J139&lt;=20,"16-20",J139&gt;20,"20+")</f>
        <v>0-5</v>
      </c>
      <c r="L139" t="s">
        <v>45</v>
      </c>
      <c r="M139" t="str">
        <f t="shared" si="45"/>
        <v>40</v>
      </c>
      <c r="N139">
        <v>1.2</v>
      </c>
      <c r="O139">
        <v>0</v>
      </c>
      <c r="Q139">
        <v>83</v>
      </c>
      <c r="R139" s="3">
        <f>Q139/100</f>
        <v>0.83</v>
      </c>
    </row>
    <row r="140" spans="1:18" x14ac:dyDescent="0.2">
      <c r="A140" t="s">
        <v>351</v>
      </c>
      <c r="B140" t="s">
        <v>352</v>
      </c>
      <c r="C140" t="str">
        <f t="shared" si="35"/>
        <v>Joshua Armstrong</v>
      </c>
      <c r="D140" t="s">
        <v>17</v>
      </c>
      <c r="E140" t="str">
        <f t="shared" si="36"/>
        <v>Male</v>
      </c>
      <c r="F140">
        <v>26</v>
      </c>
      <c r="G140" t="s">
        <v>169</v>
      </c>
      <c r="H140" t="s">
        <v>62</v>
      </c>
      <c r="I140" t="s">
        <v>63</v>
      </c>
      <c r="J140">
        <v>5</v>
      </c>
      <c r="K140" t="str" cm="1">
        <f t="array" ref="K140">_xlfn.IFS( J140&lt;=5,"0-5", J140&lt;=10,"6-10",J140&lt;=15,"11-15",J140&lt;=20,"16-20",J140&gt;20,"20+")</f>
        <v>0-5</v>
      </c>
      <c r="L140">
        <v>50</v>
      </c>
      <c r="M140" s="2">
        <f t="shared" ref="M140:M142" si="46">L140</f>
        <v>50</v>
      </c>
      <c r="N140">
        <v>0</v>
      </c>
      <c r="O140" t="s">
        <v>21</v>
      </c>
      <c r="P140" t="s">
        <v>2074</v>
      </c>
    </row>
    <row r="141" spans="1:18" x14ac:dyDescent="0.2">
      <c r="A141" t="s">
        <v>353</v>
      </c>
      <c r="B141" t="s">
        <v>354</v>
      </c>
      <c r="C141" t="str">
        <f t="shared" si="35"/>
        <v>Jonathan Garza</v>
      </c>
      <c r="D141" t="s">
        <v>38</v>
      </c>
      <c r="E141" t="str">
        <f t="shared" si="36"/>
        <v>Male</v>
      </c>
      <c r="F141">
        <v>31</v>
      </c>
      <c r="G141" t="s">
        <v>18</v>
      </c>
      <c r="H141" t="s">
        <v>19</v>
      </c>
      <c r="I141" t="s">
        <v>68</v>
      </c>
      <c r="J141">
        <v>11</v>
      </c>
      <c r="K141" t="str" cm="1">
        <f t="array" ref="K141">_xlfn.IFS( J141&lt;=5,"0-5", J141&lt;=10,"6-10",J141&lt;=15,"11-15",J141&lt;=20,"16-20",J141&gt;20,"20+")</f>
        <v>11-15</v>
      </c>
      <c r="L141">
        <v>50</v>
      </c>
      <c r="M141" s="2">
        <f t="shared" si="46"/>
        <v>50</v>
      </c>
      <c r="N141">
        <v>3.1</v>
      </c>
      <c r="O141" t="b">
        <v>0</v>
      </c>
      <c r="P141" t="s">
        <v>2074</v>
      </c>
      <c r="Q141" s="1">
        <v>0.88</v>
      </c>
      <c r="R141" s="1">
        <f t="shared" ref="R141:R145" si="47">Q141</f>
        <v>0.88</v>
      </c>
    </row>
    <row r="142" spans="1:18" x14ac:dyDescent="0.2">
      <c r="A142" t="s">
        <v>355</v>
      </c>
      <c r="B142" t="s">
        <v>356</v>
      </c>
      <c r="C142" t="str">
        <f t="shared" si="35"/>
        <v>Charles Jones</v>
      </c>
      <c r="D142" t="s">
        <v>38</v>
      </c>
      <c r="E142" t="str">
        <f t="shared" si="36"/>
        <v>Male</v>
      </c>
      <c r="F142">
        <v>52</v>
      </c>
      <c r="G142" t="s">
        <v>125</v>
      </c>
      <c r="H142" t="s">
        <v>126</v>
      </c>
      <c r="I142" t="s">
        <v>63</v>
      </c>
      <c r="J142">
        <v>15</v>
      </c>
      <c r="K142" t="str" cm="1">
        <f t="array" ref="K142">_xlfn.IFS( J142&lt;=5,"0-5", J142&lt;=10,"6-10",J142&lt;=15,"11-15",J142&lt;=20,"16-20",J142&gt;20,"20+")</f>
        <v>11-15</v>
      </c>
      <c r="L142">
        <v>50</v>
      </c>
      <c r="M142" s="2">
        <f t="shared" si="46"/>
        <v>50</v>
      </c>
      <c r="N142">
        <v>0</v>
      </c>
      <c r="O142" t="s">
        <v>58</v>
      </c>
      <c r="P142" t="s">
        <v>2075</v>
      </c>
      <c r="Q142" s="1">
        <v>0.81</v>
      </c>
      <c r="R142" s="1">
        <f t="shared" si="47"/>
        <v>0.81</v>
      </c>
    </row>
    <row r="143" spans="1:18" x14ac:dyDescent="0.2">
      <c r="A143" t="s">
        <v>357</v>
      </c>
      <c r="B143" t="s">
        <v>358</v>
      </c>
      <c r="C143" t="str">
        <f t="shared" si="35"/>
        <v>Lindsey Miles</v>
      </c>
      <c r="D143" t="s">
        <v>29</v>
      </c>
      <c r="E143" t="str">
        <f t="shared" si="36"/>
        <v>Female</v>
      </c>
      <c r="F143">
        <v>34</v>
      </c>
      <c r="G143" t="s">
        <v>83</v>
      </c>
      <c r="H143" t="s">
        <v>84</v>
      </c>
      <c r="I143" t="s">
        <v>41</v>
      </c>
      <c r="J143">
        <v>5</v>
      </c>
      <c r="K143" t="str" cm="1">
        <f t="array" ref="K143">_xlfn.IFS( J143&lt;=5,"0-5", J143&lt;=10,"6-10",J143&lt;=15,"11-15",J143&lt;=20,"16-20",J143&gt;20,"20+")</f>
        <v>0-5</v>
      </c>
      <c r="L143" t="s">
        <v>304</v>
      </c>
      <c r="M143" t="str">
        <f>_xlfn.TEXTAFTER(L143, " ")</f>
        <v>20</v>
      </c>
      <c r="N143">
        <v>2.2000000000000002</v>
      </c>
      <c r="O143" t="s">
        <v>64</v>
      </c>
      <c r="Q143" s="1">
        <v>0.8</v>
      </c>
      <c r="R143" s="1">
        <f t="shared" si="47"/>
        <v>0.8</v>
      </c>
    </row>
    <row r="144" spans="1:18" x14ac:dyDescent="0.2">
      <c r="A144" t="s">
        <v>359</v>
      </c>
      <c r="B144" t="s">
        <v>360</v>
      </c>
      <c r="C144" t="str">
        <f t="shared" si="35"/>
        <v>Eduardo Reed</v>
      </c>
      <c r="D144" t="s">
        <v>17</v>
      </c>
      <c r="E144" t="str">
        <f t="shared" si="36"/>
        <v>Male</v>
      </c>
      <c r="F144">
        <v>45</v>
      </c>
      <c r="G144" t="s">
        <v>57</v>
      </c>
      <c r="H144" t="s">
        <v>12</v>
      </c>
      <c r="I144" t="s">
        <v>25</v>
      </c>
      <c r="J144">
        <v>7</v>
      </c>
      <c r="K144" t="str" cm="1">
        <f t="array" ref="K144">_xlfn.IFS( J144&lt;=5,"0-5", J144&lt;=10,"6-10",J144&lt;=15,"11-15",J144&lt;=20,"16-20",J144&gt;20,"20+")</f>
        <v>6-10</v>
      </c>
      <c r="L144">
        <v>75</v>
      </c>
      <c r="M144" s="2">
        <f>L144</f>
        <v>75</v>
      </c>
      <c r="N144">
        <v>3</v>
      </c>
      <c r="O144">
        <v>1</v>
      </c>
      <c r="P144" t="s">
        <v>2075</v>
      </c>
      <c r="Q144" s="1">
        <v>0.67</v>
      </c>
      <c r="R144" s="1">
        <f t="shared" si="47"/>
        <v>0.67</v>
      </c>
    </row>
    <row r="145" spans="1:18" x14ac:dyDescent="0.2">
      <c r="A145" t="s">
        <v>361</v>
      </c>
      <c r="B145" t="s">
        <v>362</v>
      </c>
      <c r="C145" t="str">
        <f t="shared" si="35"/>
        <v>Lee Fowler</v>
      </c>
      <c r="D145" t="s">
        <v>38</v>
      </c>
      <c r="E145" t="str">
        <f t="shared" si="36"/>
        <v>Male</v>
      </c>
      <c r="F145">
        <v>46</v>
      </c>
      <c r="G145" t="s">
        <v>57</v>
      </c>
      <c r="H145" t="s">
        <v>12</v>
      </c>
      <c r="I145" t="s">
        <v>68</v>
      </c>
      <c r="J145">
        <v>9</v>
      </c>
      <c r="K145" t="str" cm="1">
        <f t="array" ref="K145">_xlfn.IFS( J145&lt;=5,"0-5", J145&lt;=10,"6-10",J145&lt;=15,"11-15",J145&lt;=20,"16-20",J145&gt;20,"20+")</f>
        <v>6-10</v>
      </c>
      <c r="L145" t="s">
        <v>111</v>
      </c>
      <c r="M145" t="str">
        <f>SUBSTITUTE(L145,"$"," ")</f>
        <v xml:space="preserve"> 20</v>
      </c>
      <c r="N145">
        <v>0</v>
      </c>
      <c r="O145" t="s">
        <v>21</v>
      </c>
      <c r="Q145" s="1">
        <v>0.82</v>
      </c>
      <c r="R145" s="1">
        <f t="shared" si="47"/>
        <v>0.82</v>
      </c>
    </row>
    <row r="146" spans="1:18" x14ac:dyDescent="0.2">
      <c r="A146" t="s">
        <v>363</v>
      </c>
      <c r="B146" t="s">
        <v>364</v>
      </c>
      <c r="C146" t="str">
        <f t="shared" si="35"/>
        <v>Steven Jones Jr.</v>
      </c>
      <c r="D146" t="s">
        <v>38</v>
      </c>
      <c r="E146" t="str">
        <f t="shared" si="36"/>
        <v>Male</v>
      </c>
      <c r="F146">
        <v>56</v>
      </c>
      <c r="G146" t="s">
        <v>125</v>
      </c>
      <c r="H146" t="s">
        <v>126</v>
      </c>
      <c r="I146" t="s">
        <v>63</v>
      </c>
      <c r="J146">
        <v>21</v>
      </c>
      <c r="K146" t="str" cm="1">
        <f t="array" ref="K146">_xlfn.IFS( J146&lt;=5,"0-5", J146&lt;=10,"6-10",J146&lt;=15,"11-15",J146&lt;=20,"16-20",J146&gt;20,"20+")</f>
        <v>20+</v>
      </c>
      <c r="L146" t="s">
        <v>14</v>
      </c>
      <c r="M146" t="str">
        <f>_xlfn.TEXTAFTER(L146, " ")</f>
        <v>100</v>
      </c>
      <c r="N146">
        <v>0</v>
      </c>
      <c r="O146" t="b">
        <v>1</v>
      </c>
      <c r="Q146">
        <v>78</v>
      </c>
      <c r="R146" s="3">
        <f>Q146/100</f>
        <v>0.78</v>
      </c>
    </row>
    <row r="147" spans="1:18" x14ac:dyDescent="0.2">
      <c r="A147" t="s">
        <v>365</v>
      </c>
      <c r="B147" t="s">
        <v>366</v>
      </c>
      <c r="C147" t="str">
        <f t="shared" si="35"/>
        <v>Ashley Chen</v>
      </c>
      <c r="D147" t="s">
        <v>10</v>
      </c>
      <c r="E147" t="str">
        <f t="shared" si="36"/>
        <v>Female</v>
      </c>
      <c r="F147">
        <v>59</v>
      </c>
      <c r="G147" t="s">
        <v>18</v>
      </c>
      <c r="H147" t="s">
        <v>19</v>
      </c>
      <c r="I147" t="s">
        <v>34</v>
      </c>
      <c r="J147">
        <v>7</v>
      </c>
      <c r="K147" t="str" cm="1">
        <f t="array" ref="K147">_xlfn.IFS( J147&lt;=5,"0-5", J147&lt;=10,"6-10",J147&lt;=15,"11-15",J147&lt;=20,"16-20",J147&gt;20,"20+")</f>
        <v>6-10</v>
      </c>
      <c r="L147" t="s">
        <v>26</v>
      </c>
      <c r="M147" t="str">
        <f>SUBSTITUTE(L147,"$"," ")</f>
        <v xml:space="preserve"> 40</v>
      </c>
      <c r="N147">
        <v>1.4</v>
      </c>
      <c r="O147" t="b">
        <v>0</v>
      </c>
      <c r="Q147" s="1">
        <v>0.81</v>
      </c>
      <c r="R147" s="1">
        <f t="shared" ref="R147:R150" si="48">Q147</f>
        <v>0.81</v>
      </c>
    </row>
    <row r="148" spans="1:18" x14ac:dyDescent="0.2">
      <c r="A148" t="s">
        <v>367</v>
      </c>
      <c r="B148" t="s">
        <v>368</v>
      </c>
      <c r="C148" t="str">
        <f t="shared" si="35"/>
        <v>Erica Davis</v>
      </c>
      <c r="D148" t="s">
        <v>10</v>
      </c>
      <c r="E148" t="str">
        <f t="shared" si="36"/>
        <v>Female</v>
      </c>
      <c r="F148">
        <v>54</v>
      </c>
      <c r="G148" t="s">
        <v>129</v>
      </c>
      <c r="H148" t="s">
        <v>130</v>
      </c>
      <c r="I148" t="s">
        <v>7</v>
      </c>
      <c r="J148">
        <v>4</v>
      </c>
      <c r="K148" t="str" cm="1">
        <f t="array" ref="K148">_xlfn.IFS( J148&lt;=5,"0-5", J148&lt;=10,"6-10",J148&lt;=15,"11-15",J148&lt;=20,"16-20",J148&gt;20,"20+")</f>
        <v>0-5</v>
      </c>
      <c r="M148"/>
      <c r="N148">
        <v>1.4</v>
      </c>
      <c r="O148" t="b">
        <v>1</v>
      </c>
      <c r="Q148" s="1">
        <v>0.74</v>
      </c>
      <c r="R148" s="1">
        <f t="shared" si="48"/>
        <v>0.74</v>
      </c>
    </row>
    <row r="149" spans="1:18" x14ac:dyDescent="0.2">
      <c r="A149" t="s">
        <v>369</v>
      </c>
      <c r="B149" t="s">
        <v>370</v>
      </c>
      <c r="C149" t="str">
        <f t="shared" si="35"/>
        <v>Wayne Gonzales</v>
      </c>
      <c r="D149" t="s">
        <v>82</v>
      </c>
      <c r="E149" t="str">
        <f t="shared" si="36"/>
        <v>Male</v>
      </c>
      <c r="F149">
        <v>36</v>
      </c>
      <c r="G149" t="s">
        <v>18</v>
      </c>
      <c r="H149" t="s">
        <v>19</v>
      </c>
      <c r="I149" t="s">
        <v>63</v>
      </c>
      <c r="J149">
        <v>7</v>
      </c>
      <c r="K149" t="str" cm="1">
        <f t="array" ref="K149">_xlfn.IFS( J149&lt;=5,"0-5", J149&lt;=10,"6-10",J149&lt;=15,"11-15",J149&lt;=20,"16-20",J149&gt;20,"20+")</f>
        <v>6-10</v>
      </c>
      <c r="L149">
        <v>30</v>
      </c>
      <c r="M149" s="2">
        <f t="shared" ref="M149:M150" si="49">L149</f>
        <v>30</v>
      </c>
      <c r="N149">
        <v>0</v>
      </c>
      <c r="O149" t="s">
        <v>21</v>
      </c>
      <c r="P149" t="s">
        <v>2074</v>
      </c>
      <c r="Q149" s="1">
        <v>0.88</v>
      </c>
      <c r="R149" s="1">
        <f t="shared" si="48"/>
        <v>0.88</v>
      </c>
    </row>
    <row r="150" spans="1:18" x14ac:dyDescent="0.2">
      <c r="A150" t="s">
        <v>371</v>
      </c>
      <c r="B150" t="s">
        <v>372</v>
      </c>
      <c r="C150" t="str">
        <f t="shared" si="35"/>
        <v>Gary Ballard</v>
      </c>
      <c r="D150" t="s">
        <v>17</v>
      </c>
      <c r="E150" t="str">
        <f t="shared" si="36"/>
        <v>Male</v>
      </c>
      <c r="F150">
        <v>25</v>
      </c>
      <c r="G150" t="s">
        <v>169</v>
      </c>
      <c r="H150" t="s">
        <v>62</v>
      </c>
      <c r="I150" t="s">
        <v>41</v>
      </c>
      <c r="J150">
        <v>0</v>
      </c>
      <c r="K150" t="str" cm="1">
        <f t="array" ref="K150">_xlfn.IFS( J150&lt;=5,"0-5", J150&lt;=10,"6-10",J150&lt;=15,"11-15",J150&lt;=20,"16-20",J150&gt;20,"20+")</f>
        <v>0-5</v>
      </c>
      <c r="L150">
        <v>40</v>
      </c>
      <c r="M150" s="2">
        <f t="shared" si="49"/>
        <v>40</v>
      </c>
      <c r="N150">
        <v>0</v>
      </c>
      <c r="O150">
        <v>0</v>
      </c>
      <c r="P150" t="s">
        <v>2074</v>
      </c>
      <c r="Q150" s="1">
        <v>0.9</v>
      </c>
      <c r="R150" s="1">
        <f t="shared" si="48"/>
        <v>0.9</v>
      </c>
    </row>
    <row r="151" spans="1:18" x14ac:dyDescent="0.2">
      <c r="A151" t="s">
        <v>373</v>
      </c>
      <c r="B151" t="s">
        <v>374</v>
      </c>
      <c r="C151" t="str">
        <f t="shared" si="35"/>
        <v>Maria Mcguire</v>
      </c>
      <c r="D151" t="s">
        <v>10</v>
      </c>
      <c r="E151" t="str">
        <f t="shared" si="36"/>
        <v>Female</v>
      </c>
      <c r="F151">
        <v>37</v>
      </c>
      <c r="G151" t="s">
        <v>114</v>
      </c>
      <c r="H151" t="s">
        <v>115</v>
      </c>
      <c r="I151" t="s">
        <v>41</v>
      </c>
      <c r="J151">
        <v>15</v>
      </c>
      <c r="K151" t="str" cm="1">
        <f t="array" ref="K151">_xlfn.IFS( J151&lt;=5,"0-5", J151&lt;=10,"6-10",J151&lt;=15,"11-15",J151&lt;=20,"16-20",J151&gt;20,"20+")</f>
        <v>11-15</v>
      </c>
      <c r="L151" t="s">
        <v>26</v>
      </c>
      <c r="M151" t="str">
        <f>SUBSTITUTE(L151,"$"," ")</f>
        <v xml:space="preserve"> 40</v>
      </c>
      <c r="N151">
        <v>2.9</v>
      </c>
      <c r="O151" t="b">
        <v>0</v>
      </c>
    </row>
    <row r="152" spans="1:18" x14ac:dyDescent="0.2">
      <c r="A152" t="s">
        <v>375</v>
      </c>
      <c r="B152" t="s">
        <v>376</v>
      </c>
      <c r="C152" t="str">
        <f t="shared" si="35"/>
        <v>Matthew Richards</v>
      </c>
      <c r="D152" t="s">
        <v>82</v>
      </c>
      <c r="E152" t="str">
        <f t="shared" si="36"/>
        <v>Male</v>
      </c>
      <c r="G152" t="s">
        <v>52</v>
      </c>
      <c r="H152" t="s">
        <v>53</v>
      </c>
      <c r="I152" t="s">
        <v>41</v>
      </c>
      <c r="J152">
        <v>10</v>
      </c>
      <c r="K152" t="str" cm="1">
        <f t="array" ref="K152">_xlfn.IFS( J152&lt;=5,"0-5", J152&lt;=10,"6-10",J152&lt;=15,"11-15",J152&lt;=20,"16-20",J152&gt;20,"20+")</f>
        <v>6-10</v>
      </c>
      <c r="L152" t="s">
        <v>45</v>
      </c>
      <c r="M152" t="str">
        <f>_xlfn.TEXTAFTER(L152, " ")</f>
        <v>40</v>
      </c>
      <c r="N152">
        <v>0</v>
      </c>
    </row>
    <row r="153" spans="1:18" x14ac:dyDescent="0.2">
      <c r="A153" t="s">
        <v>377</v>
      </c>
      <c r="B153" t="s">
        <v>378</v>
      </c>
      <c r="C153" t="str">
        <f t="shared" si="35"/>
        <v>Patrick Malone</v>
      </c>
      <c r="D153" t="s">
        <v>38</v>
      </c>
      <c r="E153" t="str">
        <f t="shared" si="36"/>
        <v>Male</v>
      </c>
      <c r="F153">
        <v>29</v>
      </c>
      <c r="G153" t="s">
        <v>180</v>
      </c>
      <c r="H153" t="s">
        <v>62</v>
      </c>
      <c r="I153" t="s">
        <v>41</v>
      </c>
      <c r="J153">
        <v>11</v>
      </c>
      <c r="K153" t="str" cm="1">
        <f t="array" ref="K153">_xlfn.IFS( J153&lt;=5,"0-5", J153&lt;=10,"6-10",J153&lt;=15,"11-15",J153&lt;=20,"16-20",J153&gt;20,"20+")</f>
        <v>11-15</v>
      </c>
      <c r="L153">
        <v>20</v>
      </c>
      <c r="M153" s="2">
        <f t="shared" ref="M153:M154" si="50">L153</f>
        <v>20</v>
      </c>
      <c r="N153">
        <v>2.7</v>
      </c>
      <c r="O153" t="s">
        <v>149</v>
      </c>
      <c r="P153" t="s">
        <v>2074</v>
      </c>
      <c r="Q153" s="1">
        <v>0.93</v>
      </c>
      <c r="R153" s="1">
        <f>Q153</f>
        <v>0.93</v>
      </c>
    </row>
    <row r="154" spans="1:18" x14ac:dyDescent="0.2">
      <c r="A154" t="s">
        <v>379</v>
      </c>
      <c r="B154" t="s">
        <v>380</v>
      </c>
      <c r="C154" t="str">
        <f t="shared" si="35"/>
        <v>Cindy Martin</v>
      </c>
      <c r="D154" t="s">
        <v>29</v>
      </c>
      <c r="E154" t="str">
        <f t="shared" si="36"/>
        <v>Female</v>
      </c>
      <c r="F154">
        <v>55</v>
      </c>
      <c r="G154" t="s">
        <v>61</v>
      </c>
      <c r="H154" t="s">
        <v>62</v>
      </c>
      <c r="I154" t="s">
        <v>13</v>
      </c>
      <c r="J154">
        <v>12</v>
      </c>
      <c r="K154" t="str" cm="1">
        <f t="array" ref="K154">_xlfn.IFS( J154&lt;=5,"0-5", J154&lt;=10,"6-10",J154&lt;=15,"11-15",J154&lt;=20,"16-20",J154&gt;20,"20+")</f>
        <v>11-15</v>
      </c>
      <c r="L154">
        <v>100</v>
      </c>
      <c r="M154" s="2">
        <f t="shared" si="50"/>
        <v>100</v>
      </c>
      <c r="N154">
        <v>1.8</v>
      </c>
      <c r="O154">
        <v>1</v>
      </c>
      <c r="P154" t="s">
        <v>2075</v>
      </c>
    </row>
    <row r="155" spans="1:18" x14ac:dyDescent="0.2">
      <c r="A155" t="s">
        <v>381</v>
      </c>
      <c r="B155" t="s">
        <v>382</v>
      </c>
      <c r="C155" t="str">
        <f t="shared" si="35"/>
        <v>Anne Edwards</v>
      </c>
      <c r="D155" t="s">
        <v>67</v>
      </c>
      <c r="E155" t="str">
        <f t="shared" si="36"/>
        <v>Female</v>
      </c>
      <c r="F155">
        <v>38</v>
      </c>
      <c r="G155" t="s">
        <v>75</v>
      </c>
      <c r="H155" t="s">
        <v>76</v>
      </c>
      <c r="I155" t="s">
        <v>79</v>
      </c>
      <c r="J155">
        <v>20</v>
      </c>
      <c r="K155" t="str" cm="1">
        <f t="array" ref="K155">_xlfn.IFS( J155&lt;=5,"0-5", J155&lt;=10,"6-10",J155&lt;=15,"11-15",J155&lt;=20,"16-20",J155&gt;20,"20+")</f>
        <v>16-20</v>
      </c>
      <c r="L155" t="s">
        <v>160</v>
      </c>
      <c r="M155" t="str">
        <f t="shared" ref="M155:M156" si="51">SUBSTITUTE(L155,"$"," ")</f>
        <v xml:space="preserve"> 75</v>
      </c>
      <c r="N155">
        <v>1.1000000000000001</v>
      </c>
      <c r="O155" t="s">
        <v>149</v>
      </c>
      <c r="Q155" s="1">
        <v>0.71</v>
      </c>
      <c r="R155" s="1">
        <f t="shared" ref="R155:R156" si="52">Q155</f>
        <v>0.71</v>
      </c>
    </row>
    <row r="156" spans="1:18" x14ac:dyDescent="0.2">
      <c r="A156" t="s">
        <v>383</v>
      </c>
      <c r="B156" t="s">
        <v>384</v>
      </c>
      <c r="C156" t="str">
        <f t="shared" si="35"/>
        <v>Mitchell Martin</v>
      </c>
      <c r="D156" t="s">
        <v>87</v>
      </c>
      <c r="E156" t="str">
        <f t="shared" si="36"/>
        <v>Male</v>
      </c>
      <c r="F156">
        <v>47</v>
      </c>
      <c r="G156" t="s">
        <v>102</v>
      </c>
      <c r="H156" t="s">
        <v>103</v>
      </c>
      <c r="I156" t="s">
        <v>79</v>
      </c>
      <c r="J156">
        <v>29</v>
      </c>
      <c r="K156" t="str" cm="1">
        <f t="array" ref="K156">_xlfn.IFS( J156&lt;=5,"0-5", J156&lt;=10,"6-10",J156&lt;=15,"11-15",J156&lt;=20,"16-20",J156&gt;20,"20+")</f>
        <v>20+</v>
      </c>
      <c r="L156" t="s">
        <v>26</v>
      </c>
      <c r="M156" t="str">
        <f t="shared" si="51"/>
        <v xml:space="preserve"> 40</v>
      </c>
      <c r="N156">
        <v>4.3</v>
      </c>
      <c r="O156">
        <v>1</v>
      </c>
      <c r="Q156" s="1">
        <v>0.95</v>
      </c>
      <c r="R156" s="1">
        <f t="shared" si="52"/>
        <v>0.95</v>
      </c>
    </row>
    <row r="157" spans="1:18" x14ac:dyDescent="0.2">
      <c r="A157" t="s">
        <v>385</v>
      </c>
      <c r="B157" t="s">
        <v>386</v>
      </c>
      <c r="C157" t="str">
        <f t="shared" si="35"/>
        <v>Mitchell Patrick</v>
      </c>
      <c r="D157" t="s">
        <v>82</v>
      </c>
      <c r="E157" t="str">
        <f t="shared" si="36"/>
        <v>Male</v>
      </c>
      <c r="F157">
        <v>60</v>
      </c>
      <c r="G157" t="s">
        <v>97</v>
      </c>
      <c r="H157" t="s">
        <v>98</v>
      </c>
      <c r="I157" t="s">
        <v>25</v>
      </c>
      <c r="J157">
        <v>15</v>
      </c>
      <c r="K157" t="str" cm="1">
        <f t="array" ref="K157">_xlfn.IFS( J157&lt;=5,"0-5", J157&lt;=10,"6-10",J157&lt;=15,"11-15",J157&lt;=20,"16-20",J157&gt;20,"20+")</f>
        <v>11-15</v>
      </c>
      <c r="L157">
        <v>100</v>
      </c>
      <c r="M157" s="2">
        <f>L157</f>
        <v>100</v>
      </c>
      <c r="N157">
        <v>1.5</v>
      </c>
      <c r="O157">
        <v>0</v>
      </c>
      <c r="P157" t="s">
        <v>2074</v>
      </c>
      <c r="Q157">
        <v>80</v>
      </c>
      <c r="R157" s="3">
        <f>Q157/100</f>
        <v>0.8</v>
      </c>
    </row>
    <row r="158" spans="1:18" x14ac:dyDescent="0.2">
      <c r="A158" t="s">
        <v>387</v>
      </c>
      <c r="B158" t="s">
        <v>388</v>
      </c>
      <c r="C158" t="str">
        <f t="shared" si="35"/>
        <v>Rebecca Lyons</v>
      </c>
      <c r="D158" t="s">
        <v>10</v>
      </c>
      <c r="E158" t="str">
        <f t="shared" si="36"/>
        <v>Female</v>
      </c>
      <c r="F158">
        <v>43</v>
      </c>
      <c r="G158" t="s">
        <v>5</v>
      </c>
      <c r="H158" t="s">
        <v>6</v>
      </c>
      <c r="I158" t="s">
        <v>41</v>
      </c>
      <c r="J158">
        <v>9</v>
      </c>
      <c r="K158" t="str" cm="1">
        <f t="array" ref="K158">_xlfn.IFS( J158&lt;=5,"0-5", J158&lt;=10,"6-10",J158&lt;=15,"11-15",J158&lt;=20,"16-20",J158&gt;20,"20+")</f>
        <v>6-10</v>
      </c>
      <c r="L158" t="s">
        <v>111</v>
      </c>
      <c r="M158" t="str">
        <f>SUBSTITUTE(L158,"$"," ")</f>
        <v xml:space="preserve"> 20</v>
      </c>
      <c r="N158">
        <v>2.2000000000000002</v>
      </c>
      <c r="O158" t="s">
        <v>21</v>
      </c>
    </row>
    <row r="159" spans="1:18" x14ac:dyDescent="0.2">
      <c r="A159" t="s">
        <v>389</v>
      </c>
      <c r="B159" t="s">
        <v>390</v>
      </c>
      <c r="C159" t="str">
        <f t="shared" si="35"/>
        <v>Christian Lopez</v>
      </c>
      <c r="D159" t="s">
        <v>87</v>
      </c>
      <c r="E159" t="str">
        <f t="shared" si="36"/>
        <v>Male</v>
      </c>
      <c r="F159">
        <v>56</v>
      </c>
      <c r="G159" t="s">
        <v>143</v>
      </c>
      <c r="H159" t="s">
        <v>144</v>
      </c>
      <c r="I159" t="s">
        <v>41</v>
      </c>
      <c r="K159" t="str" cm="1">
        <f t="array" ref="K159">_xlfn.IFS( J159&lt;=5,"0-5", J159&lt;=10,"6-10",J159&lt;=15,"11-15",J159&lt;=20,"16-20",J159&gt;20,"20+")</f>
        <v>0-5</v>
      </c>
      <c r="L159">
        <v>100</v>
      </c>
      <c r="M159" s="2">
        <f>L159</f>
        <v>100</v>
      </c>
      <c r="N159">
        <v>3.2</v>
      </c>
      <c r="O159">
        <v>0</v>
      </c>
      <c r="P159" t="s">
        <v>2074</v>
      </c>
      <c r="Q159" s="1">
        <v>0.62</v>
      </c>
      <c r="R159" s="1">
        <f t="shared" ref="R159:R163" si="53">Q159</f>
        <v>0.62</v>
      </c>
    </row>
    <row r="160" spans="1:18" x14ac:dyDescent="0.2">
      <c r="A160" t="s">
        <v>391</v>
      </c>
      <c r="B160" t="s">
        <v>392</v>
      </c>
      <c r="C160" t="str">
        <f t="shared" si="35"/>
        <v>Nathan Blair</v>
      </c>
      <c r="D160" t="s">
        <v>17</v>
      </c>
      <c r="E160" t="str">
        <f t="shared" si="36"/>
        <v>Male</v>
      </c>
      <c r="F160">
        <v>42</v>
      </c>
      <c r="G160" t="s">
        <v>114</v>
      </c>
      <c r="H160" t="s">
        <v>115</v>
      </c>
      <c r="I160" t="s">
        <v>79</v>
      </c>
      <c r="J160">
        <v>2</v>
      </c>
      <c r="K160" t="str" cm="1">
        <f t="array" ref="K160">_xlfn.IFS( J160&lt;=5,"0-5", J160&lt;=10,"6-10",J160&lt;=15,"11-15",J160&lt;=20,"16-20",J160&gt;20,"20+")</f>
        <v>0-5</v>
      </c>
      <c r="L160" t="s">
        <v>54</v>
      </c>
      <c r="M160" t="str">
        <f>SUBSTITUTE(L160,"$"," ")</f>
        <v xml:space="preserve"> 50</v>
      </c>
      <c r="N160">
        <v>1.9</v>
      </c>
      <c r="O160" t="b">
        <v>0</v>
      </c>
      <c r="Q160" s="1">
        <v>0.95</v>
      </c>
      <c r="R160" s="1">
        <f t="shared" si="53"/>
        <v>0.95</v>
      </c>
    </row>
    <row r="161" spans="1:18" x14ac:dyDescent="0.2">
      <c r="A161" t="s">
        <v>393</v>
      </c>
      <c r="B161" t="s">
        <v>394</v>
      </c>
      <c r="C161" t="str">
        <f t="shared" si="35"/>
        <v>Patricia Lopez</v>
      </c>
      <c r="D161" t="s">
        <v>67</v>
      </c>
      <c r="E161" t="str">
        <f t="shared" si="36"/>
        <v>Female</v>
      </c>
      <c r="F161">
        <v>20</v>
      </c>
      <c r="G161" t="s">
        <v>180</v>
      </c>
      <c r="H161" t="s">
        <v>62</v>
      </c>
      <c r="I161" t="s">
        <v>20</v>
      </c>
      <c r="J161">
        <v>0</v>
      </c>
      <c r="K161" t="str" cm="1">
        <f t="array" ref="K161">_xlfn.IFS( J161&lt;=5,"0-5", J161&lt;=10,"6-10",J161&lt;=15,"11-15",J161&lt;=20,"16-20",J161&gt;20,"20+")</f>
        <v>0-5</v>
      </c>
      <c r="L161">
        <v>40</v>
      </c>
      <c r="M161" s="2">
        <f t="shared" ref="M161:M162" si="54">L161</f>
        <v>40</v>
      </c>
      <c r="N161">
        <v>2.5</v>
      </c>
      <c r="O161">
        <v>0</v>
      </c>
      <c r="P161" t="s">
        <v>2074</v>
      </c>
      <c r="Q161" s="1">
        <v>0.79</v>
      </c>
      <c r="R161" s="1">
        <f t="shared" si="53"/>
        <v>0.79</v>
      </c>
    </row>
    <row r="162" spans="1:18" x14ac:dyDescent="0.2">
      <c r="A162" t="s">
        <v>395</v>
      </c>
      <c r="B162" t="s">
        <v>396</v>
      </c>
      <c r="C162" t="str">
        <f t="shared" si="35"/>
        <v>Michelle Wu</v>
      </c>
      <c r="D162" t="s">
        <v>29</v>
      </c>
      <c r="E162" t="str">
        <f t="shared" si="36"/>
        <v>Female</v>
      </c>
      <c r="F162">
        <v>47</v>
      </c>
      <c r="G162" t="s">
        <v>39</v>
      </c>
      <c r="H162" t="s">
        <v>40</v>
      </c>
      <c r="I162" t="s">
        <v>63</v>
      </c>
      <c r="J162">
        <v>12</v>
      </c>
      <c r="K162" t="str" cm="1">
        <f t="array" ref="K162">_xlfn.IFS( J162&lt;=5,"0-5", J162&lt;=10,"6-10",J162&lt;=15,"11-15",J162&lt;=20,"16-20",J162&gt;20,"20+")</f>
        <v>11-15</v>
      </c>
      <c r="L162">
        <v>40</v>
      </c>
      <c r="M162" s="2">
        <f t="shared" si="54"/>
        <v>40</v>
      </c>
      <c r="N162">
        <v>4.5</v>
      </c>
      <c r="O162" t="s">
        <v>149</v>
      </c>
      <c r="P162" t="s">
        <v>2074</v>
      </c>
      <c r="Q162" s="1">
        <v>0.62</v>
      </c>
      <c r="R162" s="1">
        <f t="shared" si="53"/>
        <v>0.62</v>
      </c>
    </row>
    <row r="163" spans="1:18" x14ac:dyDescent="0.2">
      <c r="A163" t="s">
        <v>397</v>
      </c>
      <c r="B163" t="s">
        <v>398</v>
      </c>
      <c r="C163" t="str">
        <f t="shared" si="35"/>
        <v>Donald Mitchell</v>
      </c>
      <c r="D163" t="s">
        <v>38</v>
      </c>
      <c r="E163" t="str">
        <f t="shared" si="36"/>
        <v>Male</v>
      </c>
      <c r="G163" t="s">
        <v>61</v>
      </c>
      <c r="H163" t="s">
        <v>62</v>
      </c>
      <c r="I163" t="s">
        <v>41</v>
      </c>
      <c r="J163">
        <v>12</v>
      </c>
      <c r="K163" t="str" cm="1">
        <f t="array" ref="K163">_xlfn.IFS( J163&lt;=5,"0-5", J163&lt;=10,"6-10",J163&lt;=15,"11-15",J163&lt;=20,"16-20",J163&gt;20,"20+")</f>
        <v>11-15</v>
      </c>
      <c r="L163" t="s">
        <v>35</v>
      </c>
      <c r="M163" t="str">
        <f>SUBSTITUTE(L163,"$"," ")</f>
        <v xml:space="preserve"> 30</v>
      </c>
      <c r="N163">
        <v>4.0999999999999996</v>
      </c>
      <c r="O163" t="s">
        <v>149</v>
      </c>
      <c r="Q163" s="1">
        <v>0.68</v>
      </c>
      <c r="R163" s="1">
        <f t="shared" si="53"/>
        <v>0.68</v>
      </c>
    </row>
    <row r="164" spans="1:18" x14ac:dyDescent="0.2">
      <c r="A164" t="s">
        <v>399</v>
      </c>
      <c r="B164" t="s">
        <v>400</v>
      </c>
      <c r="C164" t="str">
        <f t="shared" si="35"/>
        <v>Sean Gordon</v>
      </c>
      <c r="D164" t="s">
        <v>82</v>
      </c>
      <c r="E164" t="str">
        <f t="shared" si="36"/>
        <v>Male</v>
      </c>
      <c r="F164">
        <v>56</v>
      </c>
      <c r="G164" t="s">
        <v>39</v>
      </c>
      <c r="H164" t="s">
        <v>40</v>
      </c>
      <c r="I164" t="s">
        <v>79</v>
      </c>
      <c r="J164">
        <v>15</v>
      </c>
      <c r="K164" t="str" cm="1">
        <f t="array" ref="K164">_xlfn.IFS( J164&lt;=5,"0-5", J164&lt;=10,"6-10",J164&lt;=15,"11-15",J164&lt;=20,"16-20",J164&gt;20,"20+")</f>
        <v>11-15</v>
      </c>
      <c r="L164" t="s">
        <v>42</v>
      </c>
      <c r="M164" t="str">
        <f t="shared" ref="M164:M165" si="55">_xlfn.TEXTAFTER(L164, " ")</f>
        <v>75</v>
      </c>
      <c r="N164">
        <v>0</v>
      </c>
      <c r="O164" t="s">
        <v>149</v>
      </c>
    </row>
    <row r="165" spans="1:18" x14ac:dyDescent="0.2">
      <c r="A165" t="s">
        <v>401</v>
      </c>
      <c r="B165" t="s">
        <v>402</v>
      </c>
      <c r="C165" t="str">
        <f t="shared" si="35"/>
        <v>Gregory Clarke</v>
      </c>
      <c r="D165" t="s">
        <v>87</v>
      </c>
      <c r="E165" t="str">
        <f t="shared" si="36"/>
        <v>Male</v>
      </c>
      <c r="F165">
        <v>59</v>
      </c>
      <c r="G165" t="s">
        <v>57</v>
      </c>
      <c r="H165" t="s">
        <v>12</v>
      </c>
      <c r="I165" t="s">
        <v>79</v>
      </c>
      <c r="J165">
        <v>29</v>
      </c>
      <c r="K165" t="str" cm="1">
        <f t="array" ref="K165">_xlfn.IFS( J165&lt;=5,"0-5", J165&lt;=10,"6-10",J165&lt;=15,"11-15",J165&lt;=20,"16-20",J165&gt;20,"20+")</f>
        <v>20+</v>
      </c>
      <c r="L165" t="s">
        <v>42</v>
      </c>
      <c r="M165" t="str">
        <f t="shared" si="55"/>
        <v>75</v>
      </c>
      <c r="O165">
        <v>0</v>
      </c>
      <c r="Q165" s="1">
        <v>0.8</v>
      </c>
      <c r="R165" s="1">
        <f t="shared" ref="R165:R169" si="56">Q165</f>
        <v>0.8</v>
      </c>
    </row>
    <row r="166" spans="1:18" x14ac:dyDescent="0.2">
      <c r="A166" t="s">
        <v>403</v>
      </c>
      <c r="B166" t="s">
        <v>404</v>
      </c>
      <c r="C166" t="str">
        <f t="shared" si="35"/>
        <v>Steven Whitney</v>
      </c>
      <c r="D166" t="s">
        <v>51</v>
      </c>
      <c r="E166" t="str">
        <f t="shared" si="36"/>
        <v>Male</v>
      </c>
      <c r="F166">
        <v>56</v>
      </c>
      <c r="G166" t="s">
        <v>75</v>
      </c>
      <c r="H166" t="s">
        <v>76</v>
      </c>
      <c r="I166" t="s">
        <v>68</v>
      </c>
      <c r="J166">
        <v>15</v>
      </c>
      <c r="K166" t="str" cm="1">
        <f t="array" ref="K166">_xlfn.IFS( J166&lt;=5,"0-5", J166&lt;=10,"6-10",J166&lt;=15,"11-15",J166&lt;=20,"16-20",J166&gt;20,"20+")</f>
        <v>11-15</v>
      </c>
      <c r="L166">
        <v>40</v>
      </c>
      <c r="M166" s="2">
        <f>L166</f>
        <v>40</v>
      </c>
      <c r="N166">
        <v>3.7</v>
      </c>
      <c r="Q166" s="1">
        <v>0.92</v>
      </c>
      <c r="R166" s="1">
        <f t="shared" si="56"/>
        <v>0.92</v>
      </c>
    </row>
    <row r="167" spans="1:18" x14ac:dyDescent="0.2">
      <c r="A167" t="s">
        <v>405</v>
      </c>
      <c r="B167" t="s">
        <v>406</v>
      </c>
      <c r="C167" t="str">
        <f t="shared" si="35"/>
        <v>Robin Acosta</v>
      </c>
      <c r="D167" t="s">
        <v>29</v>
      </c>
      <c r="E167" t="str">
        <f t="shared" si="36"/>
        <v>Female</v>
      </c>
      <c r="F167">
        <v>31</v>
      </c>
      <c r="G167" t="s">
        <v>143</v>
      </c>
      <c r="H167" t="s">
        <v>144</v>
      </c>
      <c r="I167" t="s">
        <v>25</v>
      </c>
      <c r="K167" t="str" cm="1">
        <f t="array" ref="K167">_xlfn.IFS( J167&lt;=5,"0-5", J167&lt;=10,"6-10",J167&lt;=15,"11-15",J167&lt;=20,"16-20",J167&gt;20,"20+")</f>
        <v>0-5</v>
      </c>
      <c r="L167" t="s">
        <v>42</v>
      </c>
      <c r="M167" t="str">
        <f>_xlfn.TEXTAFTER(L167, " ")</f>
        <v>75</v>
      </c>
      <c r="N167">
        <v>1.3</v>
      </c>
      <c r="O167">
        <v>1</v>
      </c>
      <c r="Q167" s="1">
        <v>0.65</v>
      </c>
      <c r="R167" s="1">
        <f t="shared" si="56"/>
        <v>0.65</v>
      </c>
    </row>
    <row r="168" spans="1:18" x14ac:dyDescent="0.2">
      <c r="A168" t="s">
        <v>407</v>
      </c>
      <c r="B168" t="s">
        <v>408</v>
      </c>
      <c r="C168" t="str">
        <f t="shared" si="35"/>
        <v>John Smith</v>
      </c>
      <c r="D168" t="s">
        <v>38</v>
      </c>
      <c r="E168" t="str">
        <f t="shared" si="36"/>
        <v>Male</v>
      </c>
      <c r="F168">
        <v>60</v>
      </c>
      <c r="G168" t="s">
        <v>102</v>
      </c>
      <c r="H168" t="s">
        <v>103</v>
      </c>
      <c r="I168" t="s">
        <v>13</v>
      </c>
      <c r="J168">
        <v>33</v>
      </c>
      <c r="K168" t="str" cm="1">
        <f t="array" ref="K168">_xlfn.IFS( J168&lt;=5,"0-5", J168&lt;=10,"6-10",J168&lt;=15,"11-15",J168&lt;=20,"16-20",J168&gt;20,"20+")</f>
        <v>20+</v>
      </c>
      <c r="L168">
        <v>40</v>
      </c>
      <c r="M168" s="2">
        <f t="shared" ref="M168:M173" si="57">L168</f>
        <v>40</v>
      </c>
      <c r="N168">
        <v>3.6</v>
      </c>
      <c r="O168">
        <v>1</v>
      </c>
      <c r="P168" t="s">
        <v>2075</v>
      </c>
      <c r="Q168" s="1">
        <v>0.87</v>
      </c>
      <c r="R168" s="1">
        <f t="shared" si="56"/>
        <v>0.87</v>
      </c>
    </row>
    <row r="169" spans="1:18" x14ac:dyDescent="0.2">
      <c r="A169" t="s">
        <v>409</v>
      </c>
      <c r="B169" t="s">
        <v>410</v>
      </c>
      <c r="C169" t="str">
        <f t="shared" si="35"/>
        <v>Susan Baker</v>
      </c>
      <c r="D169" t="s">
        <v>10</v>
      </c>
      <c r="E169" t="str">
        <f t="shared" si="36"/>
        <v>Female</v>
      </c>
      <c r="F169">
        <v>31</v>
      </c>
      <c r="G169" t="s">
        <v>118</v>
      </c>
      <c r="H169" t="s">
        <v>12</v>
      </c>
      <c r="I169" t="s">
        <v>25</v>
      </c>
      <c r="J169">
        <v>10</v>
      </c>
      <c r="K169" t="str" cm="1">
        <f t="array" ref="K169">_xlfn.IFS( J169&lt;=5,"0-5", J169&lt;=10,"6-10",J169&lt;=15,"11-15",J169&lt;=20,"16-20",J169&gt;20,"20+")</f>
        <v>6-10</v>
      </c>
      <c r="L169">
        <v>75</v>
      </c>
      <c r="M169" s="2">
        <f t="shared" si="57"/>
        <v>75</v>
      </c>
      <c r="N169">
        <v>0</v>
      </c>
      <c r="O169" t="s">
        <v>149</v>
      </c>
      <c r="P169" t="s">
        <v>2074</v>
      </c>
      <c r="Q169" s="1">
        <v>0.7</v>
      </c>
      <c r="R169" s="1">
        <f t="shared" si="56"/>
        <v>0.7</v>
      </c>
    </row>
    <row r="170" spans="1:18" x14ac:dyDescent="0.2">
      <c r="A170" t="s">
        <v>411</v>
      </c>
      <c r="B170" t="s">
        <v>412</v>
      </c>
      <c r="C170" t="str">
        <f t="shared" si="35"/>
        <v>Anthony Larsen</v>
      </c>
      <c r="D170" t="s">
        <v>51</v>
      </c>
      <c r="E170" t="str">
        <f t="shared" si="36"/>
        <v>Male</v>
      </c>
      <c r="F170">
        <v>60</v>
      </c>
      <c r="G170" t="s">
        <v>61</v>
      </c>
      <c r="H170" t="s">
        <v>62</v>
      </c>
      <c r="I170" t="s">
        <v>68</v>
      </c>
      <c r="J170">
        <v>20</v>
      </c>
      <c r="K170" t="str" cm="1">
        <f t="array" ref="K170">_xlfn.IFS( J170&lt;=5,"0-5", J170&lt;=10,"6-10",J170&lt;=15,"11-15",J170&lt;=20,"16-20",J170&gt;20,"20+")</f>
        <v>16-20</v>
      </c>
      <c r="L170">
        <v>40</v>
      </c>
      <c r="M170" s="2">
        <f t="shared" si="57"/>
        <v>40</v>
      </c>
      <c r="N170">
        <v>1.4</v>
      </c>
      <c r="O170" t="s">
        <v>149</v>
      </c>
      <c r="P170" t="s">
        <v>2074</v>
      </c>
      <c r="Q170">
        <v>87</v>
      </c>
      <c r="R170" s="3">
        <f>Q170/100</f>
        <v>0.87</v>
      </c>
    </row>
    <row r="171" spans="1:18" x14ac:dyDescent="0.2">
      <c r="A171" t="s">
        <v>413</v>
      </c>
      <c r="B171" t="s">
        <v>414</v>
      </c>
      <c r="C171" t="str">
        <f t="shared" si="35"/>
        <v>Nicholas Carpenter</v>
      </c>
      <c r="D171" t="s">
        <v>51</v>
      </c>
      <c r="E171" t="str">
        <f t="shared" si="36"/>
        <v>Male</v>
      </c>
      <c r="F171">
        <v>46</v>
      </c>
      <c r="G171" t="s">
        <v>125</v>
      </c>
      <c r="H171" t="s">
        <v>126</v>
      </c>
      <c r="I171" t="s">
        <v>79</v>
      </c>
      <c r="J171">
        <v>23</v>
      </c>
      <c r="K171" t="str" cm="1">
        <f t="array" ref="K171">_xlfn.IFS( J171&lt;=5,"0-5", J171&lt;=10,"6-10",J171&lt;=15,"11-15",J171&lt;=20,"16-20",J171&gt;20,"20+")</f>
        <v>20+</v>
      </c>
      <c r="L171">
        <v>20</v>
      </c>
      <c r="M171" s="2">
        <f t="shared" si="57"/>
        <v>20</v>
      </c>
      <c r="N171">
        <v>2.9</v>
      </c>
      <c r="O171" t="s">
        <v>21</v>
      </c>
      <c r="P171" t="s">
        <v>2074</v>
      </c>
      <c r="Q171" s="1">
        <v>0.72</v>
      </c>
      <c r="R171" s="1">
        <f t="shared" ref="R171:R173" si="58">Q171</f>
        <v>0.72</v>
      </c>
    </row>
    <row r="172" spans="1:18" x14ac:dyDescent="0.2">
      <c r="A172" t="s">
        <v>415</v>
      </c>
      <c r="B172" t="s">
        <v>416</v>
      </c>
      <c r="C172" t="str">
        <f t="shared" si="35"/>
        <v>Debra Salazar</v>
      </c>
      <c r="D172" t="s">
        <v>24</v>
      </c>
      <c r="E172" t="str">
        <f t="shared" si="36"/>
        <v>Female</v>
      </c>
      <c r="G172" t="s">
        <v>32</v>
      </c>
      <c r="H172" t="s">
        <v>33</v>
      </c>
      <c r="I172" t="s">
        <v>7</v>
      </c>
      <c r="K172" t="str" cm="1">
        <f t="array" ref="K172">_xlfn.IFS( J172&lt;=5,"0-5", J172&lt;=10,"6-10",J172&lt;=15,"11-15",J172&lt;=20,"16-20",J172&gt;20,"20+")</f>
        <v>0-5</v>
      </c>
      <c r="L172">
        <v>40</v>
      </c>
      <c r="M172" s="2">
        <f t="shared" si="57"/>
        <v>40</v>
      </c>
      <c r="N172">
        <v>2.8</v>
      </c>
      <c r="O172" t="s">
        <v>21</v>
      </c>
      <c r="P172" t="s">
        <v>2074</v>
      </c>
      <c r="Q172" s="1">
        <v>0.8</v>
      </c>
      <c r="R172" s="1">
        <f t="shared" si="58"/>
        <v>0.8</v>
      </c>
    </row>
    <row r="173" spans="1:18" x14ac:dyDescent="0.2">
      <c r="A173" t="s">
        <v>417</v>
      </c>
      <c r="B173" t="s">
        <v>418</v>
      </c>
      <c r="C173" t="str">
        <f t="shared" si="35"/>
        <v>William Smith</v>
      </c>
      <c r="D173" t="s">
        <v>87</v>
      </c>
      <c r="E173" t="str">
        <f t="shared" si="36"/>
        <v>Male</v>
      </c>
      <c r="F173">
        <v>34</v>
      </c>
      <c r="G173" t="s">
        <v>75</v>
      </c>
      <c r="H173" t="s">
        <v>76</v>
      </c>
      <c r="I173" t="s">
        <v>63</v>
      </c>
      <c r="J173">
        <v>0</v>
      </c>
      <c r="K173" t="str" cm="1">
        <f t="array" ref="K173">_xlfn.IFS( J173&lt;=5,"0-5", J173&lt;=10,"6-10",J173&lt;=15,"11-15",J173&lt;=20,"16-20",J173&gt;20,"20+")</f>
        <v>0-5</v>
      </c>
      <c r="L173">
        <v>20</v>
      </c>
      <c r="M173" s="2">
        <f t="shared" si="57"/>
        <v>20</v>
      </c>
      <c r="N173">
        <v>1.7</v>
      </c>
      <c r="O173">
        <v>0</v>
      </c>
      <c r="P173" t="s">
        <v>2074</v>
      </c>
      <c r="Q173" s="1">
        <v>0.66</v>
      </c>
      <c r="R173" s="1">
        <f t="shared" si="58"/>
        <v>0.66</v>
      </c>
    </row>
    <row r="174" spans="1:18" x14ac:dyDescent="0.2">
      <c r="A174" t="s">
        <v>419</v>
      </c>
      <c r="B174" t="s">
        <v>420</v>
      </c>
      <c r="C174" t="str">
        <f t="shared" si="35"/>
        <v>Caroline Gross</v>
      </c>
      <c r="D174" t="s">
        <v>4</v>
      </c>
      <c r="E174" t="str">
        <f t="shared" si="36"/>
        <v>Female</v>
      </c>
      <c r="F174">
        <v>42</v>
      </c>
      <c r="G174" t="s">
        <v>32</v>
      </c>
      <c r="H174" t="s">
        <v>33</v>
      </c>
      <c r="I174" t="s">
        <v>20</v>
      </c>
      <c r="J174">
        <v>7</v>
      </c>
      <c r="K174" t="str" cm="1">
        <f t="array" ref="K174">_xlfn.IFS( J174&lt;=5,"0-5", J174&lt;=10,"6-10",J174&lt;=15,"11-15",J174&lt;=20,"16-20",J174&gt;20,"20+")</f>
        <v>6-10</v>
      </c>
      <c r="L174" t="s">
        <v>45</v>
      </c>
      <c r="M174" t="str">
        <f t="shared" ref="M174:M175" si="59">_xlfn.TEXTAFTER(L174, " ")</f>
        <v>40</v>
      </c>
      <c r="N174">
        <v>0</v>
      </c>
      <c r="O174">
        <v>1</v>
      </c>
    </row>
    <row r="175" spans="1:18" x14ac:dyDescent="0.2">
      <c r="A175" t="s">
        <v>421</v>
      </c>
      <c r="B175" t="s">
        <v>422</v>
      </c>
      <c r="C175" t="str">
        <f t="shared" si="35"/>
        <v>Jeremy Sawyer</v>
      </c>
      <c r="D175" t="s">
        <v>82</v>
      </c>
      <c r="E175" t="str">
        <f t="shared" si="36"/>
        <v>Male</v>
      </c>
      <c r="F175">
        <v>31</v>
      </c>
      <c r="G175" t="s">
        <v>57</v>
      </c>
      <c r="H175" t="s">
        <v>12</v>
      </c>
      <c r="I175" t="s">
        <v>41</v>
      </c>
      <c r="J175">
        <v>4</v>
      </c>
      <c r="K175" t="str" cm="1">
        <f t="array" ref="K175">_xlfn.IFS( J175&lt;=5,"0-5", J175&lt;=10,"6-10",J175&lt;=15,"11-15",J175&lt;=20,"16-20",J175&gt;20,"20+")</f>
        <v>0-5</v>
      </c>
      <c r="L175" t="s">
        <v>42</v>
      </c>
      <c r="M175" t="str">
        <f t="shared" si="59"/>
        <v>75</v>
      </c>
      <c r="N175">
        <v>1.1000000000000001</v>
      </c>
      <c r="O175" t="b">
        <v>1</v>
      </c>
      <c r="Q175" s="1">
        <v>0.64</v>
      </c>
      <c r="R175" s="1">
        <f t="shared" ref="R175:R187" si="60">Q175</f>
        <v>0.64</v>
      </c>
    </row>
    <row r="176" spans="1:18" x14ac:dyDescent="0.2">
      <c r="A176" t="s">
        <v>423</v>
      </c>
      <c r="B176" t="s">
        <v>424</v>
      </c>
      <c r="C176" t="str">
        <f t="shared" si="35"/>
        <v>Eduardo Burns</v>
      </c>
      <c r="D176" t="s">
        <v>17</v>
      </c>
      <c r="E176" t="str">
        <f t="shared" si="36"/>
        <v>Male</v>
      </c>
      <c r="F176">
        <v>29</v>
      </c>
      <c r="G176" t="s">
        <v>97</v>
      </c>
      <c r="H176" t="s">
        <v>98</v>
      </c>
      <c r="I176" t="s">
        <v>63</v>
      </c>
      <c r="J176">
        <v>9</v>
      </c>
      <c r="K176" t="str" cm="1">
        <f t="array" ref="K176">_xlfn.IFS( J176&lt;=5,"0-5", J176&lt;=10,"6-10",J176&lt;=15,"11-15",J176&lt;=20,"16-20",J176&gt;20,"20+")</f>
        <v>6-10</v>
      </c>
      <c r="L176">
        <v>20</v>
      </c>
      <c r="M176" s="2">
        <f t="shared" ref="M176:M178" si="61">L176</f>
        <v>20</v>
      </c>
      <c r="Q176" s="1">
        <v>0.68</v>
      </c>
      <c r="R176" s="1">
        <f t="shared" si="60"/>
        <v>0.68</v>
      </c>
    </row>
    <row r="177" spans="1:18" x14ac:dyDescent="0.2">
      <c r="A177" t="s">
        <v>425</v>
      </c>
      <c r="B177" t="s">
        <v>426</v>
      </c>
      <c r="C177" t="str">
        <f t="shared" ref="C177:C240" si="62">B177</f>
        <v>Amanda Jones</v>
      </c>
      <c r="D177" t="s">
        <v>29</v>
      </c>
      <c r="E177" t="str">
        <f t="shared" ref="E177:E240" si="63">IF(LOWER(LEFT(D177,1)) ="f", "Female", "Male")</f>
        <v>Female</v>
      </c>
      <c r="F177">
        <v>57</v>
      </c>
      <c r="G177" t="s">
        <v>11</v>
      </c>
      <c r="H177" t="s">
        <v>12</v>
      </c>
      <c r="I177" t="s">
        <v>20</v>
      </c>
      <c r="J177">
        <v>17</v>
      </c>
      <c r="K177" t="str" cm="1">
        <f t="array" ref="K177">_xlfn.IFS( J177&lt;=5,"0-5", J177&lt;=10,"6-10",J177&lt;=15,"11-15",J177&lt;=20,"16-20",J177&gt;20,"20+")</f>
        <v>16-20</v>
      </c>
      <c r="L177">
        <v>20</v>
      </c>
      <c r="M177" s="2">
        <f t="shared" si="61"/>
        <v>20</v>
      </c>
      <c r="N177">
        <v>3.6</v>
      </c>
      <c r="O177">
        <v>0</v>
      </c>
      <c r="P177" t="s">
        <v>2074</v>
      </c>
      <c r="Q177" s="1">
        <v>0.63</v>
      </c>
      <c r="R177" s="1">
        <f t="shared" si="60"/>
        <v>0.63</v>
      </c>
    </row>
    <row r="178" spans="1:18" x14ac:dyDescent="0.2">
      <c r="A178" t="s">
        <v>427</v>
      </c>
      <c r="B178" t="s">
        <v>428</v>
      </c>
      <c r="C178" t="str">
        <f t="shared" si="62"/>
        <v>Frederick Ware</v>
      </c>
      <c r="D178" t="s">
        <v>51</v>
      </c>
      <c r="E178" t="str">
        <f t="shared" si="63"/>
        <v>Male</v>
      </c>
      <c r="F178">
        <v>47</v>
      </c>
      <c r="G178" t="s">
        <v>83</v>
      </c>
      <c r="H178" t="s">
        <v>84</v>
      </c>
      <c r="I178" t="s">
        <v>79</v>
      </c>
      <c r="J178">
        <v>8</v>
      </c>
      <c r="K178" t="str" cm="1">
        <f t="array" ref="K178">_xlfn.IFS( J178&lt;=5,"0-5", J178&lt;=10,"6-10",J178&lt;=15,"11-15",J178&lt;=20,"16-20",J178&gt;20,"20+")</f>
        <v>6-10</v>
      </c>
      <c r="L178">
        <v>20</v>
      </c>
      <c r="M178" s="2">
        <f t="shared" si="61"/>
        <v>20</v>
      </c>
      <c r="N178">
        <v>4.5</v>
      </c>
      <c r="O178">
        <v>1</v>
      </c>
      <c r="P178" t="s">
        <v>2075</v>
      </c>
      <c r="Q178" s="1">
        <v>0.72</v>
      </c>
      <c r="R178" s="1">
        <f t="shared" si="60"/>
        <v>0.72</v>
      </c>
    </row>
    <row r="179" spans="1:18" x14ac:dyDescent="0.2">
      <c r="A179" t="s">
        <v>429</v>
      </c>
      <c r="B179" t="s">
        <v>430</v>
      </c>
      <c r="C179" t="str">
        <f t="shared" si="62"/>
        <v>Michael Black</v>
      </c>
      <c r="D179" t="s">
        <v>51</v>
      </c>
      <c r="E179" t="str">
        <f t="shared" si="63"/>
        <v>Male</v>
      </c>
      <c r="F179">
        <v>47</v>
      </c>
      <c r="G179" t="s">
        <v>143</v>
      </c>
      <c r="H179" t="s">
        <v>144</v>
      </c>
      <c r="I179" t="s">
        <v>34</v>
      </c>
      <c r="J179">
        <v>14</v>
      </c>
      <c r="K179" t="str" cm="1">
        <f t="array" ref="K179">_xlfn.IFS( J179&lt;=5,"0-5", J179&lt;=10,"6-10",J179&lt;=15,"11-15",J179&lt;=20,"16-20",J179&gt;20,"20+")</f>
        <v>11-15</v>
      </c>
      <c r="L179" t="s">
        <v>35</v>
      </c>
      <c r="M179" t="str">
        <f>SUBSTITUTE(L179,"$"," ")</f>
        <v xml:space="preserve"> 30</v>
      </c>
      <c r="N179">
        <v>0</v>
      </c>
      <c r="O179" t="b">
        <v>1</v>
      </c>
      <c r="Q179" s="1">
        <v>0.86</v>
      </c>
      <c r="R179" s="1">
        <f t="shared" si="60"/>
        <v>0.86</v>
      </c>
    </row>
    <row r="180" spans="1:18" x14ac:dyDescent="0.2">
      <c r="A180" t="s">
        <v>431</v>
      </c>
      <c r="B180" t="s">
        <v>432</v>
      </c>
      <c r="C180" t="str">
        <f t="shared" si="62"/>
        <v>Patricia Sanders</v>
      </c>
      <c r="D180" t="s">
        <v>10</v>
      </c>
      <c r="E180" t="str">
        <f t="shared" si="63"/>
        <v>Female</v>
      </c>
      <c r="F180">
        <v>45</v>
      </c>
      <c r="G180" t="s">
        <v>125</v>
      </c>
      <c r="H180" t="s">
        <v>126</v>
      </c>
      <c r="I180" t="s">
        <v>20</v>
      </c>
      <c r="J180">
        <v>21</v>
      </c>
      <c r="K180" t="str" cm="1">
        <f t="array" ref="K180">_xlfn.IFS( J180&lt;=5,"0-5", J180&lt;=10,"6-10",J180&lt;=15,"11-15",J180&lt;=20,"16-20",J180&gt;20,"20+")</f>
        <v>20+</v>
      </c>
      <c r="L180" t="s">
        <v>99</v>
      </c>
      <c r="M180" t="str">
        <f>_xlfn.TEXTAFTER(L180, " ")</f>
        <v>30</v>
      </c>
      <c r="N180">
        <v>1.5</v>
      </c>
      <c r="O180">
        <v>1</v>
      </c>
      <c r="Q180" s="1">
        <v>0.73</v>
      </c>
      <c r="R180" s="1">
        <f t="shared" si="60"/>
        <v>0.73</v>
      </c>
    </row>
    <row r="181" spans="1:18" x14ac:dyDescent="0.2">
      <c r="A181" t="s">
        <v>433</v>
      </c>
      <c r="B181" t="s">
        <v>434</v>
      </c>
      <c r="C181" t="str">
        <f t="shared" si="62"/>
        <v>Marc Joseph</v>
      </c>
      <c r="D181" t="s">
        <v>38</v>
      </c>
      <c r="E181" t="str">
        <f t="shared" si="63"/>
        <v>Male</v>
      </c>
      <c r="F181">
        <v>24</v>
      </c>
      <c r="G181" t="s">
        <v>52</v>
      </c>
      <c r="H181" t="s">
        <v>53</v>
      </c>
      <c r="I181" t="s">
        <v>104</v>
      </c>
      <c r="J181">
        <v>1</v>
      </c>
      <c r="K181" t="str" cm="1">
        <f t="array" ref="K181">_xlfn.IFS( J181&lt;=5,"0-5", J181&lt;=10,"6-10",J181&lt;=15,"11-15",J181&lt;=20,"16-20",J181&gt;20,"20+")</f>
        <v>0-5</v>
      </c>
      <c r="L181" t="s">
        <v>35</v>
      </c>
      <c r="M181" t="str">
        <f>SUBSTITUTE(L181,"$"," ")</f>
        <v xml:space="preserve"> 30</v>
      </c>
      <c r="N181">
        <v>3.7</v>
      </c>
      <c r="O181" t="s">
        <v>149</v>
      </c>
      <c r="Q181" s="1">
        <v>0.95</v>
      </c>
      <c r="R181" s="1">
        <f t="shared" si="60"/>
        <v>0.95</v>
      </c>
    </row>
    <row r="182" spans="1:18" x14ac:dyDescent="0.2">
      <c r="A182" t="s">
        <v>435</v>
      </c>
      <c r="B182" t="s">
        <v>436</v>
      </c>
      <c r="C182" t="str">
        <f t="shared" si="62"/>
        <v>Vanessa White</v>
      </c>
      <c r="D182" t="s">
        <v>10</v>
      </c>
      <c r="E182" t="str">
        <f t="shared" si="63"/>
        <v>Female</v>
      </c>
      <c r="F182">
        <v>31</v>
      </c>
      <c r="G182" t="s">
        <v>61</v>
      </c>
      <c r="H182" t="s">
        <v>62</v>
      </c>
      <c r="I182" t="s">
        <v>13</v>
      </c>
      <c r="J182">
        <v>12</v>
      </c>
      <c r="K182" t="str" cm="1">
        <f t="array" ref="K182">_xlfn.IFS( J182&lt;=5,"0-5", J182&lt;=10,"6-10",J182&lt;=15,"11-15",J182&lt;=20,"16-20",J182&gt;20,"20+")</f>
        <v>11-15</v>
      </c>
      <c r="L182">
        <v>20</v>
      </c>
      <c r="M182" s="2">
        <f>L182</f>
        <v>20</v>
      </c>
      <c r="N182">
        <v>2.2999999999999998</v>
      </c>
      <c r="O182" t="b">
        <v>0</v>
      </c>
      <c r="P182" t="s">
        <v>2074</v>
      </c>
      <c r="Q182" s="1">
        <v>0.9</v>
      </c>
      <c r="R182" s="1">
        <f t="shared" si="60"/>
        <v>0.9</v>
      </c>
    </row>
    <row r="183" spans="1:18" x14ac:dyDescent="0.2">
      <c r="A183" t="s">
        <v>437</v>
      </c>
      <c r="B183" t="s">
        <v>438</v>
      </c>
      <c r="C183" t="str">
        <f t="shared" si="62"/>
        <v>Jennifer Garcia</v>
      </c>
      <c r="D183" t="s">
        <v>24</v>
      </c>
      <c r="E183" t="str">
        <f t="shared" si="63"/>
        <v>Female</v>
      </c>
      <c r="F183">
        <v>20</v>
      </c>
      <c r="G183" t="s">
        <v>169</v>
      </c>
      <c r="H183" t="s">
        <v>62</v>
      </c>
      <c r="I183" t="s">
        <v>20</v>
      </c>
      <c r="J183">
        <v>2</v>
      </c>
      <c r="K183" t="str" cm="1">
        <f t="array" ref="K183">_xlfn.IFS( J183&lt;=5,"0-5", J183&lt;=10,"6-10",J183&lt;=15,"11-15",J183&lt;=20,"16-20",J183&gt;20,"20+")</f>
        <v>0-5</v>
      </c>
      <c r="L183" t="s">
        <v>111</v>
      </c>
      <c r="M183" t="str">
        <f>SUBSTITUTE(L183,"$"," ")</f>
        <v xml:space="preserve"> 20</v>
      </c>
      <c r="N183">
        <v>2.8</v>
      </c>
      <c r="O183">
        <v>0</v>
      </c>
      <c r="Q183" s="1">
        <v>0.78</v>
      </c>
      <c r="R183" s="1">
        <f t="shared" si="60"/>
        <v>0.78</v>
      </c>
    </row>
    <row r="184" spans="1:18" x14ac:dyDescent="0.2">
      <c r="A184" t="s">
        <v>439</v>
      </c>
      <c r="B184" t="s">
        <v>440</v>
      </c>
      <c r="C184" t="str">
        <f t="shared" si="62"/>
        <v>Michael Zavala</v>
      </c>
      <c r="D184" t="s">
        <v>51</v>
      </c>
      <c r="E184" t="str">
        <f t="shared" si="63"/>
        <v>Male</v>
      </c>
      <c r="F184">
        <v>38</v>
      </c>
      <c r="G184" t="s">
        <v>75</v>
      </c>
      <c r="H184" t="s">
        <v>76</v>
      </c>
      <c r="I184" t="s">
        <v>25</v>
      </c>
      <c r="J184">
        <v>3</v>
      </c>
      <c r="K184" t="str" cm="1">
        <f t="array" ref="K184">_xlfn.IFS( J184&lt;=5,"0-5", J184&lt;=10,"6-10",J184&lt;=15,"11-15",J184&lt;=20,"16-20",J184&gt;20,"20+")</f>
        <v>0-5</v>
      </c>
      <c r="L184">
        <v>30</v>
      </c>
      <c r="M184" s="2">
        <f>L184</f>
        <v>30</v>
      </c>
      <c r="N184">
        <v>3.5</v>
      </c>
      <c r="O184" t="s">
        <v>149</v>
      </c>
      <c r="P184" t="s">
        <v>2074</v>
      </c>
      <c r="Q184" s="1">
        <v>0.97</v>
      </c>
      <c r="R184" s="1">
        <f t="shared" si="60"/>
        <v>0.97</v>
      </c>
    </row>
    <row r="185" spans="1:18" x14ac:dyDescent="0.2">
      <c r="A185" t="s">
        <v>441</v>
      </c>
      <c r="B185" t="s">
        <v>442</v>
      </c>
      <c r="C185" t="str">
        <f t="shared" si="62"/>
        <v>Kimberly Williams</v>
      </c>
      <c r="D185" t="s">
        <v>29</v>
      </c>
      <c r="E185" t="str">
        <f t="shared" si="63"/>
        <v>Female</v>
      </c>
      <c r="F185">
        <v>33</v>
      </c>
      <c r="G185" t="s">
        <v>18</v>
      </c>
      <c r="H185" t="s">
        <v>19</v>
      </c>
      <c r="I185" t="s">
        <v>63</v>
      </c>
      <c r="J185">
        <v>11</v>
      </c>
      <c r="K185" t="str" cm="1">
        <f t="array" ref="K185">_xlfn.IFS( J185&lt;=5,"0-5", J185&lt;=10,"6-10",J185&lt;=15,"11-15",J185&lt;=20,"16-20",J185&gt;20,"20+")</f>
        <v>11-15</v>
      </c>
      <c r="M185"/>
      <c r="N185">
        <v>0</v>
      </c>
      <c r="O185" t="s">
        <v>58</v>
      </c>
      <c r="Q185" s="1">
        <v>0.65</v>
      </c>
      <c r="R185" s="1">
        <f t="shared" si="60"/>
        <v>0.65</v>
      </c>
    </row>
    <row r="186" spans="1:18" x14ac:dyDescent="0.2">
      <c r="A186" t="s">
        <v>443</v>
      </c>
      <c r="B186" t="s">
        <v>444</v>
      </c>
      <c r="C186" t="str">
        <f t="shared" si="62"/>
        <v>Elizabeth Jenkins</v>
      </c>
      <c r="D186" t="s">
        <v>24</v>
      </c>
      <c r="E186" t="str">
        <f t="shared" si="63"/>
        <v>Female</v>
      </c>
      <c r="F186">
        <v>31</v>
      </c>
      <c r="G186" t="s">
        <v>11</v>
      </c>
      <c r="H186" t="s">
        <v>12</v>
      </c>
      <c r="I186" t="s">
        <v>25</v>
      </c>
      <c r="J186">
        <v>4</v>
      </c>
      <c r="K186" t="str" cm="1">
        <f t="array" ref="K186">_xlfn.IFS( J186&lt;=5,"0-5", J186&lt;=10,"6-10",J186&lt;=15,"11-15",J186&lt;=20,"16-20",J186&gt;20,"20+")</f>
        <v>0-5</v>
      </c>
      <c r="L186">
        <v>40</v>
      </c>
      <c r="M186" s="2">
        <f t="shared" ref="M186:M187" si="64">L186</f>
        <v>40</v>
      </c>
      <c r="N186">
        <v>3.2</v>
      </c>
      <c r="O186">
        <v>1</v>
      </c>
      <c r="P186" t="s">
        <v>2075</v>
      </c>
      <c r="Q186" s="1">
        <v>0.78</v>
      </c>
      <c r="R186" s="1">
        <f t="shared" si="60"/>
        <v>0.78</v>
      </c>
    </row>
    <row r="187" spans="1:18" x14ac:dyDescent="0.2">
      <c r="A187" t="s">
        <v>445</v>
      </c>
      <c r="B187" t="s">
        <v>446</v>
      </c>
      <c r="C187" t="str">
        <f t="shared" si="62"/>
        <v>Brandon Ford</v>
      </c>
      <c r="D187" t="s">
        <v>38</v>
      </c>
      <c r="E187" t="str">
        <f t="shared" si="63"/>
        <v>Male</v>
      </c>
      <c r="F187">
        <v>41</v>
      </c>
      <c r="G187" t="s">
        <v>180</v>
      </c>
      <c r="H187" t="s">
        <v>62</v>
      </c>
      <c r="I187" t="s">
        <v>104</v>
      </c>
      <c r="J187">
        <v>21</v>
      </c>
      <c r="K187" t="str" cm="1">
        <f t="array" ref="K187">_xlfn.IFS( J187&lt;=5,"0-5", J187&lt;=10,"6-10",J187&lt;=15,"11-15",J187&lt;=20,"16-20",J187&gt;20,"20+")</f>
        <v>20+</v>
      </c>
      <c r="L187">
        <v>50</v>
      </c>
      <c r="M187" s="2">
        <f t="shared" si="64"/>
        <v>50</v>
      </c>
      <c r="N187">
        <v>3.3</v>
      </c>
      <c r="O187" t="s">
        <v>64</v>
      </c>
      <c r="P187" t="s">
        <v>2075</v>
      </c>
      <c r="Q187" s="1">
        <v>0.65</v>
      </c>
      <c r="R187" s="1">
        <f t="shared" si="60"/>
        <v>0.65</v>
      </c>
    </row>
    <row r="188" spans="1:18" x14ac:dyDescent="0.2">
      <c r="A188" t="s">
        <v>447</v>
      </c>
      <c r="B188" t="s">
        <v>448</v>
      </c>
      <c r="C188" t="str">
        <f t="shared" si="62"/>
        <v>Justin House</v>
      </c>
      <c r="D188" t="s">
        <v>51</v>
      </c>
      <c r="E188" t="str">
        <f t="shared" si="63"/>
        <v>Male</v>
      </c>
      <c r="F188">
        <v>54</v>
      </c>
      <c r="G188" t="s">
        <v>52</v>
      </c>
      <c r="H188" t="s">
        <v>53</v>
      </c>
      <c r="I188" t="s">
        <v>25</v>
      </c>
      <c r="J188">
        <v>0</v>
      </c>
      <c r="K188" t="str" cm="1">
        <f t="array" ref="K188">_xlfn.IFS( J188&lt;=5,"0-5", J188&lt;=10,"6-10",J188&lt;=15,"11-15",J188&lt;=20,"16-20",J188&gt;20,"20+")</f>
        <v>0-5</v>
      </c>
      <c r="L188" t="s">
        <v>111</v>
      </c>
      <c r="M188" t="str">
        <f>SUBSTITUTE(L188,"$"," ")</f>
        <v xml:space="preserve"> 20</v>
      </c>
      <c r="N188">
        <v>4.9000000000000004</v>
      </c>
    </row>
    <row r="189" spans="1:18" x14ac:dyDescent="0.2">
      <c r="A189" t="s">
        <v>449</v>
      </c>
      <c r="B189" t="s">
        <v>450</v>
      </c>
      <c r="C189" t="str">
        <f t="shared" si="62"/>
        <v>Henry Mullen</v>
      </c>
      <c r="D189" t="s">
        <v>17</v>
      </c>
      <c r="E189" t="str">
        <f t="shared" si="63"/>
        <v>Male</v>
      </c>
      <c r="F189">
        <v>50</v>
      </c>
      <c r="G189" t="s">
        <v>169</v>
      </c>
      <c r="H189" t="s">
        <v>62</v>
      </c>
      <c r="I189" t="s">
        <v>41</v>
      </c>
      <c r="J189">
        <v>6</v>
      </c>
      <c r="K189" t="str" cm="1">
        <f t="array" ref="K189">_xlfn.IFS( J189&lt;=5,"0-5", J189&lt;=10,"6-10",J189&lt;=15,"11-15",J189&lt;=20,"16-20",J189&gt;20,"20+")</f>
        <v>6-10</v>
      </c>
      <c r="L189">
        <v>30</v>
      </c>
      <c r="M189" s="2">
        <f>L189</f>
        <v>30</v>
      </c>
      <c r="N189">
        <v>2.2000000000000002</v>
      </c>
      <c r="O189">
        <v>1</v>
      </c>
      <c r="P189" t="s">
        <v>2075</v>
      </c>
      <c r="Q189" s="1">
        <v>0.95</v>
      </c>
      <c r="R189" s="1">
        <f t="shared" ref="R189:R190" si="65">Q189</f>
        <v>0.95</v>
      </c>
    </row>
    <row r="190" spans="1:18" x14ac:dyDescent="0.2">
      <c r="A190" t="s">
        <v>451</v>
      </c>
      <c r="B190" t="s">
        <v>452</v>
      </c>
      <c r="C190" t="str">
        <f t="shared" si="62"/>
        <v>Jesse Cochran</v>
      </c>
      <c r="D190" t="s">
        <v>51</v>
      </c>
      <c r="E190" t="str">
        <f t="shared" si="63"/>
        <v>Male</v>
      </c>
      <c r="F190">
        <v>48</v>
      </c>
      <c r="G190" t="s">
        <v>97</v>
      </c>
      <c r="H190" t="s">
        <v>98</v>
      </c>
      <c r="I190" t="s">
        <v>104</v>
      </c>
      <c r="J190">
        <v>18</v>
      </c>
      <c r="K190" t="str" cm="1">
        <f t="array" ref="K190">_xlfn.IFS( J190&lt;=5,"0-5", J190&lt;=10,"6-10",J190&lt;=15,"11-15",J190&lt;=20,"16-20",J190&gt;20,"20+")</f>
        <v>16-20</v>
      </c>
      <c r="L190" t="s">
        <v>45</v>
      </c>
      <c r="M190" t="str">
        <f>_xlfn.TEXTAFTER(L190, " ")</f>
        <v>40</v>
      </c>
      <c r="O190">
        <v>1</v>
      </c>
      <c r="Q190" s="1">
        <v>0.88</v>
      </c>
      <c r="R190" s="1">
        <f t="shared" si="65"/>
        <v>0.88</v>
      </c>
    </row>
    <row r="191" spans="1:18" x14ac:dyDescent="0.2">
      <c r="A191" t="s">
        <v>453</v>
      </c>
      <c r="B191" t="s">
        <v>454</v>
      </c>
      <c r="C191" t="str">
        <f t="shared" si="62"/>
        <v>Melissa Rich</v>
      </c>
      <c r="D191" t="s">
        <v>4</v>
      </c>
      <c r="E191" t="str">
        <f t="shared" si="63"/>
        <v>Female</v>
      </c>
      <c r="F191">
        <v>49</v>
      </c>
      <c r="G191" t="s">
        <v>169</v>
      </c>
      <c r="H191" t="s">
        <v>62</v>
      </c>
      <c r="I191" t="s">
        <v>20</v>
      </c>
      <c r="K191" t="str" cm="1">
        <f t="array" ref="K191">_xlfn.IFS( J191&lt;=5,"0-5", J191&lt;=10,"6-10",J191&lt;=15,"11-15",J191&lt;=20,"16-20",J191&gt;20,"20+")</f>
        <v>0-5</v>
      </c>
      <c r="M191"/>
      <c r="N191">
        <v>1.8</v>
      </c>
      <c r="O191">
        <v>0</v>
      </c>
    </row>
    <row r="192" spans="1:18" x14ac:dyDescent="0.2">
      <c r="A192" t="s">
        <v>455</v>
      </c>
      <c r="B192" t="s">
        <v>456</v>
      </c>
      <c r="C192" t="str">
        <f t="shared" si="62"/>
        <v>Patrick Dunlap</v>
      </c>
      <c r="D192" t="s">
        <v>87</v>
      </c>
      <c r="E192" t="str">
        <f t="shared" si="63"/>
        <v>Male</v>
      </c>
      <c r="F192">
        <v>21</v>
      </c>
      <c r="G192" t="s">
        <v>102</v>
      </c>
      <c r="H192" t="s">
        <v>103</v>
      </c>
      <c r="I192" t="s">
        <v>20</v>
      </c>
      <c r="J192">
        <v>1</v>
      </c>
      <c r="K192" t="str" cm="1">
        <f t="array" ref="K192">_xlfn.IFS( J192&lt;=5,"0-5", J192&lt;=10,"6-10",J192&lt;=15,"11-15",J192&lt;=20,"16-20",J192&gt;20,"20+")</f>
        <v>0-5</v>
      </c>
      <c r="L192">
        <v>75</v>
      </c>
      <c r="M192" s="2">
        <f t="shared" ref="M192:M193" si="66">L192</f>
        <v>75</v>
      </c>
      <c r="N192">
        <v>4.5999999999999996</v>
      </c>
      <c r="O192">
        <v>0</v>
      </c>
      <c r="P192" t="s">
        <v>2074</v>
      </c>
      <c r="Q192" s="1">
        <v>0.92</v>
      </c>
      <c r="R192" s="1">
        <f t="shared" ref="R192:R197" si="67">Q192</f>
        <v>0.92</v>
      </c>
    </row>
    <row r="193" spans="1:18" x14ac:dyDescent="0.2">
      <c r="A193" t="s">
        <v>457</v>
      </c>
      <c r="B193" t="s">
        <v>458</v>
      </c>
      <c r="C193" t="str">
        <f t="shared" si="62"/>
        <v>Troy Carson</v>
      </c>
      <c r="D193" t="s">
        <v>82</v>
      </c>
      <c r="E193" t="str">
        <f t="shared" si="63"/>
        <v>Male</v>
      </c>
      <c r="F193">
        <v>58</v>
      </c>
      <c r="G193" t="s">
        <v>11</v>
      </c>
      <c r="H193" t="s">
        <v>12</v>
      </c>
      <c r="I193" t="s">
        <v>20</v>
      </c>
      <c r="J193">
        <v>20</v>
      </c>
      <c r="K193" t="str" cm="1">
        <f t="array" ref="K193">_xlfn.IFS( J193&lt;=5,"0-5", J193&lt;=10,"6-10",J193&lt;=15,"11-15",J193&lt;=20,"16-20",J193&gt;20,"20+")</f>
        <v>16-20</v>
      </c>
      <c r="L193">
        <v>75</v>
      </c>
      <c r="M193" s="2">
        <f t="shared" si="66"/>
        <v>75</v>
      </c>
      <c r="N193">
        <v>2.8</v>
      </c>
      <c r="O193" t="s">
        <v>149</v>
      </c>
      <c r="P193" t="s">
        <v>2074</v>
      </c>
      <c r="Q193" s="1">
        <v>0.75</v>
      </c>
      <c r="R193" s="1">
        <f t="shared" si="67"/>
        <v>0.75</v>
      </c>
    </row>
    <row r="194" spans="1:18" x14ac:dyDescent="0.2">
      <c r="A194" t="s">
        <v>459</v>
      </c>
      <c r="B194" t="s">
        <v>253</v>
      </c>
      <c r="C194" t="str">
        <f t="shared" si="62"/>
        <v>Matthew Smith</v>
      </c>
      <c r="D194" t="s">
        <v>51</v>
      </c>
      <c r="E194" t="str">
        <f t="shared" si="63"/>
        <v>Male</v>
      </c>
      <c r="F194">
        <v>41</v>
      </c>
      <c r="G194" t="s">
        <v>5</v>
      </c>
      <c r="H194" t="s">
        <v>6</v>
      </c>
      <c r="I194" t="s">
        <v>79</v>
      </c>
      <c r="K194" t="str" cm="1">
        <f t="array" ref="K194">_xlfn.IFS( J194&lt;=5,"0-5", J194&lt;=10,"6-10",J194&lt;=15,"11-15",J194&lt;=20,"16-20",J194&gt;20,"20+")</f>
        <v>0-5</v>
      </c>
      <c r="L194" t="s">
        <v>35</v>
      </c>
      <c r="M194" t="str">
        <f t="shared" ref="M194:M195" si="68">SUBSTITUTE(L194,"$"," ")</f>
        <v xml:space="preserve"> 30</v>
      </c>
      <c r="N194">
        <v>1.4</v>
      </c>
      <c r="O194" t="b">
        <v>0</v>
      </c>
      <c r="Q194" s="1">
        <v>0.74</v>
      </c>
      <c r="R194" s="1">
        <f t="shared" si="67"/>
        <v>0.74</v>
      </c>
    </row>
    <row r="195" spans="1:18" x14ac:dyDescent="0.2">
      <c r="A195" t="s">
        <v>460</v>
      </c>
      <c r="B195" t="s">
        <v>461</v>
      </c>
      <c r="C195" t="str">
        <f t="shared" si="62"/>
        <v>Jennifer Cherry</v>
      </c>
      <c r="D195" t="s">
        <v>24</v>
      </c>
      <c r="E195" t="str">
        <f t="shared" si="63"/>
        <v>Female</v>
      </c>
      <c r="F195">
        <v>58</v>
      </c>
      <c r="G195" t="s">
        <v>114</v>
      </c>
      <c r="H195" t="s">
        <v>115</v>
      </c>
      <c r="I195" t="s">
        <v>7</v>
      </c>
      <c r="J195">
        <v>25</v>
      </c>
      <c r="K195" t="str" cm="1">
        <f t="array" ref="K195">_xlfn.IFS( J195&lt;=5,"0-5", J195&lt;=10,"6-10",J195&lt;=15,"11-15",J195&lt;=20,"16-20",J195&gt;20,"20+")</f>
        <v>20+</v>
      </c>
      <c r="L195" t="s">
        <v>35</v>
      </c>
      <c r="M195" t="str">
        <f t="shared" si="68"/>
        <v xml:space="preserve"> 30</v>
      </c>
      <c r="N195">
        <v>4.2</v>
      </c>
      <c r="O195" t="s">
        <v>64</v>
      </c>
      <c r="Q195" s="1">
        <v>0.71</v>
      </c>
      <c r="R195" s="1">
        <f t="shared" si="67"/>
        <v>0.71</v>
      </c>
    </row>
    <row r="196" spans="1:18" x14ac:dyDescent="0.2">
      <c r="A196" t="s">
        <v>462</v>
      </c>
      <c r="B196" t="s">
        <v>463</v>
      </c>
      <c r="C196" t="str">
        <f t="shared" si="62"/>
        <v>Brandi Tucker</v>
      </c>
      <c r="D196" t="s">
        <v>29</v>
      </c>
      <c r="E196" t="str">
        <f t="shared" si="63"/>
        <v>Female</v>
      </c>
      <c r="F196">
        <v>50</v>
      </c>
      <c r="G196" t="s">
        <v>143</v>
      </c>
      <c r="H196" t="s">
        <v>144</v>
      </c>
      <c r="I196" t="s">
        <v>20</v>
      </c>
      <c r="J196">
        <v>20</v>
      </c>
      <c r="K196" t="str" cm="1">
        <f t="array" ref="K196">_xlfn.IFS( J196&lt;=5,"0-5", J196&lt;=10,"6-10",J196&lt;=15,"11-15",J196&lt;=20,"16-20",J196&gt;20,"20+")</f>
        <v>16-20</v>
      </c>
      <c r="L196" t="s">
        <v>45</v>
      </c>
      <c r="M196" t="str">
        <f>_xlfn.TEXTAFTER(L196, " ")</f>
        <v>40</v>
      </c>
      <c r="N196">
        <v>3.6</v>
      </c>
      <c r="O196">
        <v>1</v>
      </c>
      <c r="Q196" s="1">
        <v>0.89</v>
      </c>
      <c r="R196" s="1">
        <f t="shared" si="67"/>
        <v>0.89</v>
      </c>
    </row>
    <row r="197" spans="1:18" x14ac:dyDescent="0.2">
      <c r="A197" t="s">
        <v>464</v>
      </c>
      <c r="B197" t="s">
        <v>465</v>
      </c>
      <c r="C197" t="str">
        <f t="shared" si="62"/>
        <v>Zachary Burke</v>
      </c>
      <c r="D197" t="s">
        <v>38</v>
      </c>
      <c r="E197" t="str">
        <f t="shared" si="63"/>
        <v>Male</v>
      </c>
      <c r="F197">
        <v>52</v>
      </c>
      <c r="G197" t="s">
        <v>39</v>
      </c>
      <c r="H197" t="s">
        <v>40</v>
      </c>
      <c r="I197" t="s">
        <v>25</v>
      </c>
      <c r="J197">
        <v>33</v>
      </c>
      <c r="K197" t="str" cm="1">
        <f t="array" ref="K197">_xlfn.IFS( J197&lt;=5,"0-5", J197&lt;=10,"6-10",J197&lt;=15,"11-15",J197&lt;=20,"16-20",J197&gt;20,"20+")</f>
        <v>20+</v>
      </c>
      <c r="L197" t="s">
        <v>219</v>
      </c>
      <c r="M197" t="str">
        <f t="shared" ref="M197:M198" si="69">SUBSTITUTE(L197,"$"," ")</f>
        <v xml:space="preserve"> 100</v>
      </c>
      <c r="N197">
        <v>1.6</v>
      </c>
      <c r="Q197" s="1">
        <v>0.66</v>
      </c>
      <c r="R197" s="1">
        <f t="shared" si="67"/>
        <v>0.66</v>
      </c>
    </row>
    <row r="198" spans="1:18" x14ac:dyDescent="0.2">
      <c r="A198" t="s">
        <v>466</v>
      </c>
      <c r="B198" t="s">
        <v>467</v>
      </c>
      <c r="C198" t="str">
        <f t="shared" si="62"/>
        <v>Thomas Jones</v>
      </c>
      <c r="D198" t="s">
        <v>38</v>
      </c>
      <c r="E198" t="str">
        <f t="shared" si="63"/>
        <v>Male</v>
      </c>
      <c r="F198">
        <v>34</v>
      </c>
      <c r="G198" t="s">
        <v>32</v>
      </c>
      <c r="H198" t="s">
        <v>33</v>
      </c>
      <c r="I198" t="s">
        <v>41</v>
      </c>
      <c r="J198">
        <v>6</v>
      </c>
      <c r="K198" t="str" cm="1">
        <f t="array" ref="K198">_xlfn.IFS( J198&lt;=5,"0-5", J198&lt;=10,"6-10",J198&lt;=15,"11-15",J198&lt;=20,"16-20",J198&gt;20,"20+")</f>
        <v>6-10</v>
      </c>
      <c r="L198" t="s">
        <v>219</v>
      </c>
      <c r="M198" t="str">
        <f t="shared" si="69"/>
        <v xml:space="preserve"> 100</v>
      </c>
      <c r="N198">
        <v>2</v>
      </c>
      <c r="O198" t="s">
        <v>149</v>
      </c>
    </row>
    <row r="199" spans="1:18" x14ac:dyDescent="0.2">
      <c r="A199" t="s">
        <v>468</v>
      </c>
      <c r="B199" t="s">
        <v>469</v>
      </c>
      <c r="C199" t="str">
        <f t="shared" si="62"/>
        <v>Brian Dunn</v>
      </c>
      <c r="D199" t="s">
        <v>87</v>
      </c>
      <c r="E199" t="str">
        <f t="shared" si="63"/>
        <v>Male</v>
      </c>
      <c r="F199">
        <v>32</v>
      </c>
      <c r="G199" t="s">
        <v>125</v>
      </c>
      <c r="H199" t="s">
        <v>126</v>
      </c>
      <c r="I199" t="s">
        <v>104</v>
      </c>
      <c r="J199">
        <v>11</v>
      </c>
      <c r="K199" t="str" cm="1">
        <f t="array" ref="K199">_xlfn.IFS( J199&lt;=5,"0-5", J199&lt;=10,"6-10",J199&lt;=15,"11-15",J199&lt;=20,"16-20",J199&gt;20,"20+")</f>
        <v>11-15</v>
      </c>
      <c r="L199">
        <v>40</v>
      </c>
      <c r="M199" s="2">
        <f>L199</f>
        <v>40</v>
      </c>
      <c r="N199">
        <v>4.3</v>
      </c>
      <c r="O199" t="b">
        <v>1</v>
      </c>
      <c r="P199" t="s">
        <v>2075</v>
      </c>
      <c r="Q199" s="1">
        <v>0.86</v>
      </c>
      <c r="R199" s="1">
        <f t="shared" ref="R199:R201" si="70">Q199</f>
        <v>0.86</v>
      </c>
    </row>
    <row r="200" spans="1:18" x14ac:dyDescent="0.2">
      <c r="A200" t="s">
        <v>470</v>
      </c>
      <c r="B200" t="s">
        <v>471</v>
      </c>
      <c r="C200" t="str">
        <f t="shared" si="62"/>
        <v>Shirley Strickland</v>
      </c>
      <c r="D200" t="s">
        <v>24</v>
      </c>
      <c r="E200" t="str">
        <f t="shared" si="63"/>
        <v>Female</v>
      </c>
      <c r="F200">
        <v>50</v>
      </c>
      <c r="G200" t="s">
        <v>83</v>
      </c>
      <c r="H200" t="s">
        <v>84</v>
      </c>
      <c r="I200" t="s">
        <v>20</v>
      </c>
      <c r="J200">
        <v>28</v>
      </c>
      <c r="K200" t="str" cm="1">
        <f t="array" ref="K200">_xlfn.IFS( J200&lt;=5,"0-5", J200&lt;=10,"6-10",J200&lt;=15,"11-15",J200&lt;=20,"16-20",J200&gt;20,"20+")</f>
        <v>20+</v>
      </c>
      <c r="L200" t="s">
        <v>219</v>
      </c>
      <c r="M200" t="str">
        <f>SUBSTITUTE(L200,"$"," ")</f>
        <v xml:space="preserve"> 100</v>
      </c>
      <c r="N200">
        <v>4.9000000000000004</v>
      </c>
      <c r="O200" t="s">
        <v>64</v>
      </c>
      <c r="Q200" s="1">
        <v>0.86</v>
      </c>
      <c r="R200" s="1">
        <f t="shared" si="70"/>
        <v>0.86</v>
      </c>
    </row>
    <row r="201" spans="1:18" x14ac:dyDescent="0.2">
      <c r="A201" t="s">
        <v>472</v>
      </c>
      <c r="B201" t="s">
        <v>473</v>
      </c>
      <c r="C201" t="str">
        <f t="shared" si="62"/>
        <v>Nicole Meyers</v>
      </c>
      <c r="D201" t="s">
        <v>29</v>
      </c>
      <c r="E201" t="str">
        <f t="shared" si="63"/>
        <v>Female</v>
      </c>
      <c r="F201">
        <v>39</v>
      </c>
      <c r="G201" t="s">
        <v>61</v>
      </c>
      <c r="H201" t="s">
        <v>62</v>
      </c>
      <c r="I201" t="s">
        <v>41</v>
      </c>
      <c r="J201">
        <v>11</v>
      </c>
      <c r="K201" t="str" cm="1">
        <f t="array" ref="K201">_xlfn.IFS( J201&lt;=5,"0-5", J201&lt;=10,"6-10",J201&lt;=15,"11-15",J201&lt;=20,"16-20",J201&gt;20,"20+")</f>
        <v>11-15</v>
      </c>
      <c r="L201">
        <v>100</v>
      </c>
      <c r="M201" s="2">
        <f t="shared" ref="M201:M203" si="71">L201</f>
        <v>100</v>
      </c>
      <c r="N201">
        <v>3.5</v>
      </c>
      <c r="O201" t="s">
        <v>64</v>
      </c>
      <c r="P201" t="s">
        <v>2075</v>
      </c>
      <c r="Q201" s="1">
        <v>0.82</v>
      </c>
      <c r="R201" s="1">
        <f t="shared" si="70"/>
        <v>0.82</v>
      </c>
    </row>
    <row r="202" spans="1:18" x14ac:dyDescent="0.2">
      <c r="A202" t="s">
        <v>474</v>
      </c>
      <c r="B202" t="s">
        <v>475</v>
      </c>
      <c r="C202" t="str">
        <f t="shared" si="62"/>
        <v>Jill Stephens</v>
      </c>
      <c r="D202" t="s">
        <v>4</v>
      </c>
      <c r="E202" t="str">
        <f t="shared" si="63"/>
        <v>Female</v>
      </c>
      <c r="F202">
        <v>25</v>
      </c>
      <c r="G202" t="s">
        <v>180</v>
      </c>
      <c r="H202" t="s">
        <v>62</v>
      </c>
      <c r="I202" t="s">
        <v>34</v>
      </c>
      <c r="J202">
        <v>2</v>
      </c>
      <c r="K202" t="str" cm="1">
        <f t="array" ref="K202">_xlfn.IFS( J202&lt;=5,"0-5", J202&lt;=10,"6-10",J202&lt;=15,"11-15",J202&lt;=20,"16-20",J202&gt;20,"20+")</f>
        <v>0-5</v>
      </c>
      <c r="L202">
        <v>100</v>
      </c>
      <c r="M202" s="2">
        <f t="shared" si="71"/>
        <v>100</v>
      </c>
      <c r="N202">
        <v>2.5</v>
      </c>
      <c r="O202" t="s">
        <v>149</v>
      </c>
      <c r="P202" t="s">
        <v>2074</v>
      </c>
      <c r="Q202">
        <v>87</v>
      </c>
      <c r="R202" s="3">
        <f>Q202/100</f>
        <v>0.87</v>
      </c>
    </row>
    <row r="203" spans="1:18" x14ac:dyDescent="0.2">
      <c r="A203" t="s">
        <v>476</v>
      </c>
      <c r="B203" t="s">
        <v>477</v>
      </c>
      <c r="C203" t="str">
        <f t="shared" si="62"/>
        <v>Heidi Miranda</v>
      </c>
      <c r="D203" t="s">
        <v>10</v>
      </c>
      <c r="E203" t="str">
        <f t="shared" si="63"/>
        <v>Female</v>
      </c>
      <c r="F203">
        <v>55</v>
      </c>
      <c r="G203" t="s">
        <v>165</v>
      </c>
      <c r="H203" t="s">
        <v>166</v>
      </c>
      <c r="I203" t="s">
        <v>104</v>
      </c>
      <c r="J203">
        <v>7</v>
      </c>
      <c r="K203" t="str" cm="1">
        <f t="array" ref="K203">_xlfn.IFS( J203&lt;=5,"0-5", J203&lt;=10,"6-10",J203&lt;=15,"11-15",J203&lt;=20,"16-20",J203&gt;20,"20+")</f>
        <v>6-10</v>
      </c>
      <c r="L203">
        <v>100</v>
      </c>
      <c r="M203" s="2">
        <f t="shared" si="71"/>
        <v>100</v>
      </c>
      <c r="N203">
        <v>1.7</v>
      </c>
      <c r="O203">
        <v>1</v>
      </c>
      <c r="P203" t="s">
        <v>2075</v>
      </c>
      <c r="Q203" s="1">
        <v>0.8</v>
      </c>
      <c r="R203" s="1">
        <f t="shared" ref="R203:R205" si="72">Q203</f>
        <v>0.8</v>
      </c>
    </row>
    <row r="204" spans="1:18" x14ac:dyDescent="0.2">
      <c r="A204" t="s">
        <v>478</v>
      </c>
      <c r="B204" t="s">
        <v>479</v>
      </c>
      <c r="C204" t="str">
        <f t="shared" si="62"/>
        <v>Jesus Martinez</v>
      </c>
      <c r="D204" t="s">
        <v>38</v>
      </c>
      <c r="E204" t="str">
        <f t="shared" si="63"/>
        <v>Male</v>
      </c>
      <c r="F204">
        <v>42</v>
      </c>
      <c r="G204" t="s">
        <v>5</v>
      </c>
      <c r="H204" t="s">
        <v>6</v>
      </c>
      <c r="I204" t="s">
        <v>79</v>
      </c>
      <c r="J204">
        <v>10</v>
      </c>
      <c r="K204" t="str" cm="1">
        <f t="array" ref="K204">_xlfn.IFS( J204&lt;=5,"0-5", J204&lt;=10,"6-10",J204&lt;=15,"11-15",J204&lt;=20,"16-20",J204&gt;20,"20+")</f>
        <v>6-10</v>
      </c>
      <c r="L204" t="s">
        <v>14</v>
      </c>
      <c r="M204" t="str">
        <f>_xlfn.TEXTAFTER(L204, " ")</f>
        <v>100</v>
      </c>
      <c r="N204">
        <v>4.5999999999999996</v>
      </c>
      <c r="O204" t="s">
        <v>64</v>
      </c>
      <c r="Q204" s="1">
        <v>0.71</v>
      </c>
      <c r="R204" s="1">
        <f t="shared" si="72"/>
        <v>0.71</v>
      </c>
    </row>
    <row r="205" spans="1:18" x14ac:dyDescent="0.2">
      <c r="A205" t="s">
        <v>480</v>
      </c>
      <c r="B205" t="s">
        <v>481</v>
      </c>
      <c r="C205" t="str">
        <f t="shared" si="62"/>
        <v>Adam Payne</v>
      </c>
      <c r="D205" t="s">
        <v>17</v>
      </c>
      <c r="E205" t="str">
        <f t="shared" si="63"/>
        <v>Male</v>
      </c>
      <c r="F205">
        <v>43</v>
      </c>
      <c r="G205" t="s">
        <v>114</v>
      </c>
      <c r="H205" t="s">
        <v>115</v>
      </c>
      <c r="I205" t="s">
        <v>13</v>
      </c>
      <c r="J205">
        <v>6</v>
      </c>
      <c r="K205" t="str" cm="1">
        <f t="array" ref="K205">_xlfn.IFS( J205&lt;=5,"0-5", J205&lt;=10,"6-10",J205&lt;=15,"11-15",J205&lt;=20,"16-20",J205&gt;20,"20+")</f>
        <v>6-10</v>
      </c>
      <c r="L205">
        <v>50</v>
      </c>
      <c r="M205" s="2">
        <f>L205</f>
        <v>50</v>
      </c>
      <c r="O205" t="s">
        <v>21</v>
      </c>
      <c r="P205" t="s">
        <v>2074</v>
      </c>
      <c r="Q205" s="1">
        <v>0.77</v>
      </c>
      <c r="R205" s="1">
        <f t="shared" si="72"/>
        <v>0.77</v>
      </c>
    </row>
    <row r="206" spans="1:18" x14ac:dyDescent="0.2">
      <c r="A206" t="s">
        <v>482</v>
      </c>
      <c r="B206" t="s">
        <v>483</v>
      </c>
      <c r="C206" t="str">
        <f t="shared" si="62"/>
        <v>Walter Williams</v>
      </c>
      <c r="D206" t="s">
        <v>38</v>
      </c>
      <c r="E206" t="str">
        <f t="shared" si="63"/>
        <v>Male</v>
      </c>
      <c r="F206">
        <v>54</v>
      </c>
      <c r="G206" t="s">
        <v>5</v>
      </c>
      <c r="H206" t="s">
        <v>6</v>
      </c>
      <c r="I206" t="s">
        <v>79</v>
      </c>
      <c r="J206">
        <v>29</v>
      </c>
      <c r="K206" t="str" cm="1">
        <f t="array" ref="K206">_xlfn.IFS( J206&lt;=5,"0-5", J206&lt;=10,"6-10",J206&lt;=15,"11-15",J206&lt;=20,"16-20",J206&gt;20,"20+")</f>
        <v>20+</v>
      </c>
      <c r="L206" t="s">
        <v>35</v>
      </c>
      <c r="M206" t="str">
        <f>SUBSTITUTE(L206,"$"," ")</f>
        <v xml:space="preserve"> 30</v>
      </c>
      <c r="N206">
        <v>1.7</v>
      </c>
      <c r="O206">
        <v>0</v>
      </c>
      <c r="Q206">
        <v>68</v>
      </c>
      <c r="R206" s="3">
        <f>Q206/100</f>
        <v>0.68</v>
      </c>
    </row>
    <row r="207" spans="1:18" x14ac:dyDescent="0.2">
      <c r="A207" t="s">
        <v>484</v>
      </c>
      <c r="B207" t="s">
        <v>485</v>
      </c>
      <c r="C207" t="str">
        <f t="shared" si="62"/>
        <v>Shannon Farmer</v>
      </c>
      <c r="D207" t="s">
        <v>10</v>
      </c>
      <c r="E207" t="str">
        <f t="shared" si="63"/>
        <v>Female</v>
      </c>
      <c r="F207">
        <v>21</v>
      </c>
      <c r="G207" t="s">
        <v>129</v>
      </c>
      <c r="H207" t="s">
        <v>130</v>
      </c>
      <c r="I207" t="s">
        <v>20</v>
      </c>
      <c r="J207">
        <v>0</v>
      </c>
      <c r="K207" t="str" cm="1">
        <f t="array" ref="K207">_xlfn.IFS( J207&lt;=5,"0-5", J207&lt;=10,"6-10",J207&lt;=15,"11-15",J207&lt;=20,"16-20",J207&gt;20,"20+")</f>
        <v>0-5</v>
      </c>
      <c r="L207">
        <v>20</v>
      </c>
      <c r="M207" s="2">
        <f t="shared" ref="M207:M209" si="73">L207</f>
        <v>20</v>
      </c>
      <c r="N207">
        <v>1.8</v>
      </c>
      <c r="O207" t="s">
        <v>21</v>
      </c>
      <c r="P207" t="s">
        <v>2074</v>
      </c>
      <c r="Q207" s="1">
        <v>0.91</v>
      </c>
      <c r="R207" s="1">
        <f t="shared" ref="R207:R209" si="74">Q207</f>
        <v>0.91</v>
      </c>
    </row>
    <row r="208" spans="1:18" x14ac:dyDescent="0.2">
      <c r="A208" t="s">
        <v>486</v>
      </c>
      <c r="B208" t="s">
        <v>487</v>
      </c>
      <c r="C208" t="str">
        <f t="shared" si="62"/>
        <v>Peter Reyes</v>
      </c>
      <c r="D208" t="s">
        <v>38</v>
      </c>
      <c r="E208" t="str">
        <f t="shared" si="63"/>
        <v>Male</v>
      </c>
      <c r="F208">
        <v>46</v>
      </c>
      <c r="G208" t="s">
        <v>118</v>
      </c>
      <c r="H208" t="s">
        <v>12</v>
      </c>
      <c r="I208" t="s">
        <v>63</v>
      </c>
      <c r="J208">
        <v>5</v>
      </c>
      <c r="K208" t="str" cm="1">
        <f t="array" ref="K208">_xlfn.IFS( J208&lt;=5,"0-5", J208&lt;=10,"6-10",J208&lt;=15,"11-15",J208&lt;=20,"16-20",J208&gt;20,"20+")</f>
        <v>0-5</v>
      </c>
      <c r="L208">
        <v>20</v>
      </c>
      <c r="M208" s="2">
        <f t="shared" si="73"/>
        <v>20</v>
      </c>
      <c r="N208">
        <v>2.2000000000000002</v>
      </c>
      <c r="O208" t="b">
        <v>0</v>
      </c>
      <c r="P208" t="s">
        <v>2074</v>
      </c>
      <c r="Q208" s="1">
        <v>0.75</v>
      </c>
      <c r="R208" s="1">
        <f t="shared" si="74"/>
        <v>0.75</v>
      </c>
    </row>
    <row r="209" spans="1:18" x14ac:dyDescent="0.2">
      <c r="A209" t="s">
        <v>488</v>
      </c>
      <c r="B209" t="s">
        <v>489</v>
      </c>
      <c r="C209" t="str">
        <f t="shared" si="62"/>
        <v>Kristen Knight</v>
      </c>
      <c r="D209" t="s">
        <v>4</v>
      </c>
      <c r="E209" t="str">
        <f t="shared" si="63"/>
        <v>Female</v>
      </c>
      <c r="F209">
        <v>30</v>
      </c>
      <c r="G209" t="s">
        <v>180</v>
      </c>
      <c r="H209" t="s">
        <v>62</v>
      </c>
      <c r="I209" t="s">
        <v>7</v>
      </c>
      <c r="J209">
        <v>11</v>
      </c>
      <c r="K209" t="str" cm="1">
        <f t="array" ref="K209">_xlfn.IFS( J209&lt;=5,"0-5", J209&lt;=10,"6-10",J209&lt;=15,"11-15",J209&lt;=20,"16-20",J209&gt;20,"20+")</f>
        <v>11-15</v>
      </c>
      <c r="L209">
        <v>40</v>
      </c>
      <c r="M209" s="2">
        <f t="shared" si="73"/>
        <v>40</v>
      </c>
      <c r="N209">
        <v>1</v>
      </c>
      <c r="O209" t="s">
        <v>21</v>
      </c>
      <c r="P209" t="s">
        <v>2074</v>
      </c>
      <c r="Q209" s="1">
        <v>0.9</v>
      </c>
      <c r="R209" s="1">
        <f t="shared" si="74"/>
        <v>0.9</v>
      </c>
    </row>
    <row r="210" spans="1:18" x14ac:dyDescent="0.2">
      <c r="A210" t="s">
        <v>490</v>
      </c>
      <c r="B210" t="s">
        <v>491</v>
      </c>
      <c r="C210" t="str">
        <f t="shared" si="62"/>
        <v>William Moore Jr.</v>
      </c>
      <c r="D210" t="s">
        <v>17</v>
      </c>
      <c r="E210" t="str">
        <f t="shared" si="63"/>
        <v>Male</v>
      </c>
      <c r="F210">
        <v>36</v>
      </c>
      <c r="G210" t="s">
        <v>165</v>
      </c>
      <c r="H210" t="s">
        <v>166</v>
      </c>
      <c r="I210" t="s">
        <v>104</v>
      </c>
      <c r="J210">
        <v>11</v>
      </c>
      <c r="K210" t="str" cm="1">
        <f t="array" ref="K210">_xlfn.IFS( J210&lt;=5,"0-5", J210&lt;=10,"6-10",J210&lt;=15,"11-15",J210&lt;=20,"16-20",J210&gt;20,"20+")</f>
        <v>11-15</v>
      </c>
      <c r="L210" t="s">
        <v>160</v>
      </c>
      <c r="M210" t="str">
        <f>SUBSTITUTE(L210,"$"," ")</f>
        <v xml:space="preserve"> 75</v>
      </c>
      <c r="N210">
        <v>3.2</v>
      </c>
      <c r="O210">
        <v>0</v>
      </c>
      <c r="Q210">
        <v>93</v>
      </c>
      <c r="R210" s="3">
        <f>Q210/100</f>
        <v>0.93</v>
      </c>
    </row>
    <row r="211" spans="1:18" x14ac:dyDescent="0.2">
      <c r="A211" t="s">
        <v>492</v>
      </c>
      <c r="B211" t="s">
        <v>493</v>
      </c>
      <c r="C211" t="str">
        <f t="shared" si="62"/>
        <v>Jennifer Rowe</v>
      </c>
      <c r="D211" t="s">
        <v>67</v>
      </c>
      <c r="E211" t="str">
        <f t="shared" si="63"/>
        <v>Female</v>
      </c>
      <c r="F211">
        <v>47</v>
      </c>
      <c r="G211" t="s">
        <v>18</v>
      </c>
      <c r="H211" t="s">
        <v>19</v>
      </c>
      <c r="I211" t="s">
        <v>41</v>
      </c>
      <c r="J211">
        <v>15</v>
      </c>
      <c r="K211" t="str" cm="1">
        <f t="array" ref="K211">_xlfn.IFS( J211&lt;=5,"0-5", J211&lt;=10,"6-10",J211&lt;=15,"11-15",J211&lt;=20,"16-20",J211&gt;20,"20+")</f>
        <v>11-15</v>
      </c>
      <c r="L211">
        <v>40</v>
      </c>
      <c r="M211" s="2">
        <f>L211</f>
        <v>40</v>
      </c>
      <c r="N211">
        <v>2.1</v>
      </c>
      <c r="O211" t="s">
        <v>58</v>
      </c>
      <c r="P211" t="s">
        <v>2075</v>
      </c>
      <c r="Q211" s="1">
        <v>0.94</v>
      </c>
      <c r="R211" s="1">
        <f>Q211</f>
        <v>0.94</v>
      </c>
    </row>
    <row r="212" spans="1:18" x14ac:dyDescent="0.2">
      <c r="A212" t="s">
        <v>494</v>
      </c>
      <c r="B212" t="s">
        <v>495</v>
      </c>
      <c r="C212" t="str">
        <f t="shared" si="62"/>
        <v>Mikayla Henry</v>
      </c>
      <c r="D212" t="s">
        <v>24</v>
      </c>
      <c r="E212" t="str">
        <f t="shared" si="63"/>
        <v>Female</v>
      </c>
      <c r="F212">
        <v>43</v>
      </c>
      <c r="G212" t="s">
        <v>118</v>
      </c>
      <c r="H212" t="s">
        <v>12</v>
      </c>
      <c r="I212" t="s">
        <v>13</v>
      </c>
      <c r="J212">
        <v>1</v>
      </c>
      <c r="K212" t="str" cm="1">
        <f t="array" ref="K212">_xlfn.IFS( J212&lt;=5,"0-5", J212&lt;=10,"6-10",J212&lt;=15,"11-15",J212&lt;=20,"16-20",J212&gt;20,"20+")</f>
        <v>0-5</v>
      </c>
      <c r="L212" t="s">
        <v>88</v>
      </c>
      <c r="M212" t="str">
        <f>_xlfn.TEXTAFTER(L212, " ")</f>
        <v>50</v>
      </c>
      <c r="N212">
        <v>4.5999999999999996</v>
      </c>
      <c r="O212" t="b">
        <v>1</v>
      </c>
      <c r="Q212">
        <v>64</v>
      </c>
      <c r="R212" s="3">
        <f>Q212/100</f>
        <v>0.64</v>
      </c>
    </row>
    <row r="213" spans="1:18" x14ac:dyDescent="0.2">
      <c r="A213" t="s">
        <v>496</v>
      </c>
      <c r="B213" t="s">
        <v>497</v>
      </c>
      <c r="C213" t="str">
        <f t="shared" si="62"/>
        <v>Jacob Kerr</v>
      </c>
      <c r="D213" t="s">
        <v>38</v>
      </c>
      <c r="E213" t="str">
        <f t="shared" si="63"/>
        <v>Male</v>
      </c>
      <c r="F213">
        <v>57</v>
      </c>
      <c r="G213" t="s">
        <v>102</v>
      </c>
      <c r="H213" t="s">
        <v>103</v>
      </c>
      <c r="I213" t="s">
        <v>68</v>
      </c>
      <c r="J213">
        <v>8</v>
      </c>
      <c r="K213" t="str" cm="1">
        <f t="array" ref="K213">_xlfn.IFS( J213&lt;=5,"0-5", J213&lt;=10,"6-10",J213&lt;=15,"11-15",J213&lt;=20,"16-20",J213&gt;20,"20+")</f>
        <v>6-10</v>
      </c>
      <c r="L213" t="s">
        <v>111</v>
      </c>
      <c r="M213" t="str">
        <f t="shared" ref="M213:M215" si="75">SUBSTITUTE(L213,"$"," ")</f>
        <v xml:space="preserve"> 20</v>
      </c>
      <c r="N213">
        <v>0</v>
      </c>
      <c r="O213" t="s">
        <v>58</v>
      </c>
      <c r="Q213" s="1">
        <v>0.84</v>
      </c>
      <c r="R213" s="1">
        <f t="shared" ref="R213:R220" si="76">Q213</f>
        <v>0.84</v>
      </c>
    </row>
    <row r="214" spans="1:18" x14ac:dyDescent="0.2">
      <c r="A214" t="s">
        <v>498</v>
      </c>
      <c r="B214" t="s">
        <v>499</v>
      </c>
      <c r="C214" t="str">
        <f t="shared" si="62"/>
        <v>Ryan Johnson</v>
      </c>
      <c r="D214" t="s">
        <v>17</v>
      </c>
      <c r="E214" t="str">
        <f t="shared" si="63"/>
        <v>Male</v>
      </c>
      <c r="F214">
        <v>52</v>
      </c>
      <c r="G214" t="s">
        <v>5</v>
      </c>
      <c r="H214" t="s">
        <v>6</v>
      </c>
      <c r="I214" t="s">
        <v>104</v>
      </c>
      <c r="J214">
        <v>30</v>
      </c>
      <c r="K214" t="str" cm="1">
        <f t="array" ref="K214">_xlfn.IFS( J214&lt;=5,"0-5", J214&lt;=10,"6-10",J214&lt;=15,"11-15",J214&lt;=20,"16-20",J214&gt;20,"20+")</f>
        <v>20+</v>
      </c>
      <c r="L214" t="s">
        <v>111</v>
      </c>
      <c r="M214" t="str">
        <f t="shared" si="75"/>
        <v xml:space="preserve"> 20</v>
      </c>
      <c r="N214">
        <v>2.8</v>
      </c>
      <c r="O214" t="s">
        <v>149</v>
      </c>
      <c r="Q214" s="1">
        <v>0.87</v>
      </c>
      <c r="R214" s="1">
        <f t="shared" si="76"/>
        <v>0.87</v>
      </c>
    </row>
    <row r="215" spans="1:18" x14ac:dyDescent="0.2">
      <c r="A215" t="s">
        <v>500</v>
      </c>
      <c r="B215" t="s">
        <v>501</v>
      </c>
      <c r="C215" t="str">
        <f t="shared" si="62"/>
        <v>Michael Ruiz</v>
      </c>
      <c r="D215" t="s">
        <v>51</v>
      </c>
      <c r="E215" t="str">
        <f t="shared" si="63"/>
        <v>Male</v>
      </c>
      <c r="G215" t="s">
        <v>18</v>
      </c>
      <c r="H215" t="s">
        <v>19</v>
      </c>
      <c r="I215" t="s">
        <v>7</v>
      </c>
      <c r="J215">
        <v>8</v>
      </c>
      <c r="K215" t="str" cm="1">
        <f t="array" ref="K215">_xlfn.IFS( J215&lt;=5,"0-5", J215&lt;=10,"6-10",J215&lt;=15,"11-15",J215&lt;=20,"16-20",J215&gt;20,"20+")</f>
        <v>6-10</v>
      </c>
      <c r="L215" t="s">
        <v>26</v>
      </c>
      <c r="M215" t="str">
        <f t="shared" si="75"/>
        <v xml:space="preserve"> 40</v>
      </c>
      <c r="N215">
        <v>0</v>
      </c>
      <c r="O215" t="s">
        <v>21</v>
      </c>
      <c r="Q215" s="1">
        <v>0.64</v>
      </c>
      <c r="R215" s="1">
        <f t="shared" si="76"/>
        <v>0.64</v>
      </c>
    </row>
    <row r="216" spans="1:18" x14ac:dyDescent="0.2">
      <c r="A216" t="s">
        <v>502</v>
      </c>
      <c r="B216" t="s">
        <v>503</v>
      </c>
      <c r="C216" t="str">
        <f t="shared" si="62"/>
        <v>Monica Roberts</v>
      </c>
      <c r="D216" t="s">
        <v>29</v>
      </c>
      <c r="E216" t="str">
        <f t="shared" si="63"/>
        <v>Female</v>
      </c>
      <c r="F216">
        <v>22</v>
      </c>
      <c r="G216" t="s">
        <v>39</v>
      </c>
      <c r="H216" t="s">
        <v>40</v>
      </c>
      <c r="I216" t="s">
        <v>104</v>
      </c>
      <c r="J216">
        <v>0</v>
      </c>
      <c r="K216" t="str" cm="1">
        <f t="array" ref="K216">_xlfn.IFS( J216&lt;=5,"0-5", J216&lt;=10,"6-10",J216&lt;=15,"11-15",J216&lt;=20,"16-20",J216&gt;20,"20+")</f>
        <v>0-5</v>
      </c>
      <c r="L216">
        <v>100</v>
      </c>
      <c r="M216" s="2">
        <f>L216</f>
        <v>100</v>
      </c>
      <c r="N216">
        <v>2.7</v>
      </c>
      <c r="O216" t="b">
        <v>1</v>
      </c>
      <c r="P216" t="s">
        <v>2075</v>
      </c>
      <c r="Q216" s="1">
        <v>0.64</v>
      </c>
      <c r="R216" s="1">
        <f t="shared" si="76"/>
        <v>0.64</v>
      </c>
    </row>
    <row r="217" spans="1:18" x14ac:dyDescent="0.2">
      <c r="A217" t="s">
        <v>504</v>
      </c>
      <c r="B217" t="s">
        <v>505</v>
      </c>
      <c r="C217" t="str">
        <f t="shared" si="62"/>
        <v>Danny Brown</v>
      </c>
      <c r="D217" t="s">
        <v>38</v>
      </c>
      <c r="E217" t="str">
        <f t="shared" si="63"/>
        <v>Male</v>
      </c>
      <c r="G217" t="s">
        <v>83</v>
      </c>
      <c r="H217" t="s">
        <v>84</v>
      </c>
      <c r="I217" t="s">
        <v>104</v>
      </c>
      <c r="J217">
        <v>12</v>
      </c>
      <c r="K217" t="str" cm="1">
        <f t="array" ref="K217">_xlfn.IFS( J217&lt;=5,"0-5", J217&lt;=10,"6-10",J217&lt;=15,"11-15",J217&lt;=20,"16-20",J217&gt;20,"20+")</f>
        <v>11-15</v>
      </c>
      <c r="L217" t="s">
        <v>111</v>
      </c>
      <c r="M217" t="str">
        <f t="shared" ref="M217:M218" si="77">SUBSTITUTE(L217,"$"," ")</f>
        <v xml:space="preserve"> 20</v>
      </c>
      <c r="N217">
        <v>0</v>
      </c>
      <c r="O217" t="b">
        <v>1</v>
      </c>
      <c r="Q217" s="1">
        <v>0.8</v>
      </c>
      <c r="R217" s="1">
        <f t="shared" si="76"/>
        <v>0.8</v>
      </c>
    </row>
    <row r="218" spans="1:18" x14ac:dyDescent="0.2">
      <c r="A218" t="s">
        <v>506</v>
      </c>
      <c r="B218" t="s">
        <v>507</v>
      </c>
      <c r="C218" t="str">
        <f t="shared" si="62"/>
        <v>Karen Larsen</v>
      </c>
      <c r="D218" t="s">
        <v>24</v>
      </c>
      <c r="E218" t="str">
        <f t="shared" si="63"/>
        <v>Female</v>
      </c>
      <c r="F218">
        <v>58</v>
      </c>
      <c r="G218" t="s">
        <v>180</v>
      </c>
      <c r="H218" t="s">
        <v>62</v>
      </c>
      <c r="I218" t="s">
        <v>13</v>
      </c>
      <c r="J218">
        <v>4</v>
      </c>
      <c r="K218" t="str" cm="1">
        <f t="array" ref="K218">_xlfn.IFS( J218&lt;=5,"0-5", J218&lt;=10,"6-10",J218&lt;=15,"11-15",J218&lt;=20,"16-20",J218&gt;20,"20+")</f>
        <v>0-5</v>
      </c>
      <c r="L218" t="s">
        <v>54</v>
      </c>
      <c r="M218" t="str">
        <f t="shared" si="77"/>
        <v xml:space="preserve"> 50</v>
      </c>
      <c r="N218">
        <v>3.1</v>
      </c>
      <c r="O218">
        <v>0</v>
      </c>
      <c r="Q218" s="1">
        <v>0.9</v>
      </c>
      <c r="R218" s="1">
        <f t="shared" si="76"/>
        <v>0.9</v>
      </c>
    </row>
    <row r="219" spans="1:18" x14ac:dyDescent="0.2">
      <c r="A219" t="s">
        <v>508</v>
      </c>
      <c r="B219" t="s">
        <v>509</v>
      </c>
      <c r="C219" t="str">
        <f t="shared" si="62"/>
        <v>Robert Evans</v>
      </c>
      <c r="D219" t="s">
        <v>82</v>
      </c>
      <c r="E219" t="str">
        <f t="shared" si="63"/>
        <v>Male</v>
      </c>
      <c r="F219">
        <v>39</v>
      </c>
      <c r="G219" t="s">
        <v>102</v>
      </c>
      <c r="H219" t="s">
        <v>103</v>
      </c>
      <c r="I219" t="s">
        <v>25</v>
      </c>
      <c r="J219">
        <v>14</v>
      </c>
      <c r="K219" t="str" cm="1">
        <f t="array" ref="K219">_xlfn.IFS( J219&lt;=5,"0-5", J219&lt;=10,"6-10",J219&lt;=15,"11-15",J219&lt;=20,"16-20",J219&gt;20,"20+")</f>
        <v>11-15</v>
      </c>
      <c r="L219" t="s">
        <v>14</v>
      </c>
      <c r="M219" t="str">
        <f>_xlfn.TEXTAFTER(L219, " ")</f>
        <v>100</v>
      </c>
      <c r="N219">
        <v>0</v>
      </c>
      <c r="O219" t="s">
        <v>64</v>
      </c>
      <c r="Q219" s="1">
        <v>0.92</v>
      </c>
      <c r="R219" s="1">
        <f t="shared" si="76"/>
        <v>0.92</v>
      </c>
    </row>
    <row r="220" spans="1:18" x14ac:dyDescent="0.2">
      <c r="A220" t="s">
        <v>510</v>
      </c>
      <c r="B220" t="s">
        <v>511</v>
      </c>
      <c r="C220" t="str">
        <f t="shared" si="62"/>
        <v>Sean Poole</v>
      </c>
      <c r="D220" t="s">
        <v>82</v>
      </c>
      <c r="E220" t="str">
        <f t="shared" si="63"/>
        <v>Male</v>
      </c>
      <c r="F220">
        <v>32</v>
      </c>
      <c r="G220" t="s">
        <v>39</v>
      </c>
      <c r="H220" t="s">
        <v>40</v>
      </c>
      <c r="I220" t="s">
        <v>20</v>
      </c>
      <c r="J220">
        <v>14</v>
      </c>
      <c r="K220" t="str" cm="1">
        <f t="array" ref="K220">_xlfn.IFS( J220&lt;=5,"0-5", J220&lt;=10,"6-10",J220&lt;=15,"11-15",J220&lt;=20,"16-20",J220&gt;20,"20+")</f>
        <v>11-15</v>
      </c>
      <c r="M220"/>
      <c r="O220">
        <v>0</v>
      </c>
      <c r="Q220" s="1">
        <v>0.96</v>
      </c>
      <c r="R220" s="1">
        <f t="shared" si="76"/>
        <v>0.96</v>
      </c>
    </row>
    <row r="221" spans="1:18" x14ac:dyDescent="0.2">
      <c r="A221" t="s">
        <v>512</v>
      </c>
      <c r="B221" t="s">
        <v>513</v>
      </c>
      <c r="C221" t="str">
        <f t="shared" si="62"/>
        <v>Richard Quinn</v>
      </c>
      <c r="D221" t="s">
        <v>38</v>
      </c>
      <c r="E221" t="str">
        <f t="shared" si="63"/>
        <v>Male</v>
      </c>
      <c r="F221">
        <v>37</v>
      </c>
      <c r="G221" t="s">
        <v>118</v>
      </c>
      <c r="H221" t="s">
        <v>12</v>
      </c>
      <c r="I221" t="s">
        <v>63</v>
      </c>
      <c r="J221">
        <v>2</v>
      </c>
      <c r="K221" t="str" cm="1">
        <f t="array" ref="K221">_xlfn.IFS( J221&lt;=5,"0-5", J221&lt;=10,"6-10",J221&lt;=15,"11-15",J221&lt;=20,"16-20",J221&gt;20,"20+")</f>
        <v>0-5</v>
      </c>
      <c r="L221" t="s">
        <v>35</v>
      </c>
      <c r="M221" t="str">
        <f>SUBSTITUTE(L221,"$"," ")</f>
        <v xml:space="preserve"> 30</v>
      </c>
      <c r="N221">
        <v>2.2999999999999998</v>
      </c>
      <c r="O221" t="s">
        <v>58</v>
      </c>
    </row>
    <row r="222" spans="1:18" x14ac:dyDescent="0.2">
      <c r="A222" t="s">
        <v>514</v>
      </c>
      <c r="B222" t="s">
        <v>515</v>
      </c>
      <c r="C222" t="str">
        <f t="shared" si="62"/>
        <v>Jennifer Gonzalez</v>
      </c>
      <c r="D222" t="s">
        <v>10</v>
      </c>
      <c r="E222" t="str">
        <f t="shared" si="63"/>
        <v>Female</v>
      </c>
      <c r="F222">
        <v>21</v>
      </c>
      <c r="G222" t="s">
        <v>165</v>
      </c>
      <c r="H222" t="s">
        <v>166</v>
      </c>
      <c r="I222" t="s">
        <v>68</v>
      </c>
      <c r="J222">
        <v>2</v>
      </c>
      <c r="K222" t="str" cm="1">
        <f t="array" ref="K222">_xlfn.IFS( J222&lt;=5,"0-5", J222&lt;=10,"6-10",J222&lt;=15,"11-15",J222&lt;=20,"16-20",J222&gt;20,"20+")</f>
        <v>0-5</v>
      </c>
      <c r="L222">
        <v>100</v>
      </c>
      <c r="M222" s="2">
        <f t="shared" ref="M222:M223" si="78">L222</f>
        <v>100</v>
      </c>
      <c r="N222">
        <v>2.4</v>
      </c>
      <c r="O222" t="s">
        <v>64</v>
      </c>
      <c r="P222" t="s">
        <v>2075</v>
      </c>
    </row>
    <row r="223" spans="1:18" x14ac:dyDescent="0.2">
      <c r="A223" t="s">
        <v>516</v>
      </c>
      <c r="B223" t="s">
        <v>517</v>
      </c>
      <c r="C223" t="str">
        <f t="shared" si="62"/>
        <v>James Skinner</v>
      </c>
      <c r="D223" t="s">
        <v>51</v>
      </c>
      <c r="E223" t="str">
        <f t="shared" si="63"/>
        <v>Male</v>
      </c>
      <c r="F223">
        <v>41</v>
      </c>
      <c r="G223" t="s">
        <v>102</v>
      </c>
      <c r="H223" t="s">
        <v>103</v>
      </c>
      <c r="I223" t="s">
        <v>104</v>
      </c>
      <c r="J223">
        <v>4</v>
      </c>
      <c r="K223" t="str" cm="1">
        <f t="array" ref="K223">_xlfn.IFS( J223&lt;=5,"0-5", J223&lt;=10,"6-10",J223&lt;=15,"11-15",J223&lt;=20,"16-20",J223&gt;20,"20+")</f>
        <v>0-5</v>
      </c>
      <c r="L223">
        <v>75</v>
      </c>
      <c r="M223" s="2">
        <f t="shared" si="78"/>
        <v>75</v>
      </c>
      <c r="N223">
        <v>2.6</v>
      </c>
      <c r="Q223" s="1">
        <v>0.85</v>
      </c>
      <c r="R223" s="1">
        <f t="shared" ref="R223:R226" si="79">Q223</f>
        <v>0.85</v>
      </c>
    </row>
    <row r="224" spans="1:18" x14ac:dyDescent="0.2">
      <c r="A224" t="s">
        <v>518</v>
      </c>
      <c r="B224" t="s">
        <v>519</v>
      </c>
      <c r="C224" t="str">
        <f t="shared" si="62"/>
        <v>Michelle Hill</v>
      </c>
      <c r="D224" t="s">
        <v>4</v>
      </c>
      <c r="E224" t="str">
        <f t="shared" si="63"/>
        <v>Female</v>
      </c>
      <c r="F224">
        <v>21</v>
      </c>
      <c r="G224" t="s">
        <v>118</v>
      </c>
      <c r="H224" t="s">
        <v>12</v>
      </c>
      <c r="I224" t="s">
        <v>34</v>
      </c>
      <c r="J224">
        <v>0</v>
      </c>
      <c r="K224" t="str" cm="1">
        <f t="array" ref="K224">_xlfn.IFS( J224&lt;=5,"0-5", J224&lt;=10,"6-10",J224&lt;=15,"11-15",J224&lt;=20,"16-20",J224&gt;20,"20+")</f>
        <v>0-5</v>
      </c>
      <c r="L224" t="s">
        <v>45</v>
      </c>
      <c r="M224" t="str">
        <f>_xlfn.TEXTAFTER(L224, " ")</f>
        <v>40</v>
      </c>
      <c r="N224">
        <v>1.1000000000000001</v>
      </c>
      <c r="O224">
        <v>0</v>
      </c>
      <c r="Q224" s="1">
        <v>0.79</v>
      </c>
      <c r="R224" s="1">
        <f t="shared" si="79"/>
        <v>0.79</v>
      </c>
    </row>
    <row r="225" spans="1:18" x14ac:dyDescent="0.2">
      <c r="A225" t="s">
        <v>520</v>
      </c>
      <c r="B225" t="s">
        <v>521</v>
      </c>
      <c r="C225" t="str">
        <f t="shared" si="62"/>
        <v>Jacqueline Williams</v>
      </c>
      <c r="D225" t="s">
        <v>24</v>
      </c>
      <c r="E225" t="str">
        <f t="shared" si="63"/>
        <v>Female</v>
      </c>
      <c r="F225">
        <v>58</v>
      </c>
      <c r="G225" t="s">
        <v>165</v>
      </c>
      <c r="H225" t="s">
        <v>166</v>
      </c>
      <c r="I225" t="s">
        <v>104</v>
      </c>
      <c r="J225">
        <v>9</v>
      </c>
      <c r="K225" t="str" cm="1">
        <f t="array" ref="K225">_xlfn.IFS( J225&lt;=5,"0-5", J225&lt;=10,"6-10",J225&lt;=15,"11-15",J225&lt;=20,"16-20",J225&gt;20,"20+")</f>
        <v>6-10</v>
      </c>
      <c r="L225">
        <v>30</v>
      </c>
      <c r="M225" s="2">
        <f t="shared" ref="M225:M226" si="80">L225</f>
        <v>30</v>
      </c>
      <c r="N225">
        <v>0</v>
      </c>
      <c r="O225">
        <v>1</v>
      </c>
      <c r="P225" t="s">
        <v>2075</v>
      </c>
      <c r="Q225" s="1">
        <v>0.65</v>
      </c>
      <c r="R225" s="1">
        <f t="shared" si="79"/>
        <v>0.65</v>
      </c>
    </row>
    <row r="226" spans="1:18" x14ac:dyDescent="0.2">
      <c r="A226" t="s">
        <v>522</v>
      </c>
      <c r="B226" t="s">
        <v>523</v>
      </c>
      <c r="C226" t="str">
        <f t="shared" si="62"/>
        <v>Darrell Johnson</v>
      </c>
      <c r="D226" t="s">
        <v>87</v>
      </c>
      <c r="E226" t="str">
        <f t="shared" si="63"/>
        <v>Male</v>
      </c>
      <c r="F226">
        <v>60</v>
      </c>
      <c r="G226" t="s">
        <v>118</v>
      </c>
      <c r="H226" t="s">
        <v>12</v>
      </c>
      <c r="I226" t="s">
        <v>104</v>
      </c>
      <c r="J226">
        <v>3</v>
      </c>
      <c r="K226" t="str" cm="1">
        <f t="array" ref="K226">_xlfn.IFS( J226&lt;=5,"0-5", J226&lt;=10,"6-10",J226&lt;=15,"11-15",J226&lt;=20,"16-20",J226&gt;20,"20+")</f>
        <v>0-5</v>
      </c>
      <c r="L226">
        <v>40</v>
      </c>
      <c r="M226" s="2">
        <f t="shared" si="80"/>
        <v>40</v>
      </c>
      <c r="N226">
        <v>4.7</v>
      </c>
      <c r="O226" t="b">
        <v>0</v>
      </c>
      <c r="P226" t="s">
        <v>2074</v>
      </c>
      <c r="Q226" s="1">
        <v>0.63</v>
      </c>
      <c r="R226" s="1">
        <f t="shared" si="79"/>
        <v>0.63</v>
      </c>
    </row>
    <row r="227" spans="1:18" x14ac:dyDescent="0.2">
      <c r="A227" t="s">
        <v>524</v>
      </c>
      <c r="B227" t="s">
        <v>525</v>
      </c>
      <c r="C227" t="str">
        <f t="shared" si="62"/>
        <v>Ryan Crawford</v>
      </c>
      <c r="D227" t="s">
        <v>82</v>
      </c>
      <c r="E227" t="str">
        <f t="shared" si="63"/>
        <v>Male</v>
      </c>
      <c r="F227">
        <v>27</v>
      </c>
      <c r="G227" t="s">
        <v>143</v>
      </c>
      <c r="H227" t="s">
        <v>144</v>
      </c>
      <c r="I227" t="s">
        <v>25</v>
      </c>
      <c r="J227">
        <v>2</v>
      </c>
      <c r="K227" t="str" cm="1">
        <f t="array" ref="K227">_xlfn.IFS( J227&lt;=5,"0-5", J227&lt;=10,"6-10",J227&lt;=15,"11-15",J227&lt;=20,"16-20",J227&gt;20,"20+")</f>
        <v>0-5</v>
      </c>
      <c r="L227" t="s">
        <v>26</v>
      </c>
      <c r="M227" t="str">
        <f>SUBSTITUTE(L227,"$"," ")</f>
        <v xml:space="preserve"> 40</v>
      </c>
      <c r="N227">
        <v>1.2</v>
      </c>
      <c r="O227" t="b">
        <v>0</v>
      </c>
    </row>
    <row r="228" spans="1:18" x14ac:dyDescent="0.2">
      <c r="A228" t="s">
        <v>526</v>
      </c>
      <c r="B228" t="s">
        <v>527</v>
      </c>
      <c r="C228" t="str">
        <f t="shared" si="62"/>
        <v>Chelsea Barber</v>
      </c>
      <c r="D228" t="s">
        <v>4</v>
      </c>
      <c r="E228" t="str">
        <f t="shared" si="63"/>
        <v>Female</v>
      </c>
      <c r="F228">
        <v>29</v>
      </c>
      <c r="G228" t="s">
        <v>18</v>
      </c>
      <c r="H228" t="s">
        <v>19</v>
      </c>
      <c r="I228" t="s">
        <v>104</v>
      </c>
      <c r="J228">
        <v>10</v>
      </c>
      <c r="K228" t="str" cm="1">
        <f t="array" ref="K228">_xlfn.IFS( J228&lt;=5,"0-5", J228&lt;=10,"6-10",J228&lt;=15,"11-15",J228&lt;=20,"16-20",J228&gt;20,"20+")</f>
        <v>6-10</v>
      </c>
      <c r="L228" t="s">
        <v>45</v>
      </c>
      <c r="M228" t="str">
        <f>_xlfn.TEXTAFTER(L228, " ")</f>
        <v>40</v>
      </c>
      <c r="N228">
        <v>1.2</v>
      </c>
      <c r="O228" t="b">
        <v>0</v>
      </c>
      <c r="Q228" s="1">
        <v>0.78</v>
      </c>
      <c r="R228" s="1">
        <f t="shared" ref="R228:R230" si="81">Q228</f>
        <v>0.78</v>
      </c>
    </row>
    <row r="229" spans="1:18" x14ac:dyDescent="0.2">
      <c r="A229" t="s">
        <v>528</v>
      </c>
      <c r="B229" t="s">
        <v>529</v>
      </c>
      <c r="C229" t="str">
        <f t="shared" si="62"/>
        <v>Elaine Martinez</v>
      </c>
      <c r="D229" t="s">
        <v>67</v>
      </c>
      <c r="E229" t="str">
        <f t="shared" si="63"/>
        <v>Female</v>
      </c>
      <c r="F229">
        <v>54</v>
      </c>
      <c r="G229" t="s">
        <v>118</v>
      </c>
      <c r="H229" t="s">
        <v>12</v>
      </c>
      <c r="I229" t="s">
        <v>20</v>
      </c>
      <c r="J229">
        <v>33</v>
      </c>
      <c r="K229" t="str" cm="1">
        <f t="array" ref="K229">_xlfn.IFS( J229&lt;=5,"0-5", J229&lt;=10,"6-10",J229&lt;=15,"11-15",J229&lt;=20,"16-20",J229&gt;20,"20+")</f>
        <v>20+</v>
      </c>
      <c r="L229" t="s">
        <v>160</v>
      </c>
      <c r="M229" t="str">
        <f>SUBSTITUTE(L229,"$"," ")</f>
        <v xml:space="preserve"> 75</v>
      </c>
      <c r="N229">
        <v>0</v>
      </c>
      <c r="O229">
        <v>1</v>
      </c>
      <c r="Q229" s="1">
        <v>0.62</v>
      </c>
      <c r="R229" s="1">
        <f t="shared" si="81"/>
        <v>0.62</v>
      </c>
    </row>
    <row r="230" spans="1:18" x14ac:dyDescent="0.2">
      <c r="A230" t="s">
        <v>530</v>
      </c>
      <c r="B230" t="s">
        <v>531</v>
      </c>
      <c r="C230" t="str">
        <f t="shared" si="62"/>
        <v>Joseph Kent</v>
      </c>
      <c r="D230" t="s">
        <v>82</v>
      </c>
      <c r="E230" t="str">
        <f t="shared" si="63"/>
        <v>Male</v>
      </c>
      <c r="F230">
        <v>52</v>
      </c>
      <c r="G230" t="s">
        <v>169</v>
      </c>
      <c r="H230" t="s">
        <v>62</v>
      </c>
      <c r="I230" t="s">
        <v>104</v>
      </c>
      <c r="J230">
        <v>12</v>
      </c>
      <c r="K230" t="str" cm="1">
        <f t="array" ref="K230">_xlfn.IFS( J230&lt;=5,"0-5", J230&lt;=10,"6-10",J230&lt;=15,"11-15",J230&lt;=20,"16-20",J230&gt;20,"20+")</f>
        <v>11-15</v>
      </c>
      <c r="L230">
        <v>40</v>
      </c>
      <c r="M230" s="2">
        <f t="shared" ref="M230:M231" si="82">L230</f>
        <v>40</v>
      </c>
      <c r="N230">
        <v>1.2</v>
      </c>
      <c r="O230">
        <v>0</v>
      </c>
      <c r="P230" t="s">
        <v>2074</v>
      </c>
      <c r="Q230" s="1">
        <v>0.76</v>
      </c>
      <c r="R230" s="1">
        <f t="shared" si="81"/>
        <v>0.76</v>
      </c>
    </row>
    <row r="231" spans="1:18" x14ac:dyDescent="0.2">
      <c r="A231" t="s">
        <v>532</v>
      </c>
      <c r="B231" t="s">
        <v>533</v>
      </c>
      <c r="C231" t="str">
        <f t="shared" si="62"/>
        <v>Megan Welch</v>
      </c>
      <c r="D231" t="s">
        <v>10</v>
      </c>
      <c r="E231" t="str">
        <f t="shared" si="63"/>
        <v>Female</v>
      </c>
      <c r="F231">
        <v>55</v>
      </c>
      <c r="G231" t="s">
        <v>39</v>
      </c>
      <c r="H231" t="s">
        <v>40</v>
      </c>
      <c r="I231" t="s">
        <v>7</v>
      </c>
      <c r="J231">
        <v>18</v>
      </c>
      <c r="K231" t="str" cm="1">
        <f t="array" ref="K231">_xlfn.IFS( J231&lt;=5,"0-5", J231&lt;=10,"6-10",J231&lt;=15,"11-15",J231&lt;=20,"16-20",J231&gt;20,"20+")</f>
        <v>16-20</v>
      </c>
      <c r="L231">
        <v>100</v>
      </c>
      <c r="M231" s="2">
        <f t="shared" si="82"/>
        <v>100</v>
      </c>
      <c r="N231">
        <v>2.9</v>
      </c>
      <c r="O231">
        <v>0</v>
      </c>
      <c r="P231" t="s">
        <v>2074</v>
      </c>
      <c r="Q231">
        <v>97</v>
      </c>
      <c r="R231" s="3">
        <f>Q231/100</f>
        <v>0.97</v>
      </c>
    </row>
    <row r="232" spans="1:18" x14ac:dyDescent="0.2">
      <c r="A232" t="s">
        <v>534</v>
      </c>
      <c r="B232" t="s">
        <v>535</v>
      </c>
      <c r="C232" t="str">
        <f t="shared" si="62"/>
        <v>Stephen Ramirez</v>
      </c>
      <c r="D232" t="s">
        <v>17</v>
      </c>
      <c r="E232" t="str">
        <f t="shared" si="63"/>
        <v>Male</v>
      </c>
      <c r="F232">
        <v>37</v>
      </c>
      <c r="G232" t="s">
        <v>97</v>
      </c>
      <c r="H232" t="s">
        <v>98</v>
      </c>
      <c r="I232" t="s">
        <v>7</v>
      </c>
      <c r="J232">
        <v>4</v>
      </c>
      <c r="K232" t="str" cm="1">
        <f t="array" ref="K232">_xlfn.IFS( J232&lt;=5,"0-5", J232&lt;=10,"6-10",J232&lt;=15,"11-15",J232&lt;=20,"16-20",J232&gt;20,"20+")</f>
        <v>0-5</v>
      </c>
      <c r="M232"/>
      <c r="O232" t="s">
        <v>21</v>
      </c>
    </row>
    <row r="233" spans="1:18" x14ac:dyDescent="0.2">
      <c r="A233" t="s">
        <v>536</v>
      </c>
      <c r="B233" t="s">
        <v>537</v>
      </c>
      <c r="C233" t="str">
        <f t="shared" si="62"/>
        <v>Chloe Gray</v>
      </c>
      <c r="D233" t="s">
        <v>4</v>
      </c>
      <c r="E233" t="str">
        <f t="shared" si="63"/>
        <v>Female</v>
      </c>
      <c r="F233">
        <v>34</v>
      </c>
      <c r="G233" t="s">
        <v>129</v>
      </c>
      <c r="H233" t="s">
        <v>130</v>
      </c>
      <c r="I233" t="s">
        <v>41</v>
      </c>
      <c r="J233">
        <v>11</v>
      </c>
      <c r="K233" t="str" cm="1">
        <f t="array" ref="K233">_xlfn.IFS( J233&lt;=5,"0-5", J233&lt;=10,"6-10",J233&lt;=15,"11-15",J233&lt;=20,"16-20",J233&gt;20,"20+")</f>
        <v>11-15</v>
      </c>
      <c r="L233" t="s">
        <v>54</v>
      </c>
      <c r="M233" t="str">
        <f>SUBSTITUTE(L233,"$"," ")</f>
        <v xml:space="preserve"> 50</v>
      </c>
      <c r="N233">
        <v>3.9</v>
      </c>
      <c r="O233">
        <v>1</v>
      </c>
      <c r="Q233" s="1">
        <v>0.82</v>
      </c>
      <c r="R233" s="1">
        <f t="shared" ref="R233:R234" si="83">Q233</f>
        <v>0.82</v>
      </c>
    </row>
    <row r="234" spans="1:18" x14ac:dyDescent="0.2">
      <c r="A234" t="s">
        <v>538</v>
      </c>
      <c r="B234" t="s">
        <v>539</v>
      </c>
      <c r="C234" t="str">
        <f t="shared" si="62"/>
        <v>Michael Williams Jr.</v>
      </c>
      <c r="D234" t="s">
        <v>38</v>
      </c>
      <c r="E234" t="str">
        <f t="shared" si="63"/>
        <v>Male</v>
      </c>
      <c r="F234">
        <v>20</v>
      </c>
      <c r="G234" t="s">
        <v>125</v>
      </c>
      <c r="H234" t="s">
        <v>126</v>
      </c>
      <c r="I234" t="s">
        <v>41</v>
      </c>
      <c r="J234">
        <v>1</v>
      </c>
      <c r="K234" t="str" cm="1">
        <f t="array" ref="K234">_xlfn.IFS( J234&lt;=5,"0-5", J234&lt;=10,"6-10",J234&lt;=15,"11-15",J234&lt;=20,"16-20",J234&gt;20,"20+")</f>
        <v>0-5</v>
      </c>
      <c r="L234">
        <v>50</v>
      </c>
      <c r="M234" s="2">
        <f>L234</f>
        <v>50</v>
      </c>
      <c r="N234">
        <v>3.1</v>
      </c>
      <c r="Q234" s="1">
        <v>0.71</v>
      </c>
      <c r="R234" s="1">
        <f t="shared" si="83"/>
        <v>0.71</v>
      </c>
    </row>
    <row r="235" spans="1:18" x14ac:dyDescent="0.2">
      <c r="A235" t="s">
        <v>540</v>
      </c>
      <c r="B235" t="s">
        <v>541</v>
      </c>
      <c r="C235" t="str">
        <f t="shared" si="62"/>
        <v>Matthew Martin</v>
      </c>
      <c r="D235" t="s">
        <v>38</v>
      </c>
      <c r="E235" t="str">
        <f t="shared" si="63"/>
        <v>Male</v>
      </c>
      <c r="F235">
        <v>22</v>
      </c>
      <c r="G235" t="s">
        <v>169</v>
      </c>
      <c r="H235" t="s">
        <v>62</v>
      </c>
      <c r="I235" t="s">
        <v>63</v>
      </c>
      <c r="J235">
        <v>2</v>
      </c>
      <c r="K235" t="str" cm="1">
        <f t="array" ref="K235">_xlfn.IFS( J235&lt;=5,"0-5", J235&lt;=10,"6-10",J235&lt;=15,"11-15",J235&lt;=20,"16-20",J235&gt;20,"20+")</f>
        <v>0-5</v>
      </c>
      <c r="M235"/>
      <c r="N235">
        <v>0</v>
      </c>
      <c r="O235">
        <v>1</v>
      </c>
    </row>
    <row r="236" spans="1:18" x14ac:dyDescent="0.2">
      <c r="A236" t="s">
        <v>542</v>
      </c>
      <c r="B236" t="s">
        <v>543</v>
      </c>
      <c r="C236" t="str">
        <f t="shared" si="62"/>
        <v>Julia Murphy</v>
      </c>
      <c r="D236" t="s">
        <v>4</v>
      </c>
      <c r="E236" t="str">
        <f t="shared" si="63"/>
        <v>Female</v>
      </c>
      <c r="F236">
        <v>23</v>
      </c>
      <c r="G236" t="s">
        <v>102</v>
      </c>
      <c r="H236" t="s">
        <v>103</v>
      </c>
      <c r="I236" t="s">
        <v>20</v>
      </c>
      <c r="J236">
        <v>2</v>
      </c>
      <c r="K236" t="str" cm="1">
        <f t="array" ref="K236">_xlfn.IFS( J236&lt;=5,"0-5", J236&lt;=10,"6-10",J236&lt;=15,"11-15",J236&lt;=20,"16-20",J236&gt;20,"20+")</f>
        <v>0-5</v>
      </c>
      <c r="L236">
        <v>50</v>
      </c>
      <c r="M236" s="2">
        <f t="shared" ref="M236:M239" si="84">L236</f>
        <v>50</v>
      </c>
      <c r="N236">
        <v>3.2</v>
      </c>
      <c r="O236" t="b">
        <v>1</v>
      </c>
      <c r="P236" t="s">
        <v>2075</v>
      </c>
    </row>
    <row r="237" spans="1:18" x14ac:dyDescent="0.2">
      <c r="A237" t="s">
        <v>544</v>
      </c>
      <c r="B237" t="s">
        <v>545</v>
      </c>
      <c r="C237" t="str">
        <f t="shared" si="62"/>
        <v>Anna Evans</v>
      </c>
      <c r="D237" t="s">
        <v>24</v>
      </c>
      <c r="E237" t="str">
        <f t="shared" si="63"/>
        <v>Female</v>
      </c>
      <c r="F237">
        <v>53</v>
      </c>
      <c r="G237" t="s">
        <v>102</v>
      </c>
      <c r="H237" t="s">
        <v>103</v>
      </c>
      <c r="I237" t="s">
        <v>7</v>
      </c>
      <c r="J237">
        <v>34</v>
      </c>
      <c r="K237" t="str" cm="1">
        <f t="array" ref="K237">_xlfn.IFS( J237&lt;=5,"0-5", J237&lt;=10,"6-10",J237&lt;=15,"11-15",J237&lt;=20,"16-20",J237&gt;20,"20+")</f>
        <v>20+</v>
      </c>
      <c r="L237">
        <v>30</v>
      </c>
      <c r="M237" s="2">
        <f t="shared" si="84"/>
        <v>30</v>
      </c>
      <c r="O237" t="s">
        <v>64</v>
      </c>
      <c r="P237" t="s">
        <v>2075</v>
      </c>
    </row>
    <row r="238" spans="1:18" x14ac:dyDescent="0.2">
      <c r="A238" t="s">
        <v>546</v>
      </c>
      <c r="B238" t="s">
        <v>547</v>
      </c>
      <c r="C238" t="str">
        <f t="shared" si="62"/>
        <v>Brenda Fleming</v>
      </c>
      <c r="D238" t="s">
        <v>24</v>
      </c>
      <c r="E238" t="str">
        <f t="shared" si="63"/>
        <v>Female</v>
      </c>
      <c r="F238">
        <v>56</v>
      </c>
      <c r="G238" t="s">
        <v>102</v>
      </c>
      <c r="H238" t="s">
        <v>103</v>
      </c>
      <c r="I238" t="s">
        <v>20</v>
      </c>
      <c r="J238">
        <v>27</v>
      </c>
      <c r="K238" t="str" cm="1">
        <f t="array" ref="K238">_xlfn.IFS( J238&lt;=5,"0-5", J238&lt;=10,"6-10",J238&lt;=15,"11-15",J238&lt;=20,"16-20",J238&gt;20,"20+")</f>
        <v>20+</v>
      </c>
      <c r="L238">
        <v>100</v>
      </c>
      <c r="M238" s="2">
        <f t="shared" si="84"/>
        <v>100</v>
      </c>
      <c r="N238">
        <v>4.7</v>
      </c>
      <c r="O238" t="b">
        <v>1</v>
      </c>
      <c r="P238" t="s">
        <v>2075</v>
      </c>
      <c r="Q238" s="1">
        <v>0.69</v>
      </c>
      <c r="R238" s="1">
        <f t="shared" ref="R238:R240" si="85">Q238</f>
        <v>0.69</v>
      </c>
    </row>
    <row r="239" spans="1:18" x14ac:dyDescent="0.2">
      <c r="A239" t="s">
        <v>548</v>
      </c>
      <c r="B239" t="s">
        <v>549</v>
      </c>
      <c r="C239" t="str">
        <f t="shared" si="62"/>
        <v>Daniel Harrington</v>
      </c>
      <c r="D239" t="s">
        <v>82</v>
      </c>
      <c r="E239" t="str">
        <f t="shared" si="63"/>
        <v>Male</v>
      </c>
      <c r="F239">
        <v>27</v>
      </c>
      <c r="G239" t="s">
        <v>118</v>
      </c>
      <c r="H239" t="s">
        <v>12</v>
      </c>
      <c r="I239" t="s">
        <v>34</v>
      </c>
      <c r="J239">
        <v>4</v>
      </c>
      <c r="K239" t="str" cm="1">
        <f t="array" ref="K239">_xlfn.IFS( J239&lt;=5,"0-5", J239&lt;=10,"6-10",J239&lt;=15,"11-15",J239&lt;=20,"16-20",J239&gt;20,"20+")</f>
        <v>0-5</v>
      </c>
      <c r="L239">
        <v>75</v>
      </c>
      <c r="M239" s="2">
        <f t="shared" si="84"/>
        <v>75</v>
      </c>
      <c r="N239">
        <v>5</v>
      </c>
      <c r="O239">
        <v>0</v>
      </c>
      <c r="P239" t="s">
        <v>2074</v>
      </c>
      <c r="Q239" s="1">
        <v>0.88</v>
      </c>
      <c r="R239" s="1">
        <f t="shared" si="85"/>
        <v>0.88</v>
      </c>
    </row>
    <row r="240" spans="1:18" x14ac:dyDescent="0.2">
      <c r="A240" t="s">
        <v>550</v>
      </c>
      <c r="B240" t="s">
        <v>551</v>
      </c>
      <c r="C240" t="str">
        <f t="shared" si="62"/>
        <v>Daniel Barnett</v>
      </c>
      <c r="D240" t="s">
        <v>87</v>
      </c>
      <c r="E240" t="str">
        <f t="shared" si="63"/>
        <v>Male</v>
      </c>
      <c r="F240">
        <v>34</v>
      </c>
      <c r="G240" t="s">
        <v>5</v>
      </c>
      <c r="H240" t="s">
        <v>6</v>
      </c>
      <c r="I240" t="s">
        <v>13</v>
      </c>
      <c r="J240">
        <v>11</v>
      </c>
      <c r="K240" t="str" cm="1">
        <f t="array" ref="K240">_xlfn.IFS( J240&lt;=5,"0-5", J240&lt;=10,"6-10",J240&lt;=15,"11-15",J240&lt;=20,"16-20",J240&gt;20,"20+")</f>
        <v>11-15</v>
      </c>
      <c r="L240" t="s">
        <v>45</v>
      </c>
      <c r="M240" t="str">
        <f t="shared" ref="M240:M241" si="86">_xlfn.TEXTAFTER(L240, " ")</f>
        <v>40</v>
      </c>
      <c r="O240" t="b">
        <v>0</v>
      </c>
      <c r="Q240" s="1">
        <v>0.67</v>
      </c>
      <c r="R240" s="1">
        <f t="shared" si="85"/>
        <v>0.67</v>
      </c>
    </row>
    <row r="241" spans="1:18" x14ac:dyDescent="0.2">
      <c r="A241" t="s">
        <v>552</v>
      </c>
      <c r="B241" t="s">
        <v>553</v>
      </c>
      <c r="C241" t="str">
        <f t="shared" ref="C241:C274" si="87">B241</f>
        <v>Mark Cummings</v>
      </c>
      <c r="D241" t="s">
        <v>82</v>
      </c>
      <c r="E241" t="str">
        <f t="shared" ref="E241:E274" si="88">IF(LOWER(LEFT(D241,1)) ="f", "Female", "Male")</f>
        <v>Male</v>
      </c>
      <c r="F241">
        <v>29</v>
      </c>
      <c r="G241" t="s">
        <v>48</v>
      </c>
      <c r="H241" t="s">
        <v>12</v>
      </c>
      <c r="I241" t="s">
        <v>25</v>
      </c>
      <c r="J241">
        <v>4</v>
      </c>
      <c r="K241" t="str" cm="1">
        <f t="array" ref="K241">_xlfn.IFS( J241&lt;=5,"0-5", J241&lt;=10,"6-10",J241&lt;=15,"11-15",J241&lt;=20,"16-20",J241&gt;20,"20+")</f>
        <v>0-5</v>
      </c>
      <c r="L241" t="s">
        <v>88</v>
      </c>
      <c r="M241" t="str">
        <f t="shared" si="86"/>
        <v>50</v>
      </c>
      <c r="N241">
        <v>4</v>
      </c>
      <c r="O241">
        <v>0</v>
      </c>
    </row>
    <row r="242" spans="1:18" x14ac:dyDescent="0.2">
      <c r="A242" t="s">
        <v>554</v>
      </c>
      <c r="B242" t="s">
        <v>555</v>
      </c>
      <c r="C242" t="str">
        <f t="shared" si="87"/>
        <v>Christopher Guerra</v>
      </c>
      <c r="D242" t="s">
        <v>82</v>
      </c>
      <c r="E242" t="str">
        <f t="shared" si="88"/>
        <v>Male</v>
      </c>
      <c r="F242">
        <v>34</v>
      </c>
      <c r="G242" t="s">
        <v>83</v>
      </c>
      <c r="H242" t="s">
        <v>84</v>
      </c>
      <c r="I242" t="s">
        <v>34</v>
      </c>
      <c r="J242">
        <v>11</v>
      </c>
      <c r="K242" t="str" cm="1">
        <f t="array" ref="K242">_xlfn.IFS( J242&lt;=5,"0-5", J242&lt;=10,"6-10",J242&lt;=15,"11-15",J242&lt;=20,"16-20",J242&gt;20,"20+")</f>
        <v>11-15</v>
      </c>
      <c r="M242"/>
      <c r="N242">
        <v>1.2</v>
      </c>
      <c r="O242">
        <v>1</v>
      </c>
    </row>
    <row r="243" spans="1:18" x14ac:dyDescent="0.2">
      <c r="A243" t="s">
        <v>556</v>
      </c>
      <c r="B243" t="s">
        <v>557</v>
      </c>
      <c r="C243" t="str">
        <f t="shared" si="87"/>
        <v>Sarah Ho</v>
      </c>
      <c r="D243" t="s">
        <v>29</v>
      </c>
      <c r="E243" t="str">
        <f t="shared" si="88"/>
        <v>Female</v>
      </c>
      <c r="F243">
        <v>32</v>
      </c>
      <c r="G243" t="s">
        <v>169</v>
      </c>
      <c r="H243" t="s">
        <v>62</v>
      </c>
      <c r="I243" t="s">
        <v>34</v>
      </c>
      <c r="J243">
        <v>1</v>
      </c>
      <c r="K243" t="str" cm="1">
        <f t="array" ref="K243">_xlfn.IFS( J243&lt;=5,"0-5", J243&lt;=10,"6-10",J243&lt;=15,"11-15",J243&lt;=20,"16-20",J243&gt;20,"20+")</f>
        <v>0-5</v>
      </c>
      <c r="L243">
        <v>100</v>
      </c>
      <c r="M243" s="2">
        <f t="shared" ref="M243:M244" si="89">L243</f>
        <v>100</v>
      </c>
      <c r="N243">
        <v>4.7</v>
      </c>
      <c r="O243">
        <v>0</v>
      </c>
      <c r="P243" t="s">
        <v>2074</v>
      </c>
      <c r="Q243" s="1">
        <v>0.67</v>
      </c>
      <c r="R243" s="1">
        <f t="shared" ref="R243:R246" si="90">Q243</f>
        <v>0.67</v>
      </c>
    </row>
    <row r="244" spans="1:18" x14ac:dyDescent="0.2">
      <c r="A244" t="s">
        <v>558</v>
      </c>
      <c r="B244" t="s">
        <v>559</v>
      </c>
      <c r="C244" t="str">
        <f t="shared" si="87"/>
        <v>Veronica Thomas</v>
      </c>
      <c r="D244" t="s">
        <v>4</v>
      </c>
      <c r="E244" t="str">
        <f t="shared" si="88"/>
        <v>Female</v>
      </c>
      <c r="F244">
        <v>21</v>
      </c>
      <c r="G244" t="s">
        <v>143</v>
      </c>
      <c r="H244" t="s">
        <v>144</v>
      </c>
      <c r="I244" t="s">
        <v>104</v>
      </c>
      <c r="J244">
        <v>2</v>
      </c>
      <c r="K244" t="str" cm="1">
        <f t="array" ref="K244">_xlfn.IFS( J244&lt;=5,"0-5", J244&lt;=10,"6-10",J244&lt;=15,"11-15",J244&lt;=20,"16-20",J244&gt;20,"20+")</f>
        <v>0-5</v>
      </c>
      <c r="L244">
        <v>20</v>
      </c>
      <c r="M244" s="2">
        <f t="shared" si="89"/>
        <v>20</v>
      </c>
      <c r="N244">
        <v>2.4</v>
      </c>
      <c r="Q244" s="1">
        <v>0.86</v>
      </c>
      <c r="R244" s="1">
        <f t="shared" si="90"/>
        <v>0.86</v>
      </c>
    </row>
    <row r="245" spans="1:18" x14ac:dyDescent="0.2">
      <c r="A245" t="s">
        <v>560</v>
      </c>
      <c r="B245" t="s">
        <v>561</v>
      </c>
      <c r="C245" t="str">
        <f t="shared" si="87"/>
        <v>Mitchell Watson</v>
      </c>
      <c r="D245" t="s">
        <v>51</v>
      </c>
      <c r="E245" t="str">
        <f t="shared" si="88"/>
        <v>Male</v>
      </c>
      <c r="F245">
        <v>20</v>
      </c>
      <c r="G245" t="s">
        <v>169</v>
      </c>
      <c r="H245" t="s">
        <v>62</v>
      </c>
      <c r="I245" t="s">
        <v>20</v>
      </c>
      <c r="J245">
        <v>2</v>
      </c>
      <c r="K245" t="str" cm="1">
        <f t="array" ref="K245">_xlfn.IFS( J245&lt;=5,"0-5", J245&lt;=10,"6-10",J245&lt;=15,"11-15",J245&lt;=20,"16-20",J245&gt;20,"20+")</f>
        <v>0-5</v>
      </c>
      <c r="M245"/>
      <c r="N245">
        <v>1.1000000000000001</v>
      </c>
      <c r="O245" t="b">
        <v>0</v>
      </c>
      <c r="Q245" s="1">
        <v>0.69</v>
      </c>
      <c r="R245" s="1">
        <f t="shared" si="90"/>
        <v>0.69</v>
      </c>
    </row>
    <row r="246" spans="1:18" x14ac:dyDescent="0.2">
      <c r="A246" t="s">
        <v>562</v>
      </c>
      <c r="B246" t="s">
        <v>563</v>
      </c>
      <c r="C246" t="str">
        <f t="shared" si="87"/>
        <v>Monica Murphy</v>
      </c>
      <c r="D246" t="s">
        <v>10</v>
      </c>
      <c r="E246" t="str">
        <f t="shared" si="88"/>
        <v>Female</v>
      </c>
      <c r="F246">
        <v>35</v>
      </c>
      <c r="G246" t="s">
        <v>48</v>
      </c>
      <c r="H246" t="s">
        <v>12</v>
      </c>
      <c r="I246" t="s">
        <v>13</v>
      </c>
      <c r="J246">
        <v>10</v>
      </c>
      <c r="K246" t="str" cm="1">
        <f t="array" ref="K246">_xlfn.IFS( J246&lt;=5,"0-5", J246&lt;=10,"6-10",J246&lt;=15,"11-15",J246&lt;=20,"16-20",J246&gt;20,"20+")</f>
        <v>6-10</v>
      </c>
      <c r="L246">
        <v>50</v>
      </c>
      <c r="M246" s="2">
        <f t="shared" ref="M246:M248" si="91">L246</f>
        <v>50</v>
      </c>
      <c r="N246">
        <v>1.4</v>
      </c>
      <c r="O246" t="b">
        <v>1</v>
      </c>
      <c r="P246" t="s">
        <v>2075</v>
      </c>
      <c r="Q246" s="1">
        <v>0.85</v>
      </c>
      <c r="R246" s="1">
        <f t="shared" si="90"/>
        <v>0.85</v>
      </c>
    </row>
    <row r="247" spans="1:18" x14ac:dyDescent="0.2">
      <c r="A247" t="s">
        <v>564</v>
      </c>
      <c r="B247" t="s">
        <v>565</v>
      </c>
      <c r="C247" t="str">
        <f t="shared" si="87"/>
        <v>Kristen Williams</v>
      </c>
      <c r="D247" t="s">
        <v>4</v>
      </c>
      <c r="E247" t="str">
        <f t="shared" si="88"/>
        <v>Female</v>
      </c>
      <c r="F247">
        <v>47</v>
      </c>
      <c r="G247" t="s">
        <v>48</v>
      </c>
      <c r="H247" t="s">
        <v>12</v>
      </c>
      <c r="I247" t="s">
        <v>63</v>
      </c>
      <c r="J247">
        <v>18</v>
      </c>
      <c r="K247" t="str" cm="1">
        <f t="array" ref="K247">_xlfn.IFS( J247&lt;=5,"0-5", J247&lt;=10,"6-10",J247&lt;=15,"11-15",J247&lt;=20,"16-20",J247&gt;20,"20+")</f>
        <v>16-20</v>
      </c>
      <c r="L247">
        <v>40</v>
      </c>
      <c r="M247" s="2">
        <f t="shared" si="91"/>
        <v>40</v>
      </c>
      <c r="N247">
        <v>3.4</v>
      </c>
      <c r="O247">
        <v>0</v>
      </c>
      <c r="P247" t="s">
        <v>2074</v>
      </c>
      <c r="Q247">
        <v>60</v>
      </c>
      <c r="R247" s="3">
        <f t="shared" ref="R247:R248" si="92">Q247/100</f>
        <v>0.6</v>
      </c>
    </row>
    <row r="248" spans="1:18" x14ac:dyDescent="0.2">
      <c r="A248" t="s">
        <v>566</v>
      </c>
      <c r="B248" t="s">
        <v>567</v>
      </c>
      <c r="C248" t="str">
        <f t="shared" si="87"/>
        <v>Nicole Wright</v>
      </c>
      <c r="D248" t="s">
        <v>4</v>
      </c>
      <c r="E248" t="str">
        <f t="shared" si="88"/>
        <v>Female</v>
      </c>
      <c r="F248">
        <v>41</v>
      </c>
      <c r="G248" t="s">
        <v>52</v>
      </c>
      <c r="H248" t="s">
        <v>53</v>
      </c>
      <c r="I248" t="s">
        <v>7</v>
      </c>
      <c r="J248">
        <v>4</v>
      </c>
      <c r="K248" t="str" cm="1">
        <f t="array" ref="K248">_xlfn.IFS( J248&lt;=5,"0-5", J248&lt;=10,"6-10",J248&lt;=15,"11-15",J248&lt;=20,"16-20",J248&gt;20,"20+")</f>
        <v>0-5</v>
      </c>
      <c r="L248">
        <v>40</v>
      </c>
      <c r="M248" s="2">
        <f t="shared" si="91"/>
        <v>40</v>
      </c>
      <c r="N248">
        <v>2.7</v>
      </c>
      <c r="O248">
        <v>1</v>
      </c>
      <c r="P248" t="s">
        <v>2075</v>
      </c>
      <c r="Q248">
        <v>70</v>
      </c>
      <c r="R248" s="3">
        <f t="shared" si="92"/>
        <v>0.7</v>
      </c>
    </row>
    <row r="249" spans="1:18" x14ac:dyDescent="0.2">
      <c r="A249" t="s">
        <v>568</v>
      </c>
      <c r="B249" t="s">
        <v>569</v>
      </c>
      <c r="C249" t="str">
        <f t="shared" si="87"/>
        <v>Andrew Ruiz</v>
      </c>
      <c r="D249" t="s">
        <v>17</v>
      </c>
      <c r="E249" t="str">
        <f t="shared" si="88"/>
        <v>Male</v>
      </c>
      <c r="F249">
        <v>58</v>
      </c>
      <c r="G249" t="s">
        <v>61</v>
      </c>
      <c r="H249" t="s">
        <v>62</v>
      </c>
      <c r="I249" t="s">
        <v>25</v>
      </c>
      <c r="J249">
        <v>23</v>
      </c>
      <c r="K249" t="str" cm="1">
        <f t="array" ref="K249">_xlfn.IFS( J249&lt;=5,"0-5", J249&lt;=10,"6-10",J249&lt;=15,"11-15",J249&lt;=20,"16-20",J249&gt;20,"20+")</f>
        <v>20+</v>
      </c>
      <c r="M249"/>
      <c r="N249">
        <v>4.9000000000000004</v>
      </c>
      <c r="O249" t="b">
        <v>0</v>
      </c>
    </row>
    <row r="250" spans="1:18" x14ac:dyDescent="0.2">
      <c r="A250" t="s">
        <v>570</v>
      </c>
      <c r="B250" t="s">
        <v>571</v>
      </c>
      <c r="C250" t="str">
        <f t="shared" si="87"/>
        <v>Zachary Jackson</v>
      </c>
      <c r="D250" t="s">
        <v>38</v>
      </c>
      <c r="E250" t="str">
        <f t="shared" si="88"/>
        <v>Male</v>
      </c>
      <c r="F250">
        <v>34</v>
      </c>
      <c r="G250" t="s">
        <v>165</v>
      </c>
      <c r="H250" t="s">
        <v>166</v>
      </c>
      <c r="I250" t="s">
        <v>41</v>
      </c>
      <c r="J250">
        <v>6</v>
      </c>
      <c r="K250" t="str" cm="1">
        <f t="array" ref="K250">_xlfn.IFS( J250&lt;=5,"0-5", J250&lt;=10,"6-10",J250&lt;=15,"11-15",J250&lt;=20,"16-20",J250&gt;20,"20+")</f>
        <v>6-10</v>
      </c>
      <c r="L250">
        <v>75</v>
      </c>
      <c r="M250" s="2">
        <f t="shared" ref="M250:M251" si="93">L250</f>
        <v>75</v>
      </c>
      <c r="N250">
        <v>1.9</v>
      </c>
      <c r="O250">
        <v>1</v>
      </c>
      <c r="P250" t="s">
        <v>2075</v>
      </c>
      <c r="Q250" s="1">
        <v>0.81</v>
      </c>
      <c r="R250" s="1">
        <f>Q250</f>
        <v>0.81</v>
      </c>
    </row>
    <row r="251" spans="1:18" x14ac:dyDescent="0.2">
      <c r="A251" t="s">
        <v>572</v>
      </c>
      <c r="B251" t="s">
        <v>573</v>
      </c>
      <c r="C251" t="str">
        <f t="shared" si="87"/>
        <v>Stephanie Carter</v>
      </c>
      <c r="D251" t="s">
        <v>4</v>
      </c>
      <c r="E251" t="str">
        <f t="shared" si="88"/>
        <v>Female</v>
      </c>
      <c r="F251">
        <v>50</v>
      </c>
      <c r="G251" t="s">
        <v>83</v>
      </c>
      <c r="H251" t="s">
        <v>84</v>
      </c>
      <c r="I251" t="s">
        <v>13</v>
      </c>
      <c r="J251">
        <v>5</v>
      </c>
      <c r="K251" t="str" cm="1">
        <f t="array" ref="K251">_xlfn.IFS( J251&lt;=5,"0-5", J251&lt;=10,"6-10",J251&lt;=15,"11-15",J251&lt;=20,"16-20",J251&gt;20,"20+")</f>
        <v>0-5</v>
      </c>
      <c r="L251">
        <v>100</v>
      </c>
      <c r="M251" s="2">
        <f t="shared" si="93"/>
        <v>100</v>
      </c>
      <c r="O251">
        <v>1</v>
      </c>
      <c r="P251" t="s">
        <v>2075</v>
      </c>
    </row>
    <row r="252" spans="1:18" x14ac:dyDescent="0.2">
      <c r="A252" t="s">
        <v>574</v>
      </c>
      <c r="B252" t="s">
        <v>575</v>
      </c>
      <c r="C252" t="str">
        <f t="shared" si="87"/>
        <v>Amy Olson</v>
      </c>
      <c r="D252" t="s">
        <v>4</v>
      </c>
      <c r="E252" t="str">
        <f t="shared" si="88"/>
        <v>Female</v>
      </c>
      <c r="F252">
        <v>42</v>
      </c>
      <c r="G252" t="s">
        <v>169</v>
      </c>
      <c r="H252" t="s">
        <v>62</v>
      </c>
      <c r="I252" t="s">
        <v>79</v>
      </c>
      <c r="J252">
        <v>19</v>
      </c>
      <c r="K252" t="str" cm="1">
        <f t="array" ref="K252">_xlfn.IFS( J252&lt;=5,"0-5", J252&lt;=10,"6-10",J252&lt;=15,"11-15",J252&lt;=20,"16-20",J252&gt;20,"20+")</f>
        <v>16-20</v>
      </c>
      <c r="L252" t="s">
        <v>42</v>
      </c>
      <c r="M252" t="str">
        <f>_xlfn.TEXTAFTER(L252, " ")</f>
        <v>75</v>
      </c>
      <c r="N252">
        <v>4.5999999999999996</v>
      </c>
      <c r="O252">
        <v>0</v>
      </c>
      <c r="Q252" s="1">
        <v>0.78</v>
      </c>
      <c r="R252" s="1">
        <f>Q252</f>
        <v>0.78</v>
      </c>
    </row>
    <row r="253" spans="1:18" x14ac:dyDescent="0.2">
      <c r="A253" t="s">
        <v>576</v>
      </c>
      <c r="B253" t="s">
        <v>577</v>
      </c>
      <c r="C253" t="str">
        <f t="shared" si="87"/>
        <v>Fred Stark</v>
      </c>
      <c r="D253" t="s">
        <v>82</v>
      </c>
      <c r="E253" t="str">
        <f t="shared" si="88"/>
        <v>Male</v>
      </c>
      <c r="F253">
        <v>43</v>
      </c>
      <c r="G253" t="s">
        <v>18</v>
      </c>
      <c r="H253" t="s">
        <v>19</v>
      </c>
      <c r="I253" t="s">
        <v>63</v>
      </c>
      <c r="J253">
        <v>6</v>
      </c>
      <c r="K253" t="str" cm="1">
        <f t="array" ref="K253">_xlfn.IFS( J253&lt;=5,"0-5", J253&lt;=10,"6-10",J253&lt;=15,"11-15",J253&lt;=20,"16-20",J253&gt;20,"20+")</f>
        <v>6-10</v>
      </c>
      <c r="L253">
        <v>50</v>
      </c>
      <c r="M253" s="2">
        <f t="shared" ref="M253:M256" si="94">L253</f>
        <v>50</v>
      </c>
      <c r="N253">
        <v>0</v>
      </c>
      <c r="O253">
        <v>0</v>
      </c>
      <c r="P253" t="s">
        <v>2074</v>
      </c>
      <c r="Q253">
        <v>81</v>
      </c>
      <c r="R253" s="3">
        <f>Q253/100</f>
        <v>0.81</v>
      </c>
    </row>
    <row r="254" spans="1:18" x14ac:dyDescent="0.2">
      <c r="A254" t="s">
        <v>578</v>
      </c>
      <c r="B254" t="s">
        <v>579</v>
      </c>
      <c r="C254" t="str">
        <f t="shared" si="87"/>
        <v>Jacob Gill</v>
      </c>
      <c r="D254" t="s">
        <v>87</v>
      </c>
      <c r="E254" t="str">
        <f t="shared" si="88"/>
        <v>Male</v>
      </c>
      <c r="F254">
        <v>34</v>
      </c>
      <c r="G254" t="s">
        <v>18</v>
      </c>
      <c r="H254" t="s">
        <v>19</v>
      </c>
      <c r="I254" t="s">
        <v>41</v>
      </c>
      <c r="J254">
        <v>8</v>
      </c>
      <c r="K254" t="str" cm="1">
        <f t="array" ref="K254">_xlfn.IFS( J254&lt;=5,"0-5", J254&lt;=10,"6-10",J254&lt;=15,"11-15",J254&lt;=20,"16-20",J254&gt;20,"20+")</f>
        <v>6-10</v>
      </c>
      <c r="L254">
        <v>75</v>
      </c>
      <c r="M254" s="2">
        <f t="shared" si="94"/>
        <v>75</v>
      </c>
      <c r="N254">
        <v>1.8</v>
      </c>
      <c r="O254">
        <v>1</v>
      </c>
      <c r="P254" t="s">
        <v>2075</v>
      </c>
      <c r="Q254" s="1">
        <v>0.71</v>
      </c>
      <c r="R254" s="1">
        <f>Q254</f>
        <v>0.71</v>
      </c>
    </row>
    <row r="255" spans="1:18" x14ac:dyDescent="0.2">
      <c r="A255" t="s">
        <v>580</v>
      </c>
      <c r="B255" t="s">
        <v>581</v>
      </c>
      <c r="C255" t="str">
        <f t="shared" si="87"/>
        <v>Anthony Nichols</v>
      </c>
      <c r="D255" t="s">
        <v>87</v>
      </c>
      <c r="E255" t="str">
        <f t="shared" si="88"/>
        <v>Male</v>
      </c>
      <c r="F255">
        <v>24</v>
      </c>
      <c r="G255" t="s">
        <v>180</v>
      </c>
      <c r="H255" t="s">
        <v>62</v>
      </c>
      <c r="I255" t="s">
        <v>13</v>
      </c>
      <c r="J255">
        <v>3</v>
      </c>
      <c r="K255" t="str" cm="1">
        <f t="array" ref="K255">_xlfn.IFS( J255&lt;=5,"0-5", J255&lt;=10,"6-10",J255&lt;=15,"11-15",J255&lt;=20,"16-20",J255&gt;20,"20+")</f>
        <v>0-5</v>
      </c>
      <c r="L255">
        <v>75</v>
      </c>
      <c r="M255" s="2">
        <f t="shared" si="94"/>
        <v>75</v>
      </c>
      <c r="N255">
        <v>2</v>
      </c>
      <c r="O255" t="b">
        <v>0</v>
      </c>
      <c r="P255" t="s">
        <v>2074</v>
      </c>
    </row>
    <row r="256" spans="1:18" x14ac:dyDescent="0.2">
      <c r="A256" t="s">
        <v>582</v>
      </c>
      <c r="B256" t="s">
        <v>583</v>
      </c>
      <c r="C256" t="str">
        <f t="shared" si="87"/>
        <v>William Knapp</v>
      </c>
      <c r="D256" t="s">
        <v>38</v>
      </c>
      <c r="E256" t="str">
        <f t="shared" si="88"/>
        <v>Male</v>
      </c>
      <c r="F256">
        <v>48</v>
      </c>
      <c r="G256" t="s">
        <v>143</v>
      </c>
      <c r="H256" t="s">
        <v>144</v>
      </c>
      <c r="I256" t="s">
        <v>63</v>
      </c>
      <c r="J256">
        <v>8</v>
      </c>
      <c r="K256" t="str" cm="1">
        <f t="array" ref="K256">_xlfn.IFS( J256&lt;=5,"0-5", J256&lt;=10,"6-10",J256&lt;=15,"11-15",J256&lt;=20,"16-20",J256&gt;20,"20+")</f>
        <v>6-10</v>
      </c>
      <c r="L256">
        <v>30</v>
      </c>
      <c r="M256" s="2">
        <f t="shared" si="94"/>
        <v>30</v>
      </c>
      <c r="N256">
        <v>5</v>
      </c>
      <c r="O256">
        <v>1</v>
      </c>
      <c r="P256" t="s">
        <v>2075</v>
      </c>
      <c r="Q256" s="1">
        <v>0.99</v>
      </c>
      <c r="R256" s="1">
        <f t="shared" ref="R256:R259" si="95">Q256</f>
        <v>0.99</v>
      </c>
    </row>
    <row r="257" spans="1:18" x14ac:dyDescent="0.2">
      <c r="A257" t="s">
        <v>584</v>
      </c>
      <c r="B257" t="s">
        <v>585</v>
      </c>
      <c r="C257" t="str">
        <f t="shared" si="87"/>
        <v>Elizabeth Walker</v>
      </c>
      <c r="D257" t="s">
        <v>24</v>
      </c>
      <c r="E257" t="str">
        <f t="shared" si="88"/>
        <v>Female</v>
      </c>
      <c r="F257">
        <v>39</v>
      </c>
      <c r="G257" t="s">
        <v>102</v>
      </c>
      <c r="H257" t="s">
        <v>103</v>
      </c>
      <c r="I257" t="s">
        <v>41</v>
      </c>
      <c r="J257">
        <v>12</v>
      </c>
      <c r="K257" t="str" cm="1">
        <f t="array" ref="K257">_xlfn.IFS( J257&lt;=5,"0-5", J257&lt;=10,"6-10",J257&lt;=15,"11-15",J257&lt;=20,"16-20",J257&gt;20,"20+")</f>
        <v>11-15</v>
      </c>
      <c r="L257" t="s">
        <v>111</v>
      </c>
      <c r="M257" t="str">
        <f t="shared" ref="M257:M258" si="96">SUBSTITUTE(L257,"$"," ")</f>
        <v xml:space="preserve"> 20</v>
      </c>
      <c r="N257">
        <v>3.2</v>
      </c>
      <c r="O257" t="b">
        <v>1</v>
      </c>
      <c r="Q257" s="1">
        <v>0.66</v>
      </c>
      <c r="R257" s="1">
        <f t="shared" si="95"/>
        <v>0.66</v>
      </c>
    </row>
    <row r="258" spans="1:18" x14ac:dyDescent="0.2">
      <c r="A258" t="s">
        <v>586</v>
      </c>
      <c r="B258" t="s">
        <v>587</v>
      </c>
      <c r="C258" t="str">
        <f t="shared" si="87"/>
        <v>Brenda Reeves</v>
      </c>
      <c r="D258" t="s">
        <v>24</v>
      </c>
      <c r="E258" t="str">
        <f t="shared" si="88"/>
        <v>Female</v>
      </c>
      <c r="F258">
        <v>57</v>
      </c>
      <c r="G258" t="s">
        <v>11</v>
      </c>
      <c r="H258" t="s">
        <v>12</v>
      </c>
      <c r="I258" t="s">
        <v>7</v>
      </c>
      <c r="J258">
        <v>30</v>
      </c>
      <c r="K258" t="str" cm="1">
        <f t="array" ref="K258">_xlfn.IFS( J258&lt;=5,"0-5", J258&lt;=10,"6-10",J258&lt;=15,"11-15",J258&lt;=20,"16-20",J258&gt;20,"20+")</f>
        <v>20+</v>
      </c>
      <c r="L258" t="s">
        <v>35</v>
      </c>
      <c r="M258" t="str">
        <f t="shared" si="96"/>
        <v xml:space="preserve"> 30</v>
      </c>
      <c r="N258">
        <v>2.4</v>
      </c>
      <c r="Q258" s="1">
        <v>0.8</v>
      </c>
      <c r="R258" s="1">
        <f t="shared" si="95"/>
        <v>0.8</v>
      </c>
    </row>
    <row r="259" spans="1:18" x14ac:dyDescent="0.2">
      <c r="A259" t="s">
        <v>588</v>
      </c>
      <c r="B259" t="s">
        <v>589</v>
      </c>
      <c r="C259" t="str">
        <f t="shared" si="87"/>
        <v>Carrie Little</v>
      </c>
      <c r="D259" t="s">
        <v>10</v>
      </c>
      <c r="E259" t="str">
        <f t="shared" si="88"/>
        <v>Female</v>
      </c>
      <c r="F259">
        <v>44</v>
      </c>
      <c r="G259" t="s">
        <v>118</v>
      </c>
      <c r="H259" t="s">
        <v>12</v>
      </c>
      <c r="I259" t="s">
        <v>25</v>
      </c>
      <c r="J259">
        <v>21</v>
      </c>
      <c r="K259" t="str" cm="1">
        <f t="array" ref="K259">_xlfn.IFS( J259&lt;=5,"0-5", J259&lt;=10,"6-10",J259&lt;=15,"11-15",J259&lt;=20,"16-20",J259&gt;20,"20+")</f>
        <v>20+</v>
      </c>
      <c r="L259">
        <v>100</v>
      </c>
      <c r="M259" s="2">
        <f>L259</f>
        <v>100</v>
      </c>
      <c r="N259">
        <v>2.9</v>
      </c>
      <c r="O259">
        <v>0</v>
      </c>
      <c r="P259" t="s">
        <v>2074</v>
      </c>
      <c r="Q259" s="1">
        <v>0.83</v>
      </c>
      <c r="R259" s="1">
        <f t="shared" si="95"/>
        <v>0.83</v>
      </c>
    </row>
    <row r="260" spans="1:18" x14ac:dyDescent="0.2">
      <c r="A260" t="s">
        <v>590</v>
      </c>
      <c r="B260" t="s">
        <v>591</v>
      </c>
      <c r="C260" t="str">
        <f t="shared" si="87"/>
        <v>Steven Jackson</v>
      </c>
      <c r="D260" t="s">
        <v>17</v>
      </c>
      <c r="E260" t="str">
        <f t="shared" si="88"/>
        <v>Male</v>
      </c>
      <c r="F260">
        <v>37</v>
      </c>
      <c r="G260" t="s">
        <v>97</v>
      </c>
      <c r="H260" t="s">
        <v>98</v>
      </c>
      <c r="I260" t="s">
        <v>63</v>
      </c>
      <c r="J260">
        <v>17</v>
      </c>
      <c r="K260" t="str" cm="1">
        <f t="array" ref="K260">_xlfn.IFS( J260&lt;=5,"0-5", J260&lt;=10,"6-10",J260&lt;=15,"11-15",J260&lt;=20,"16-20",J260&gt;20,"20+")</f>
        <v>16-20</v>
      </c>
      <c r="L260" t="s">
        <v>304</v>
      </c>
      <c r="M260" t="str">
        <f>_xlfn.TEXTAFTER(L260, " ")</f>
        <v>20</v>
      </c>
      <c r="N260">
        <v>0</v>
      </c>
      <c r="O260" t="s">
        <v>58</v>
      </c>
      <c r="Q260">
        <v>87</v>
      </c>
      <c r="R260" s="3">
        <f t="shared" ref="R260:R261" si="97">Q260/100</f>
        <v>0.87</v>
      </c>
    </row>
    <row r="261" spans="1:18" x14ac:dyDescent="0.2">
      <c r="A261" t="s">
        <v>592</v>
      </c>
      <c r="B261" t="s">
        <v>593</v>
      </c>
      <c r="C261" t="str">
        <f t="shared" si="87"/>
        <v>Mark Perry</v>
      </c>
      <c r="D261" t="s">
        <v>87</v>
      </c>
      <c r="E261" t="str">
        <f t="shared" si="88"/>
        <v>Male</v>
      </c>
      <c r="F261">
        <v>50</v>
      </c>
      <c r="G261" t="s">
        <v>52</v>
      </c>
      <c r="H261" t="s">
        <v>53</v>
      </c>
      <c r="I261" t="s">
        <v>41</v>
      </c>
      <c r="J261">
        <v>9</v>
      </c>
      <c r="K261" t="str" cm="1">
        <f t="array" ref="K261">_xlfn.IFS( J261&lt;=5,"0-5", J261&lt;=10,"6-10",J261&lt;=15,"11-15",J261&lt;=20,"16-20",J261&gt;20,"20+")</f>
        <v>6-10</v>
      </c>
      <c r="L261">
        <v>30</v>
      </c>
      <c r="M261" s="2">
        <f t="shared" ref="M261:M263" si="98">L261</f>
        <v>30</v>
      </c>
      <c r="N261">
        <v>3</v>
      </c>
      <c r="O261">
        <v>0</v>
      </c>
      <c r="P261" t="s">
        <v>2074</v>
      </c>
      <c r="Q261">
        <v>76</v>
      </c>
      <c r="R261" s="3">
        <f t="shared" si="97"/>
        <v>0.76</v>
      </c>
    </row>
    <row r="262" spans="1:18" x14ac:dyDescent="0.2">
      <c r="A262" t="s">
        <v>594</v>
      </c>
      <c r="B262" t="s">
        <v>595</v>
      </c>
      <c r="C262" t="str">
        <f t="shared" si="87"/>
        <v>Cameron Spencer</v>
      </c>
      <c r="D262" t="s">
        <v>87</v>
      </c>
      <c r="E262" t="str">
        <f t="shared" si="88"/>
        <v>Male</v>
      </c>
      <c r="F262">
        <v>50</v>
      </c>
      <c r="G262" t="s">
        <v>180</v>
      </c>
      <c r="H262" t="s">
        <v>62</v>
      </c>
      <c r="I262" t="s">
        <v>63</v>
      </c>
      <c r="J262">
        <v>2</v>
      </c>
      <c r="K262" t="str" cm="1">
        <f t="array" ref="K262">_xlfn.IFS( J262&lt;=5,"0-5", J262&lt;=10,"6-10",J262&lt;=15,"11-15",J262&lt;=20,"16-20",J262&gt;20,"20+")</f>
        <v>0-5</v>
      </c>
      <c r="L262">
        <v>50</v>
      </c>
      <c r="M262" s="2">
        <f t="shared" si="98"/>
        <v>50</v>
      </c>
      <c r="N262">
        <v>1.6</v>
      </c>
      <c r="O262" t="s">
        <v>149</v>
      </c>
      <c r="P262" t="s">
        <v>2074</v>
      </c>
      <c r="Q262" s="1">
        <v>0.89</v>
      </c>
      <c r="R262" s="1">
        <f t="shared" ref="R262:R268" si="99">Q262</f>
        <v>0.89</v>
      </c>
    </row>
    <row r="263" spans="1:18" x14ac:dyDescent="0.2">
      <c r="A263" t="s">
        <v>596</v>
      </c>
      <c r="B263" t="s">
        <v>597</v>
      </c>
      <c r="C263" t="str">
        <f t="shared" si="87"/>
        <v>Jennifer Holmes</v>
      </c>
      <c r="D263" t="s">
        <v>67</v>
      </c>
      <c r="E263" t="str">
        <f t="shared" si="88"/>
        <v>Female</v>
      </c>
      <c r="F263">
        <v>28</v>
      </c>
      <c r="G263" t="s">
        <v>125</v>
      </c>
      <c r="H263" t="s">
        <v>126</v>
      </c>
      <c r="I263" t="s">
        <v>20</v>
      </c>
      <c r="J263">
        <v>1</v>
      </c>
      <c r="K263" t="str" cm="1">
        <f t="array" ref="K263">_xlfn.IFS( J263&lt;=5,"0-5", J263&lt;=10,"6-10",J263&lt;=15,"11-15",J263&lt;=20,"16-20",J263&gt;20,"20+")</f>
        <v>0-5</v>
      </c>
      <c r="L263">
        <v>20</v>
      </c>
      <c r="M263" s="2">
        <f t="shared" si="98"/>
        <v>20</v>
      </c>
      <c r="N263">
        <v>3.6</v>
      </c>
      <c r="O263" t="s">
        <v>58</v>
      </c>
      <c r="P263" t="s">
        <v>2075</v>
      </c>
      <c r="Q263" s="1">
        <v>0.94</v>
      </c>
      <c r="R263" s="1">
        <f t="shared" si="99"/>
        <v>0.94</v>
      </c>
    </row>
    <row r="264" spans="1:18" x14ac:dyDescent="0.2">
      <c r="A264" t="s">
        <v>598</v>
      </c>
      <c r="B264" t="s">
        <v>599</v>
      </c>
      <c r="C264" t="str">
        <f t="shared" si="87"/>
        <v>Jacob Joseph</v>
      </c>
      <c r="D264" t="s">
        <v>87</v>
      </c>
      <c r="E264" t="str">
        <f t="shared" si="88"/>
        <v>Male</v>
      </c>
      <c r="F264">
        <v>48</v>
      </c>
      <c r="G264" t="s">
        <v>5</v>
      </c>
      <c r="H264" t="s">
        <v>6</v>
      </c>
      <c r="I264" t="s">
        <v>25</v>
      </c>
      <c r="J264">
        <v>23</v>
      </c>
      <c r="K264" t="str" cm="1">
        <f t="array" ref="K264">_xlfn.IFS( J264&lt;=5,"0-5", J264&lt;=10,"6-10",J264&lt;=15,"11-15",J264&lt;=20,"16-20",J264&gt;20,"20+")</f>
        <v>20+</v>
      </c>
      <c r="M264"/>
      <c r="N264">
        <v>2.1</v>
      </c>
      <c r="O264">
        <v>0</v>
      </c>
      <c r="Q264" s="1">
        <v>0.68</v>
      </c>
      <c r="R264" s="1">
        <f t="shared" si="99"/>
        <v>0.68</v>
      </c>
    </row>
    <row r="265" spans="1:18" x14ac:dyDescent="0.2">
      <c r="A265" t="s">
        <v>600</v>
      </c>
      <c r="B265" t="s">
        <v>601</v>
      </c>
      <c r="C265" t="str">
        <f t="shared" si="87"/>
        <v>Jeffery Tucker</v>
      </c>
      <c r="D265" t="s">
        <v>87</v>
      </c>
      <c r="E265" t="str">
        <f t="shared" si="88"/>
        <v>Male</v>
      </c>
      <c r="F265">
        <v>42</v>
      </c>
      <c r="G265" t="s">
        <v>18</v>
      </c>
      <c r="H265" t="s">
        <v>19</v>
      </c>
      <c r="I265" t="s">
        <v>79</v>
      </c>
      <c r="J265">
        <v>8</v>
      </c>
      <c r="K265" t="str" cm="1">
        <f t="array" ref="K265">_xlfn.IFS( J265&lt;=5,"0-5", J265&lt;=10,"6-10",J265&lt;=15,"11-15",J265&lt;=20,"16-20",J265&gt;20,"20+")</f>
        <v>6-10</v>
      </c>
      <c r="L265">
        <v>30</v>
      </c>
      <c r="M265" s="2">
        <f>L265</f>
        <v>30</v>
      </c>
      <c r="N265">
        <v>3.6</v>
      </c>
      <c r="O265">
        <v>1</v>
      </c>
      <c r="P265" t="s">
        <v>2075</v>
      </c>
      <c r="Q265" s="1">
        <v>0.96</v>
      </c>
      <c r="R265" s="1">
        <f t="shared" si="99"/>
        <v>0.96</v>
      </c>
    </row>
    <row r="266" spans="1:18" x14ac:dyDescent="0.2">
      <c r="A266" t="s">
        <v>602</v>
      </c>
      <c r="B266" t="s">
        <v>603</v>
      </c>
      <c r="C266" t="str">
        <f t="shared" si="87"/>
        <v>Jacqueline Drake</v>
      </c>
      <c r="D266" t="s">
        <v>67</v>
      </c>
      <c r="E266" t="str">
        <f t="shared" si="88"/>
        <v>Female</v>
      </c>
      <c r="F266">
        <v>37</v>
      </c>
      <c r="G266" t="s">
        <v>118</v>
      </c>
      <c r="H266" t="s">
        <v>12</v>
      </c>
      <c r="I266" t="s">
        <v>41</v>
      </c>
      <c r="J266">
        <v>6</v>
      </c>
      <c r="K266" t="str" cm="1">
        <f t="array" ref="K266">_xlfn.IFS( J266&lt;=5,"0-5", J266&lt;=10,"6-10",J266&lt;=15,"11-15",J266&lt;=20,"16-20",J266&gt;20,"20+")</f>
        <v>6-10</v>
      </c>
      <c r="L266" t="s">
        <v>111</v>
      </c>
      <c r="M266" t="str">
        <f>SUBSTITUTE(L266,"$"," ")</f>
        <v xml:space="preserve"> 20</v>
      </c>
      <c r="N266">
        <v>2.7</v>
      </c>
      <c r="O266" t="b">
        <v>1</v>
      </c>
      <c r="Q266" s="1">
        <v>0.91</v>
      </c>
      <c r="R266" s="1">
        <f t="shared" si="99"/>
        <v>0.91</v>
      </c>
    </row>
    <row r="267" spans="1:18" x14ac:dyDescent="0.2">
      <c r="A267" t="s">
        <v>604</v>
      </c>
      <c r="B267" t="s">
        <v>605</v>
      </c>
      <c r="C267" t="str">
        <f t="shared" si="87"/>
        <v>Brian Bautista</v>
      </c>
      <c r="D267" t="s">
        <v>87</v>
      </c>
      <c r="E267" t="str">
        <f t="shared" si="88"/>
        <v>Male</v>
      </c>
      <c r="F267">
        <v>21</v>
      </c>
      <c r="G267" t="s">
        <v>83</v>
      </c>
      <c r="H267" t="s">
        <v>84</v>
      </c>
      <c r="I267" t="s">
        <v>7</v>
      </c>
      <c r="J267">
        <v>1</v>
      </c>
      <c r="K267" t="str" cm="1">
        <f t="array" ref="K267">_xlfn.IFS( J267&lt;=5,"0-5", J267&lt;=10,"6-10",J267&lt;=15,"11-15",J267&lt;=20,"16-20",J267&gt;20,"20+")</f>
        <v>0-5</v>
      </c>
      <c r="L267">
        <v>100</v>
      </c>
      <c r="M267" s="2">
        <f>L267</f>
        <v>100</v>
      </c>
      <c r="N267">
        <v>2.1</v>
      </c>
      <c r="O267">
        <v>1</v>
      </c>
      <c r="P267" t="s">
        <v>2075</v>
      </c>
      <c r="Q267" s="1">
        <v>0.92</v>
      </c>
      <c r="R267" s="1">
        <f t="shared" si="99"/>
        <v>0.92</v>
      </c>
    </row>
    <row r="268" spans="1:18" x14ac:dyDescent="0.2">
      <c r="A268" t="s">
        <v>606</v>
      </c>
      <c r="B268" t="s">
        <v>607</v>
      </c>
      <c r="C268" t="str">
        <f t="shared" si="87"/>
        <v>Dakota Wells</v>
      </c>
      <c r="D268" t="s">
        <v>51</v>
      </c>
      <c r="E268" t="str">
        <f t="shared" si="88"/>
        <v>Male</v>
      </c>
      <c r="F268">
        <v>50</v>
      </c>
      <c r="G268" t="s">
        <v>102</v>
      </c>
      <c r="H268" t="s">
        <v>103</v>
      </c>
      <c r="I268" t="s">
        <v>25</v>
      </c>
      <c r="J268">
        <v>19</v>
      </c>
      <c r="K268" t="str" cm="1">
        <f t="array" ref="K268">_xlfn.IFS( J268&lt;=5,"0-5", J268&lt;=10,"6-10",J268&lt;=15,"11-15",J268&lt;=20,"16-20",J268&gt;20,"20+")</f>
        <v>16-20</v>
      </c>
      <c r="L268" t="s">
        <v>26</v>
      </c>
      <c r="M268" t="str">
        <f>SUBSTITUTE(L268,"$"," ")</f>
        <v xml:space="preserve"> 40</v>
      </c>
      <c r="N268">
        <v>4.9000000000000004</v>
      </c>
      <c r="Q268" s="1">
        <v>0.82</v>
      </c>
      <c r="R268" s="1">
        <f t="shared" si="99"/>
        <v>0.82</v>
      </c>
    </row>
    <row r="269" spans="1:18" x14ac:dyDescent="0.2">
      <c r="A269" t="s">
        <v>608</v>
      </c>
      <c r="B269" t="s">
        <v>609</v>
      </c>
      <c r="C269" t="str">
        <f t="shared" si="87"/>
        <v>Julie White</v>
      </c>
      <c r="D269" t="s">
        <v>24</v>
      </c>
      <c r="E269" t="str">
        <f t="shared" si="88"/>
        <v>Female</v>
      </c>
      <c r="F269">
        <v>22</v>
      </c>
      <c r="G269" t="s">
        <v>61</v>
      </c>
      <c r="H269" t="s">
        <v>62</v>
      </c>
      <c r="I269" t="s">
        <v>34</v>
      </c>
      <c r="J269">
        <v>2</v>
      </c>
      <c r="K269" t="str" cm="1">
        <f t="array" ref="K269">_xlfn.IFS( J269&lt;=5,"0-5", J269&lt;=10,"6-10",J269&lt;=15,"11-15",J269&lt;=20,"16-20",J269&gt;20,"20+")</f>
        <v>0-5</v>
      </c>
      <c r="L269">
        <v>30</v>
      </c>
      <c r="M269" s="2">
        <f t="shared" ref="M269:M270" si="100">L269</f>
        <v>30</v>
      </c>
      <c r="N269">
        <v>2.1</v>
      </c>
    </row>
    <row r="270" spans="1:18" x14ac:dyDescent="0.2">
      <c r="A270" t="s">
        <v>610</v>
      </c>
      <c r="B270" t="s">
        <v>611</v>
      </c>
      <c r="C270" t="str">
        <f t="shared" si="87"/>
        <v>Barbara Keith</v>
      </c>
      <c r="D270" t="s">
        <v>67</v>
      </c>
      <c r="E270" t="str">
        <f t="shared" si="88"/>
        <v>Female</v>
      </c>
      <c r="F270">
        <v>39</v>
      </c>
      <c r="G270" t="s">
        <v>75</v>
      </c>
      <c r="H270" t="s">
        <v>76</v>
      </c>
      <c r="I270" t="s">
        <v>25</v>
      </c>
      <c r="J270">
        <v>21</v>
      </c>
      <c r="K270" t="str" cm="1">
        <f t="array" ref="K270">_xlfn.IFS( J270&lt;=5,"0-5", J270&lt;=10,"6-10",J270&lt;=15,"11-15",J270&lt;=20,"16-20",J270&gt;20,"20+")</f>
        <v>20+</v>
      </c>
      <c r="L270">
        <v>100</v>
      </c>
      <c r="M270" s="2">
        <f t="shared" si="100"/>
        <v>100</v>
      </c>
      <c r="N270">
        <v>0</v>
      </c>
      <c r="O270" t="s">
        <v>149</v>
      </c>
      <c r="P270" t="s">
        <v>2074</v>
      </c>
      <c r="Q270" s="1">
        <v>0.91</v>
      </c>
      <c r="R270" s="1">
        <f>Q270</f>
        <v>0.91</v>
      </c>
    </row>
    <row r="271" spans="1:18" x14ac:dyDescent="0.2">
      <c r="A271" t="s">
        <v>612</v>
      </c>
      <c r="B271" t="s">
        <v>613</v>
      </c>
      <c r="C271" t="str">
        <f t="shared" si="87"/>
        <v>Heather Camacho</v>
      </c>
      <c r="D271" t="s">
        <v>67</v>
      </c>
      <c r="E271" t="str">
        <f t="shared" si="88"/>
        <v>Female</v>
      </c>
      <c r="F271">
        <v>25</v>
      </c>
      <c r="G271" t="s">
        <v>75</v>
      </c>
      <c r="H271" t="s">
        <v>76</v>
      </c>
      <c r="I271" t="s">
        <v>104</v>
      </c>
      <c r="J271">
        <v>3</v>
      </c>
      <c r="K271" t="str" cm="1">
        <f t="array" ref="K271">_xlfn.IFS( J271&lt;=5,"0-5", J271&lt;=10,"6-10",J271&lt;=15,"11-15",J271&lt;=20,"16-20",J271&gt;20,"20+")</f>
        <v>0-5</v>
      </c>
      <c r="L271" t="s">
        <v>54</v>
      </c>
      <c r="M271" t="str">
        <f>SUBSTITUTE(L271,"$"," ")</f>
        <v xml:space="preserve"> 50</v>
      </c>
      <c r="N271">
        <v>2.8</v>
      </c>
      <c r="O271" t="s">
        <v>58</v>
      </c>
      <c r="Q271">
        <v>86</v>
      </c>
      <c r="R271" s="3">
        <f>Q271/100</f>
        <v>0.86</v>
      </c>
    </row>
    <row r="272" spans="1:18" x14ac:dyDescent="0.2">
      <c r="A272" t="s">
        <v>614</v>
      </c>
      <c r="B272" t="s">
        <v>615</v>
      </c>
      <c r="C272" t="str">
        <f t="shared" si="87"/>
        <v>Melanie Harris</v>
      </c>
      <c r="D272" t="s">
        <v>10</v>
      </c>
      <c r="E272" t="str">
        <f t="shared" si="88"/>
        <v>Female</v>
      </c>
      <c r="F272">
        <v>47</v>
      </c>
      <c r="G272" t="s">
        <v>143</v>
      </c>
      <c r="H272" t="s">
        <v>144</v>
      </c>
      <c r="I272" t="s">
        <v>13</v>
      </c>
      <c r="J272">
        <v>14</v>
      </c>
      <c r="K272" t="str" cm="1">
        <f t="array" ref="K272">_xlfn.IFS( J272&lt;=5,"0-5", J272&lt;=10,"6-10",J272&lt;=15,"11-15",J272&lt;=20,"16-20",J272&gt;20,"20+")</f>
        <v>11-15</v>
      </c>
      <c r="M272"/>
      <c r="O272" t="b">
        <v>0</v>
      </c>
      <c r="Q272" s="1">
        <v>0.69</v>
      </c>
      <c r="R272" s="1">
        <f t="shared" ref="R272:R279" si="101">Q272</f>
        <v>0.69</v>
      </c>
    </row>
    <row r="273" spans="1:18" x14ac:dyDescent="0.2">
      <c r="A273" t="s">
        <v>616</v>
      </c>
      <c r="B273" t="s">
        <v>617</v>
      </c>
      <c r="C273" t="str">
        <f t="shared" si="87"/>
        <v>Jacqueline Peterson</v>
      </c>
      <c r="D273" t="s">
        <v>4</v>
      </c>
      <c r="E273" t="str">
        <f t="shared" si="88"/>
        <v>Female</v>
      </c>
      <c r="F273">
        <v>35</v>
      </c>
      <c r="G273" t="s">
        <v>143</v>
      </c>
      <c r="H273" t="s">
        <v>144</v>
      </c>
      <c r="I273" t="s">
        <v>63</v>
      </c>
      <c r="J273">
        <v>10</v>
      </c>
      <c r="K273" t="str" cm="1">
        <f t="array" ref="K273">_xlfn.IFS( J273&lt;=5,"0-5", J273&lt;=10,"6-10",J273&lt;=15,"11-15",J273&lt;=20,"16-20",J273&gt;20,"20+")</f>
        <v>6-10</v>
      </c>
      <c r="L273" t="s">
        <v>14</v>
      </c>
      <c r="M273" t="str">
        <f>_xlfn.TEXTAFTER(L273, " ")</f>
        <v>100</v>
      </c>
      <c r="N273">
        <v>4.7</v>
      </c>
      <c r="O273" t="b">
        <v>1</v>
      </c>
      <c r="Q273" s="1">
        <v>0.84</v>
      </c>
      <c r="R273" s="1">
        <f t="shared" si="101"/>
        <v>0.84</v>
      </c>
    </row>
    <row r="274" spans="1:18" x14ac:dyDescent="0.2">
      <c r="A274" t="s">
        <v>618</v>
      </c>
      <c r="B274" t="s">
        <v>619</v>
      </c>
      <c r="C274" t="str">
        <f t="shared" si="87"/>
        <v>Nancy Long</v>
      </c>
      <c r="D274" t="s">
        <v>4</v>
      </c>
      <c r="E274" t="str">
        <f t="shared" si="88"/>
        <v>Female</v>
      </c>
      <c r="G274" t="s">
        <v>57</v>
      </c>
      <c r="H274" t="s">
        <v>12</v>
      </c>
      <c r="I274" t="s">
        <v>68</v>
      </c>
      <c r="J274">
        <v>5</v>
      </c>
      <c r="K274" t="str" cm="1">
        <f t="array" ref="K274">_xlfn.IFS( J274&lt;=5,"0-5", J274&lt;=10,"6-10",J274&lt;=15,"11-15",J274&lt;=20,"16-20",J274&gt;20,"20+")</f>
        <v>0-5</v>
      </c>
      <c r="L274">
        <v>100</v>
      </c>
      <c r="M274" s="2">
        <f>L274</f>
        <v>100</v>
      </c>
      <c r="N274">
        <v>1.3</v>
      </c>
      <c r="O274">
        <v>0</v>
      </c>
      <c r="P274" t="s">
        <v>2074</v>
      </c>
      <c r="Q274" s="1">
        <v>0.6</v>
      </c>
      <c r="R274" s="1">
        <f t="shared" si="101"/>
        <v>0.6</v>
      </c>
    </row>
    <row r="275" spans="1:18" x14ac:dyDescent="0.2">
      <c r="A275" t="s">
        <v>620</v>
      </c>
      <c r="B275" t="s">
        <v>621</v>
      </c>
      <c r="C275" t="str">
        <f>_xlfn.TEXTAFTER(B275,".",)</f>
        <v xml:space="preserve"> Juan Mitchell</v>
      </c>
      <c r="D275" t="s">
        <v>17</v>
      </c>
      <c r="F275">
        <v>35</v>
      </c>
      <c r="G275" t="s">
        <v>32</v>
      </c>
      <c r="H275" t="s">
        <v>33</v>
      </c>
      <c r="I275" t="s">
        <v>7</v>
      </c>
      <c r="J275">
        <v>6</v>
      </c>
      <c r="K275" t="str" cm="1">
        <f t="array" ref="K275">_xlfn.IFS( J275&lt;=5,"0-5", J275&lt;=10,"6-10",J275&lt;=15,"11-15",J275&lt;=20,"16-20",J275&gt;20,"20+")</f>
        <v>6-10</v>
      </c>
      <c r="L275" t="s">
        <v>42</v>
      </c>
      <c r="M275" t="str">
        <f>_xlfn.TEXTAFTER(L275, " ")</f>
        <v>75</v>
      </c>
      <c r="N275">
        <v>1.6</v>
      </c>
      <c r="O275">
        <v>1</v>
      </c>
      <c r="Q275" s="1">
        <v>0.97</v>
      </c>
      <c r="R275" s="1">
        <f t="shared" si="101"/>
        <v>0.97</v>
      </c>
    </row>
    <row r="276" spans="1:18" x14ac:dyDescent="0.2">
      <c r="A276" t="s">
        <v>622</v>
      </c>
      <c r="B276" t="s">
        <v>623</v>
      </c>
      <c r="C276" t="str">
        <f t="shared" ref="C276:C283" si="102">B276</f>
        <v>William Gaines</v>
      </c>
      <c r="D276" t="s">
        <v>87</v>
      </c>
      <c r="E276" t="str">
        <f t="shared" ref="E276:E283" si="103">IF(LOWER(LEFT(D276,1)) ="f", "Female", "Male")</f>
        <v>Male</v>
      </c>
      <c r="F276">
        <v>59</v>
      </c>
      <c r="G276" t="s">
        <v>125</v>
      </c>
      <c r="H276" t="s">
        <v>126</v>
      </c>
      <c r="I276" t="s">
        <v>25</v>
      </c>
      <c r="J276">
        <v>21</v>
      </c>
      <c r="K276" t="str" cm="1">
        <f t="array" ref="K276">_xlfn.IFS( J276&lt;=5,"0-5", J276&lt;=10,"6-10",J276&lt;=15,"11-15",J276&lt;=20,"16-20",J276&gt;20,"20+")</f>
        <v>20+</v>
      </c>
      <c r="L276">
        <v>100</v>
      </c>
      <c r="M276" s="2">
        <f>L276</f>
        <v>100</v>
      </c>
      <c r="N276">
        <v>0</v>
      </c>
      <c r="Q276" s="1">
        <v>0.7</v>
      </c>
      <c r="R276" s="1">
        <f t="shared" si="101"/>
        <v>0.7</v>
      </c>
    </row>
    <row r="277" spans="1:18" x14ac:dyDescent="0.2">
      <c r="A277" t="s">
        <v>624</v>
      </c>
      <c r="B277" t="s">
        <v>625</v>
      </c>
      <c r="C277" t="str">
        <f t="shared" si="102"/>
        <v>Haley Yates</v>
      </c>
      <c r="D277" t="s">
        <v>10</v>
      </c>
      <c r="E277" t="str">
        <f t="shared" si="103"/>
        <v>Female</v>
      </c>
      <c r="F277">
        <v>26</v>
      </c>
      <c r="G277" t="s">
        <v>165</v>
      </c>
      <c r="H277" t="s">
        <v>166</v>
      </c>
      <c r="I277" t="s">
        <v>63</v>
      </c>
      <c r="J277">
        <v>4</v>
      </c>
      <c r="K277" t="str" cm="1">
        <f t="array" ref="K277">_xlfn.IFS( J277&lt;=5,"0-5", J277&lt;=10,"6-10",J277&lt;=15,"11-15",J277&lt;=20,"16-20",J277&gt;20,"20+")</f>
        <v>0-5</v>
      </c>
      <c r="L277" t="s">
        <v>14</v>
      </c>
      <c r="M277" t="str">
        <f>_xlfn.TEXTAFTER(L277, " ")</f>
        <v>100</v>
      </c>
      <c r="N277">
        <v>3.6</v>
      </c>
      <c r="O277" t="s">
        <v>149</v>
      </c>
      <c r="Q277" s="1">
        <v>0.81</v>
      </c>
      <c r="R277" s="1">
        <f t="shared" si="101"/>
        <v>0.81</v>
      </c>
    </row>
    <row r="278" spans="1:18" x14ac:dyDescent="0.2">
      <c r="A278" t="s">
        <v>626</v>
      </c>
      <c r="B278" t="s">
        <v>627</v>
      </c>
      <c r="C278" t="str">
        <f t="shared" si="102"/>
        <v>Richard Mcguire</v>
      </c>
      <c r="D278" t="s">
        <v>51</v>
      </c>
      <c r="E278" t="str">
        <f t="shared" si="103"/>
        <v>Male</v>
      </c>
      <c r="F278">
        <v>44</v>
      </c>
      <c r="G278" t="s">
        <v>114</v>
      </c>
      <c r="H278" t="s">
        <v>115</v>
      </c>
      <c r="I278" t="s">
        <v>104</v>
      </c>
      <c r="J278">
        <v>18</v>
      </c>
      <c r="K278" t="str" cm="1">
        <f t="array" ref="K278">_xlfn.IFS( J278&lt;=5,"0-5", J278&lt;=10,"6-10",J278&lt;=15,"11-15",J278&lt;=20,"16-20",J278&gt;20,"20+")</f>
        <v>16-20</v>
      </c>
      <c r="L278">
        <v>20</v>
      </c>
      <c r="M278" s="2">
        <f>L278</f>
        <v>20</v>
      </c>
      <c r="N278">
        <v>4.7</v>
      </c>
      <c r="O278">
        <v>1</v>
      </c>
      <c r="P278" t="s">
        <v>2075</v>
      </c>
      <c r="Q278" s="1">
        <v>0.88</v>
      </c>
      <c r="R278" s="1">
        <f t="shared" si="101"/>
        <v>0.88</v>
      </c>
    </row>
    <row r="279" spans="1:18" x14ac:dyDescent="0.2">
      <c r="A279" t="s">
        <v>628</v>
      </c>
      <c r="B279" t="s">
        <v>629</v>
      </c>
      <c r="C279" t="str">
        <f t="shared" si="102"/>
        <v>Stephanie Fisher</v>
      </c>
      <c r="D279" t="s">
        <v>67</v>
      </c>
      <c r="E279" t="str">
        <f t="shared" si="103"/>
        <v>Female</v>
      </c>
      <c r="F279">
        <v>31</v>
      </c>
      <c r="G279" t="s">
        <v>143</v>
      </c>
      <c r="H279" t="s">
        <v>144</v>
      </c>
      <c r="I279" t="s">
        <v>63</v>
      </c>
      <c r="J279">
        <v>12</v>
      </c>
      <c r="K279" t="str" cm="1">
        <f t="array" ref="K279">_xlfn.IFS( J279&lt;=5,"0-5", J279&lt;=10,"6-10",J279&lt;=15,"11-15",J279&lt;=20,"16-20",J279&gt;20,"20+")</f>
        <v>11-15</v>
      </c>
      <c r="L279" t="s">
        <v>26</v>
      </c>
      <c r="M279" t="str">
        <f>SUBSTITUTE(L279,"$"," ")</f>
        <v xml:space="preserve"> 40</v>
      </c>
      <c r="O279">
        <v>1</v>
      </c>
      <c r="Q279" s="1">
        <v>1</v>
      </c>
      <c r="R279" s="1">
        <f t="shared" si="101"/>
        <v>1</v>
      </c>
    </row>
    <row r="280" spans="1:18" x14ac:dyDescent="0.2">
      <c r="A280" t="s">
        <v>630</v>
      </c>
      <c r="B280" t="s">
        <v>631</v>
      </c>
      <c r="C280" t="str">
        <f t="shared" si="102"/>
        <v>Anthony Goodwin DDS</v>
      </c>
      <c r="D280" t="s">
        <v>17</v>
      </c>
      <c r="E280" t="str">
        <f t="shared" si="103"/>
        <v>Male</v>
      </c>
      <c r="F280">
        <v>60</v>
      </c>
      <c r="G280" t="s">
        <v>52</v>
      </c>
      <c r="H280" t="s">
        <v>53</v>
      </c>
      <c r="I280" t="s">
        <v>41</v>
      </c>
      <c r="J280">
        <v>6</v>
      </c>
      <c r="K280" t="str" cm="1">
        <f t="array" ref="K280">_xlfn.IFS( J280&lt;=5,"0-5", J280&lt;=10,"6-10",J280&lt;=15,"11-15",J280&lt;=20,"16-20",J280&gt;20,"20+")</f>
        <v>6-10</v>
      </c>
      <c r="M280"/>
      <c r="N280">
        <v>3.2</v>
      </c>
      <c r="O280">
        <v>0</v>
      </c>
      <c r="Q280">
        <v>95</v>
      </c>
      <c r="R280" s="3">
        <f>Q280/100</f>
        <v>0.95</v>
      </c>
    </row>
    <row r="281" spans="1:18" x14ac:dyDescent="0.2">
      <c r="A281" t="s">
        <v>632</v>
      </c>
      <c r="B281" t="s">
        <v>633</v>
      </c>
      <c r="C281" t="str">
        <f t="shared" si="102"/>
        <v>Meagan Walters</v>
      </c>
      <c r="D281" t="s">
        <v>29</v>
      </c>
      <c r="E281" t="str">
        <f t="shared" si="103"/>
        <v>Female</v>
      </c>
      <c r="F281">
        <v>23</v>
      </c>
      <c r="G281" t="s">
        <v>57</v>
      </c>
      <c r="H281" t="s">
        <v>12</v>
      </c>
      <c r="I281" t="s">
        <v>7</v>
      </c>
      <c r="J281">
        <v>4</v>
      </c>
      <c r="K281" t="str" cm="1">
        <f t="array" ref="K281">_xlfn.IFS( J281&lt;=5,"0-5", J281&lt;=10,"6-10",J281&lt;=15,"11-15",J281&lt;=20,"16-20",J281&gt;20,"20+")</f>
        <v>0-5</v>
      </c>
      <c r="L281" t="s">
        <v>304</v>
      </c>
      <c r="M281" t="str">
        <f>_xlfn.TEXTAFTER(L281, " ")</f>
        <v>20</v>
      </c>
      <c r="O281">
        <v>0</v>
      </c>
      <c r="Q281" s="1">
        <v>0.71</v>
      </c>
      <c r="R281" s="1">
        <f t="shared" ref="R281:R285" si="104">Q281</f>
        <v>0.71</v>
      </c>
    </row>
    <row r="282" spans="1:18" x14ac:dyDescent="0.2">
      <c r="A282" t="s">
        <v>634</v>
      </c>
      <c r="B282" t="s">
        <v>635</v>
      </c>
      <c r="C282" t="str">
        <f t="shared" si="102"/>
        <v>David Powell</v>
      </c>
      <c r="D282" t="s">
        <v>82</v>
      </c>
      <c r="E282" t="str">
        <f t="shared" si="103"/>
        <v>Male</v>
      </c>
      <c r="F282">
        <v>42</v>
      </c>
      <c r="G282" t="s">
        <v>39</v>
      </c>
      <c r="H282" t="s">
        <v>40</v>
      </c>
      <c r="I282" t="s">
        <v>63</v>
      </c>
      <c r="J282">
        <v>13</v>
      </c>
      <c r="K282" t="str" cm="1">
        <f t="array" ref="K282">_xlfn.IFS( J282&lt;=5,"0-5", J282&lt;=10,"6-10",J282&lt;=15,"11-15",J282&lt;=20,"16-20",J282&gt;20,"20+")</f>
        <v>11-15</v>
      </c>
      <c r="L282" t="s">
        <v>111</v>
      </c>
      <c r="M282" t="str">
        <f>SUBSTITUTE(L282,"$"," ")</f>
        <v xml:space="preserve"> 20</v>
      </c>
      <c r="N282">
        <v>4.7</v>
      </c>
      <c r="O282" t="s">
        <v>21</v>
      </c>
      <c r="Q282" s="1">
        <v>0.85</v>
      </c>
      <c r="R282" s="1">
        <f t="shared" si="104"/>
        <v>0.85</v>
      </c>
    </row>
    <row r="283" spans="1:18" x14ac:dyDescent="0.2">
      <c r="A283" t="s">
        <v>636</v>
      </c>
      <c r="B283" t="s">
        <v>637</v>
      </c>
      <c r="C283" t="str">
        <f t="shared" si="102"/>
        <v>Kelly Jones</v>
      </c>
      <c r="D283" t="s">
        <v>4</v>
      </c>
      <c r="E283" t="str">
        <f t="shared" si="103"/>
        <v>Female</v>
      </c>
      <c r="F283">
        <v>48</v>
      </c>
      <c r="G283" t="s">
        <v>83</v>
      </c>
      <c r="H283" t="s">
        <v>84</v>
      </c>
      <c r="I283" t="s">
        <v>13</v>
      </c>
      <c r="J283">
        <v>6</v>
      </c>
      <c r="K283" t="str" cm="1">
        <f t="array" ref="K283">_xlfn.IFS( J283&lt;=5,"0-5", J283&lt;=10,"6-10",J283&lt;=15,"11-15",J283&lt;=20,"16-20",J283&gt;20,"20+")</f>
        <v>6-10</v>
      </c>
      <c r="L283">
        <v>30</v>
      </c>
      <c r="M283" s="2">
        <f>L283</f>
        <v>30</v>
      </c>
      <c r="O283" t="s">
        <v>21</v>
      </c>
      <c r="P283" t="s">
        <v>2074</v>
      </c>
      <c r="Q283" s="1">
        <v>0.96</v>
      </c>
      <c r="R283" s="1">
        <f t="shared" si="104"/>
        <v>0.96</v>
      </c>
    </row>
    <row r="284" spans="1:18" x14ac:dyDescent="0.2">
      <c r="A284" t="s">
        <v>638</v>
      </c>
      <c r="B284" t="s">
        <v>639</v>
      </c>
      <c r="C284" t="str">
        <f>_xlfn.TEXTAFTER(B284,".",)</f>
        <v xml:space="preserve"> Michael Aguilar</v>
      </c>
      <c r="D284" t="s">
        <v>38</v>
      </c>
      <c r="F284">
        <v>42</v>
      </c>
      <c r="G284" t="s">
        <v>32</v>
      </c>
      <c r="H284" t="s">
        <v>33</v>
      </c>
      <c r="I284" t="s">
        <v>20</v>
      </c>
      <c r="J284">
        <v>10</v>
      </c>
      <c r="K284" t="str" cm="1">
        <f t="array" ref="K284">_xlfn.IFS( J284&lt;=5,"0-5", J284&lt;=10,"6-10",J284&lt;=15,"11-15",J284&lt;=20,"16-20",J284&gt;20,"20+")</f>
        <v>6-10</v>
      </c>
      <c r="L284" t="s">
        <v>304</v>
      </c>
      <c r="M284" t="str">
        <f>_xlfn.TEXTAFTER(L284, " ")</f>
        <v>20</v>
      </c>
      <c r="N284">
        <v>2.4</v>
      </c>
      <c r="O284" t="s">
        <v>64</v>
      </c>
      <c r="Q284" s="1">
        <v>0.92</v>
      </c>
      <c r="R284" s="1">
        <f t="shared" si="104"/>
        <v>0.92</v>
      </c>
    </row>
    <row r="285" spans="1:18" x14ac:dyDescent="0.2">
      <c r="A285" t="s">
        <v>640</v>
      </c>
      <c r="B285" t="s">
        <v>641</v>
      </c>
      <c r="C285" t="str">
        <f t="shared" ref="C285:C310" si="105">B285</f>
        <v>Alex Novak</v>
      </c>
      <c r="D285" t="s">
        <v>82</v>
      </c>
      <c r="E285" t="str">
        <f t="shared" ref="E285:E310" si="106">IF(LOWER(LEFT(D285,1)) ="f", "Female", "Male")</f>
        <v>Male</v>
      </c>
      <c r="F285">
        <v>52</v>
      </c>
      <c r="G285" t="s">
        <v>102</v>
      </c>
      <c r="H285" t="s">
        <v>103</v>
      </c>
      <c r="I285" t="s">
        <v>68</v>
      </c>
      <c r="J285">
        <v>20</v>
      </c>
      <c r="K285" t="str" cm="1">
        <f t="array" ref="K285">_xlfn.IFS( J285&lt;=5,"0-5", J285&lt;=10,"6-10",J285&lt;=15,"11-15",J285&lt;=20,"16-20",J285&gt;20,"20+")</f>
        <v>16-20</v>
      </c>
      <c r="L285">
        <v>50</v>
      </c>
      <c r="M285" s="2">
        <f t="shared" ref="M285:M291" si="107">L285</f>
        <v>50</v>
      </c>
      <c r="O285" t="b">
        <v>0</v>
      </c>
      <c r="P285" t="s">
        <v>2074</v>
      </c>
      <c r="Q285" s="1">
        <v>0.79</v>
      </c>
      <c r="R285" s="1">
        <f t="shared" si="104"/>
        <v>0.79</v>
      </c>
    </row>
    <row r="286" spans="1:18" x14ac:dyDescent="0.2">
      <c r="A286" t="s">
        <v>642</v>
      </c>
      <c r="B286" t="s">
        <v>643</v>
      </c>
      <c r="C286" t="str">
        <f t="shared" si="105"/>
        <v>Ann Contreras</v>
      </c>
      <c r="D286" t="s">
        <v>29</v>
      </c>
      <c r="E286" t="str">
        <f t="shared" si="106"/>
        <v>Female</v>
      </c>
      <c r="F286">
        <v>55</v>
      </c>
      <c r="G286" t="s">
        <v>75</v>
      </c>
      <c r="H286" t="s">
        <v>76</v>
      </c>
      <c r="I286" t="s">
        <v>25</v>
      </c>
      <c r="J286">
        <v>20</v>
      </c>
      <c r="K286" t="str" cm="1">
        <f t="array" ref="K286">_xlfn.IFS( J286&lt;=5,"0-5", J286&lt;=10,"6-10",J286&lt;=15,"11-15",J286&lt;=20,"16-20",J286&gt;20,"20+")</f>
        <v>16-20</v>
      </c>
      <c r="L286">
        <v>75</v>
      </c>
      <c r="M286" s="2">
        <f t="shared" si="107"/>
        <v>75</v>
      </c>
      <c r="N286">
        <v>2.9</v>
      </c>
      <c r="O286" t="b">
        <v>0</v>
      </c>
      <c r="P286" t="s">
        <v>2074</v>
      </c>
    </row>
    <row r="287" spans="1:18" x14ac:dyDescent="0.2">
      <c r="A287" t="s">
        <v>644</v>
      </c>
      <c r="B287" t="s">
        <v>645</v>
      </c>
      <c r="C287" t="str">
        <f t="shared" si="105"/>
        <v>Mary Reed</v>
      </c>
      <c r="D287" t="s">
        <v>4</v>
      </c>
      <c r="E287" t="str">
        <f t="shared" si="106"/>
        <v>Female</v>
      </c>
      <c r="F287">
        <v>58</v>
      </c>
      <c r="G287" t="s">
        <v>143</v>
      </c>
      <c r="H287" t="s">
        <v>144</v>
      </c>
      <c r="I287" t="s">
        <v>68</v>
      </c>
      <c r="J287">
        <v>11</v>
      </c>
      <c r="K287" t="str" cm="1">
        <f t="array" ref="K287">_xlfn.IFS( J287&lt;=5,"0-5", J287&lt;=10,"6-10",J287&lt;=15,"11-15",J287&lt;=20,"16-20",J287&gt;20,"20+")</f>
        <v>11-15</v>
      </c>
      <c r="L287">
        <v>50</v>
      </c>
      <c r="M287" s="2">
        <f t="shared" si="107"/>
        <v>50</v>
      </c>
      <c r="N287">
        <v>0</v>
      </c>
      <c r="O287">
        <v>0</v>
      </c>
      <c r="P287" t="s">
        <v>2074</v>
      </c>
    </row>
    <row r="288" spans="1:18" x14ac:dyDescent="0.2">
      <c r="A288" t="s">
        <v>646</v>
      </c>
      <c r="B288" t="s">
        <v>647</v>
      </c>
      <c r="C288" t="str">
        <f t="shared" si="105"/>
        <v>Lauren Ross</v>
      </c>
      <c r="D288" t="s">
        <v>10</v>
      </c>
      <c r="E288" t="str">
        <f t="shared" si="106"/>
        <v>Female</v>
      </c>
      <c r="F288">
        <v>46</v>
      </c>
      <c r="G288" t="s">
        <v>102</v>
      </c>
      <c r="H288" t="s">
        <v>103</v>
      </c>
      <c r="I288" t="s">
        <v>104</v>
      </c>
      <c r="J288">
        <v>12</v>
      </c>
      <c r="K288" t="str" cm="1">
        <f t="array" ref="K288">_xlfn.IFS( J288&lt;=5,"0-5", J288&lt;=10,"6-10",J288&lt;=15,"11-15",J288&lt;=20,"16-20",J288&gt;20,"20+")</f>
        <v>11-15</v>
      </c>
      <c r="L288">
        <v>20</v>
      </c>
      <c r="M288" s="2">
        <f t="shared" si="107"/>
        <v>20</v>
      </c>
      <c r="N288">
        <v>0</v>
      </c>
      <c r="O288" t="b">
        <v>0</v>
      </c>
      <c r="P288" t="s">
        <v>2074</v>
      </c>
      <c r="Q288" s="1">
        <v>0.89</v>
      </c>
      <c r="R288" s="1">
        <f t="shared" ref="R288:R290" si="108">Q288</f>
        <v>0.89</v>
      </c>
    </row>
    <row r="289" spans="1:18" x14ac:dyDescent="0.2">
      <c r="A289" t="s">
        <v>648</v>
      </c>
      <c r="B289" t="s">
        <v>649</v>
      </c>
      <c r="C289" t="str">
        <f t="shared" si="105"/>
        <v>Candice Wise</v>
      </c>
      <c r="D289" t="s">
        <v>10</v>
      </c>
      <c r="E289" t="str">
        <f t="shared" si="106"/>
        <v>Female</v>
      </c>
      <c r="F289">
        <v>45</v>
      </c>
      <c r="G289" t="s">
        <v>180</v>
      </c>
      <c r="H289" t="s">
        <v>62</v>
      </c>
      <c r="I289" t="s">
        <v>104</v>
      </c>
      <c r="J289">
        <v>1</v>
      </c>
      <c r="K289" t="str" cm="1">
        <f t="array" ref="K289">_xlfn.IFS( J289&lt;=5,"0-5", J289&lt;=10,"6-10",J289&lt;=15,"11-15",J289&lt;=20,"16-20",J289&gt;20,"20+")</f>
        <v>0-5</v>
      </c>
      <c r="L289">
        <v>100</v>
      </c>
      <c r="M289" s="2">
        <f t="shared" si="107"/>
        <v>100</v>
      </c>
      <c r="N289">
        <v>1.5</v>
      </c>
      <c r="O289">
        <v>1</v>
      </c>
      <c r="P289" t="s">
        <v>2075</v>
      </c>
      <c r="Q289" s="1">
        <v>1</v>
      </c>
      <c r="R289" s="1">
        <f t="shared" si="108"/>
        <v>1</v>
      </c>
    </row>
    <row r="290" spans="1:18" x14ac:dyDescent="0.2">
      <c r="A290" t="s">
        <v>650</v>
      </c>
      <c r="B290" t="s">
        <v>651</v>
      </c>
      <c r="C290" t="str">
        <f t="shared" si="105"/>
        <v>Joyce Humphrey</v>
      </c>
      <c r="D290" t="s">
        <v>10</v>
      </c>
      <c r="E290" t="str">
        <f t="shared" si="106"/>
        <v>Female</v>
      </c>
      <c r="F290">
        <v>56</v>
      </c>
      <c r="G290" t="s">
        <v>83</v>
      </c>
      <c r="H290" t="s">
        <v>84</v>
      </c>
      <c r="I290" t="s">
        <v>104</v>
      </c>
      <c r="J290">
        <v>2</v>
      </c>
      <c r="K290" t="str" cm="1">
        <f t="array" ref="K290">_xlfn.IFS( J290&lt;=5,"0-5", J290&lt;=10,"6-10",J290&lt;=15,"11-15",J290&lt;=20,"16-20",J290&gt;20,"20+")</f>
        <v>0-5</v>
      </c>
      <c r="L290">
        <v>30</v>
      </c>
      <c r="M290" s="2">
        <f t="shared" si="107"/>
        <v>30</v>
      </c>
      <c r="N290">
        <v>1.9</v>
      </c>
      <c r="O290">
        <v>1</v>
      </c>
      <c r="P290" t="s">
        <v>2075</v>
      </c>
      <c r="Q290" s="1">
        <v>0.81</v>
      </c>
      <c r="R290" s="1">
        <f t="shared" si="108"/>
        <v>0.81</v>
      </c>
    </row>
    <row r="291" spans="1:18" x14ac:dyDescent="0.2">
      <c r="A291" t="s">
        <v>652</v>
      </c>
      <c r="B291" t="s">
        <v>653</v>
      </c>
      <c r="C291" t="str">
        <f t="shared" si="105"/>
        <v>James Carr</v>
      </c>
      <c r="D291" t="s">
        <v>17</v>
      </c>
      <c r="E291" t="str">
        <f t="shared" si="106"/>
        <v>Male</v>
      </c>
      <c r="F291">
        <v>44</v>
      </c>
      <c r="G291" t="s">
        <v>57</v>
      </c>
      <c r="H291" t="s">
        <v>12</v>
      </c>
      <c r="I291" t="s">
        <v>7</v>
      </c>
      <c r="J291">
        <v>13</v>
      </c>
      <c r="K291" t="str" cm="1">
        <f t="array" ref="K291">_xlfn.IFS( J291&lt;=5,"0-5", J291&lt;=10,"6-10",J291&lt;=15,"11-15",J291&lt;=20,"16-20",J291&gt;20,"20+")</f>
        <v>11-15</v>
      </c>
      <c r="L291">
        <v>100</v>
      </c>
      <c r="M291" s="2">
        <f t="shared" si="107"/>
        <v>100</v>
      </c>
      <c r="N291">
        <v>3.1</v>
      </c>
      <c r="O291" t="s">
        <v>64</v>
      </c>
      <c r="P291" t="s">
        <v>2075</v>
      </c>
      <c r="Q291">
        <v>95</v>
      </c>
      <c r="R291" s="3">
        <f>Q291/100</f>
        <v>0.95</v>
      </c>
    </row>
    <row r="292" spans="1:18" x14ac:dyDescent="0.2">
      <c r="A292" t="s">
        <v>654</v>
      </c>
      <c r="B292" t="s">
        <v>655</v>
      </c>
      <c r="C292" t="str">
        <f t="shared" si="105"/>
        <v>Joseph Mendoza</v>
      </c>
      <c r="D292" t="s">
        <v>87</v>
      </c>
      <c r="E292" t="str">
        <f t="shared" si="106"/>
        <v>Male</v>
      </c>
      <c r="F292">
        <v>46</v>
      </c>
      <c r="G292" t="s">
        <v>39</v>
      </c>
      <c r="H292" t="s">
        <v>40</v>
      </c>
      <c r="I292" t="s">
        <v>63</v>
      </c>
      <c r="J292">
        <v>0</v>
      </c>
      <c r="K292" t="str" cm="1">
        <f t="array" ref="K292">_xlfn.IFS( J292&lt;=5,"0-5", J292&lt;=10,"6-10",J292&lt;=15,"11-15",J292&lt;=20,"16-20",J292&gt;20,"20+")</f>
        <v>0-5</v>
      </c>
      <c r="M292"/>
      <c r="N292">
        <v>1.8</v>
      </c>
      <c r="O292" t="s">
        <v>21</v>
      </c>
      <c r="Q292" s="1">
        <v>0.88</v>
      </c>
      <c r="R292" s="1">
        <f t="shared" ref="R292:R294" si="109">Q292</f>
        <v>0.88</v>
      </c>
    </row>
    <row r="293" spans="1:18" x14ac:dyDescent="0.2">
      <c r="A293" t="s">
        <v>656</v>
      </c>
      <c r="B293" t="s">
        <v>657</v>
      </c>
      <c r="C293" t="str">
        <f t="shared" si="105"/>
        <v>Cathy Baldwin</v>
      </c>
      <c r="D293" t="s">
        <v>67</v>
      </c>
      <c r="E293" t="str">
        <f t="shared" si="106"/>
        <v>Female</v>
      </c>
      <c r="F293">
        <v>27</v>
      </c>
      <c r="G293" t="s">
        <v>75</v>
      </c>
      <c r="H293" t="s">
        <v>76</v>
      </c>
      <c r="I293" t="s">
        <v>25</v>
      </c>
      <c r="J293">
        <v>7</v>
      </c>
      <c r="K293" t="str" cm="1">
        <f t="array" ref="K293">_xlfn.IFS( J293&lt;=5,"0-5", J293&lt;=10,"6-10",J293&lt;=15,"11-15",J293&lt;=20,"16-20",J293&gt;20,"20+")</f>
        <v>6-10</v>
      </c>
      <c r="L293">
        <v>30</v>
      </c>
      <c r="M293" s="2">
        <f t="shared" ref="M293:M294" si="110">L293</f>
        <v>30</v>
      </c>
      <c r="N293">
        <v>2.4</v>
      </c>
      <c r="O293" t="s">
        <v>58</v>
      </c>
      <c r="P293" t="s">
        <v>2075</v>
      </c>
      <c r="Q293" s="1">
        <v>0.66</v>
      </c>
      <c r="R293" s="1">
        <f t="shared" si="109"/>
        <v>0.66</v>
      </c>
    </row>
    <row r="294" spans="1:18" x14ac:dyDescent="0.2">
      <c r="A294" t="s">
        <v>658</v>
      </c>
      <c r="B294" t="s">
        <v>659</v>
      </c>
      <c r="C294" t="str">
        <f t="shared" si="105"/>
        <v>Christine Hart</v>
      </c>
      <c r="D294" t="s">
        <v>10</v>
      </c>
      <c r="E294" t="str">
        <f t="shared" si="106"/>
        <v>Female</v>
      </c>
      <c r="F294">
        <v>49</v>
      </c>
      <c r="G294" t="s">
        <v>83</v>
      </c>
      <c r="H294" t="s">
        <v>84</v>
      </c>
      <c r="I294" t="s">
        <v>7</v>
      </c>
      <c r="J294">
        <v>13</v>
      </c>
      <c r="K294" t="str" cm="1">
        <f t="array" ref="K294">_xlfn.IFS( J294&lt;=5,"0-5", J294&lt;=10,"6-10",J294&lt;=15,"11-15",J294&lt;=20,"16-20",J294&gt;20,"20+")</f>
        <v>11-15</v>
      </c>
      <c r="L294">
        <v>100</v>
      </c>
      <c r="M294" s="2">
        <f t="shared" si="110"/>
        <v>100</v>
      </c>
      <c r="N294">
        <v>4.2</v>
      </c>
      <c r="O294">
        <v>1</v>
      </c>
      <c r="P294" t="s">
        <v>2075</v>
      </c>
      <c r="Q294" s="1">
        <v>0.84</v>
      </c>
      <c r="R294" s="1">
        <f t="shared" si="109"/>
        <v>0.84</v>
      </c>
    </row>
    <row r="295" spans="1:18" x14ac:dyDescent="0.2">
      <c r="A295" t="s">
        <v>660</v>
      </c>
      <c r="B295" t="s">
        <v>661</v>
      </c>
      <c r="C295" t="str">
        <f t="shared" si="105"/>
        <v>Mike Stanley</v>
      </c>
      <c r="D295" t="s">
        <v>87</v>
      </c>
      <c r="E295" t="str">
        <f t="shared" si="106"/>
        <v>Male</v>
      </c>
      <c r="F295">
        <v>53</v>
      </c>
      <c r="G295" t="s">
        <v>169</v>
      </c>
      <c r="H295" t="s">
        <v>62</v>
      </c>
      <c r="I295" t="s">
        <v>25</v>
      </c>
      <c r="J295">
        <v>21</v>
      </c>
      <c r="K295" t="str" cm="1">
        <f t="array" ref="K295">_xlfn.IFS( J295&lt;=5,"0-5", J295&lt;=10,"6-10",J295&lt;=15,"11-15",J295&lt;=20,"16-20",J295&gt;20,"20+")</f>
        <v>20+</v>
      </c>
      <c r="L295" t="s">
        <v>54</v>
      </c>
      <c r="M295" t="str">
        <f>SUBSTITUTE(L295,"$"," ")</f>
        <v xml:space="preserve"> 50</v>
      </c>
      <c r="N295">
        <v>1.4</v>
      </c>
      <c r="O295" t="s">
        <v>21</v>
      </c>
    </row>
    <row r="296" spans="1:18" x14ac:dyDescent="0.2">
      <c r="A296" t="s">
        <v>662</v>
      </c>
      <c r="B296" t="s">
        <v>663</v>
      </c>
      <c r="C296" t="str">
        <f t="shared" si="105"/>
        <v>Jeffrey Edwards</v>
      </c>
      <c r="D296" t="s">
        <v>87</v>
      </c>
      <c r="E296" t="str">
        <f t="shared" si="106"/>
        <v>Male</v>
      </c>
      <c r="F296">
        <v>56</v>
      </c>
      <c r="G296" t="s">
        <v>11</v>
      </c>
      <c r="H296" t="s">
        <v>12</v>
      </c>
      <c r="I296" t="s">
        <v>25</v>
      </c>
      <c r="J296">
        <v>19</v>
      </c>
      <c r="K296" t="str" cm="1">
        <f t="array" ref="K296">_xlfn.IFS( J296&lt;=5,"0-5", J296&lt;=10,"6-10",J296&lt;=15,"11-15",J296&lt;=20,"16-20",J296&gt;20,"20+")</f>
        <v>16-20</v>
      </c>
      <c r="L296">
        <v>40</v>
      </c>
      <c r="M296" s="2">
        <f>L296</f>
        <v>40</v>
      </c>
      <c r="N296">
        <v>1.2</v>
      </c>
      <c r="O296" t="s">
        <v>64</v>
      </c>
      <c r="P296" t="s">
        <v>2075</v>
      </c>
      <c r="Q296" s="1">
        <v>0.82</v>
      </c>
      <c r="R296" s="1">
        <f t="shared" ref="R296:R305" si="111">Q296</f>
        <v>0.82</v>
      </c>
    </row>
    <row r="297" spans="1:18" x14ac:dyDescent="0.2">
      <c r="A297" t="s">
        <v>664</v>
      </c>
      <c r="B297" t="s">
        <v>665</v>
      </c>
      <c r="C297" t="str">
        <f t="shared" si="105"/>
        <v>Amy Lee</v>
      </c>
      <c r="D297" t="s">
        <v>10</v>
      </c>
      <c r="E297" t="str">
        <f t="shared" si="106"/>
        <v>Female</v>
      </c>
      <c r="F297">
        <v>56</v>
      </c>
      <c r="G297" t="s">
        <v>57</v>
      </c>
      <c r="H297" t="s">
        <v>12</v>
      </c>
      <c r="I297" t="s">
        <v>79</v>
      </c>
      <c r="J297">
        <v>34</v>
      </c>
      <c r="K297" t="str" cm="1">
        <f t="array" ref="K297">_xlfn.IFS( J297&lt;=5,"0-5", J297&lt;=10,"6-10",J297&lt;=15,"11-15",J297&lt;=20,"16-20",J297&gt;20,"20+")</f>
        <v>20+</v>
      </c>
      <c r="M297"/>
      <c r="N297">
        <v>2.1</v>
      </c>
      <c r="O297" t="s">
        <v>58</v>
      </c>
      <c r="Q297" s="1">
        <v>0.84</v>
      </c>
      <c r="R297" s="1">
        <f t="shared" si="111"/>
        <v>0.84</v>
      </c>
    </row>
    <row r="298" spans="1:18" x14ac:dyDescent="0.2">
      <c r="A298" t="s">
        <v>666</v>
      </c>
      <c r="B298" t="s">
        <v>667</v>
      </c>
      <c r="C298" t="str">
        <f t="shared" si="105"/>
        <v>Mark Thompson</v>
      </c>
      <c r="D298" t="s">
        <v>51</v>
      </c>
      <c r="E298" t="str">
        <f t="shared" si="106"/>
        <v>Male</v>
      </c>
      <c r="F298">
        <v>38</v>
      </c>
      <c r="G298" t="s">
        <v>143</v>
      </c>
      <c r="H298" t="s">
        <v>144</v>
      </c>
      <c r="I298" t="s">
        <v>41</v>
      </c>
      <c r="J298">
        <v>3</v>
      </c>
      <c r="K298" t="str" cm="1">
        <f t="array" ref="K298">_xlfn.IFS( J298&lt;=5,"0-5", J298&lt;=10,"6-10",J298&lt;=15,"11-15",J298&lt;=20,"16-20",J298&gt;20,"20+")</f>
        <v>0-5</v>
      </c>
      <c r="L298">
        <v>100</v>
      </c>
      <c r="M298" s="2">
        <f t="shared" ref="M298:M301" si="112">L298</f>
        <v>100</v>
      </c>
      <c r="N298">
        <v>1.4</v>
      </c>
      <c r="O298" t="b">
        <v>0</v>
      </c>
      <c r="P298" t="s">
        <v>2074</v>
      </c>
      <c r="Q298" s="1">
        <v>0.73</v>
      </c>
      <c r="R298" s="1">
        <f t="shared" si="111"/>
        <v>0.73</v>
      </c>
    </row>
    <row r="299" spans="1:18" x14ac:dyDescent="0.2">
      <c r="A299" t="s">
        <v>668</v>
      </c>
      <c r="B299" t="s">
        <v>669</v>
      </c>
      <c r="C299" t="str">
        <f t="shared" si="105"/>
        <v>Alex Wilson</v>
      </c>
      <c r="D299" t="s">
        <v>82</v>
      </c>
      <c r="E299" t="str">
        <f t="shared" si="106"/>
        <v>Male</v>
      </c>
      <c r="F299">
        <v>20</v>
      </c>
      <c r="G299" t="s">
        <v>102</v>
      </c>
      <c r="H299" t="s">
        <v>103</v>
      </c>
      <c r="I299" t="s">
        <v>13</v>
      </c>
      <c r="J299">
        <v>0</v>
      </c>
      <c r="K299" t="str" cm="1">
        <f t="array" ref="K299">_xlfn.IFS( J299&lt;=5,"0-5", J299&lt;=10,"6-10",J299&lt;=15,"11-15",J299&lt;=20,"16-20",J299&gt;20,"20+")</f>
        <v>0-5</v>
      </c>
      <c r="L299">
        <v>30</v>
      </c>
      <c r="M299" s="2">
        <f t="shared" si="112"/>
        <v>30</v>
      </c>
      <c r="N299">
        <v>3.8</v>
      </c>
      <c r="Q299" s="1">
        <v>0.93</v>
      </c>
      <c r="R299" s="1">
        <f t="shared" si="111"/>
        <v>0.93</v>
      </c>
    </row>
    <row r="300" spans="1:18" x14ac:dyDescent="0.2">
      <c r="A300" t="s">
        <v>670</v>
      </c>
      <c r="B300" t="s">
        <v>671</v>
      </c>
      <c r="C300" t="str">
        <f t="shared" si="105"/>
        <v>Nancy Mendez</v>
      </c>
      <c r="D300" t="s">
        <v>29</v>
      </c>
      <c r="E300" t="str">
        <f t="shared" si="106"/>
        <v>Female</v>
      </c>
      <c r="F300">
        <v>38</v>
      </c>
      <c r="G300" t="s">
        <v>118</v>
      </c>
      <c r="H300" t="s">
        <v>12</v>
      </c>
      <c r="I300" t="s">
        <v>104</v>
      </c>
      <c r="J300">
        <v>20</v>
      </c>
      <c r="K300" t="str" cm="1">
        <f t="array" ref="K300">_xlfn.IFS( J300&lt;=5,"0-5", J300&lt;=10,"6-10",J300&lt;=15,"11-15",J300&lt;=20,"16-20",J300&gt;20,"20+")</f>
        <v>16-20</v>
      </c>
      <c r="L300">
        <v>50</v>
      </c>
      <c r="M300" s="2">
        <f t="shared" si="112"/>
        <v>50</v>
      </c>
      <c r="N300">
        <v>0</v>
      </c>
      <c r="Q300" s="1">
        <v>0.64</v>
      </c>
      <c r="R300" s="1">
        <f t="shared" si="111"/>
        <v>0.64</v>
      </c>
    </row>
    <row r="301" spans="1:18" x14ac:dyDescent="0.2">
      <c r="A301" t="s">
        <v>672</v>
      </c>
      <c r="B301" t="s">
        <v>673</v>
      </c>
      <c r="C301" t="str">
        <f t="shared" si="105"/>
        <v>Beth Crane</v>
      </c>
      <c r="D301" t="s">
        <v>4</v>
      </c>
      <c r="E301" t="str">
        <f t="shared" si="106"/>
        <v>Female</v>
      </c>
      <c r="G301" t="s">
        <v>32</v>
      </c>
      <c r="H301" t="s">
        <v>33</v>
      </c>
      <c r="I301" t="s">
        <v>13</v>
      </c>
      <c r="J301">
        <v>6</v>
      </c>
      <c r="K301" t="str" cm="1">
        <f t="array" ref="K301">_xlfn.IFS( J301&lt;=5,"0-5", J301&lt;=10,"6-10",J301&lt;=15,"11-15",J301&lt;=20,"16-20",J301&gt;20,"20+")</f>
        <v>6-10</v>
      </c>
      <c r="L301">
        <v>40</v>
      </c>
      <c r="M301" s="2">
        <f t="shared" si="112"/>
        <v>40</v>
      </c>
      <c r="N301">
        <v>3.5</v>
      </c>
      <c r="O301">
        <v>0</v>
      </c>
      <c r="P301" t="s">
        <v>2074</v>
      </c>
      <c r="Q301" s="1">
        <v>0.76</v>
      </c>
      <c r="R301" s="1">
        <f t="shared" si="111"/>
        <v>0.76</v>
      </c>
    </row>
    <row r="302" spans="1:18" x14ac:dyDescent="0.2">
      <c r="A302" t="s">
        <v>674</v>
      </c>
      <c r="B302" t="s">
        <v>675</v>
      </c>
      <c r="C302" t="str">
        <f t="shared" si="105"/>
        <v>Miguel Rogers</v>
      </c>
      <c r="D302" t="s">
        <v>51</v>
      </c>
      <c r="E302" t="str">
        <f t="shared" si="106"/>
        <v>Male</v>
      </c>
      <c r="F302">
        <v>46</v>
      </c>
      <c r="G302" t="s">
        <v>83</v>
      </c>
      <c r="H302" t="s">
        <v>84</v>
      </c>
      <c r="I302" t="s">
        <v>104</v>
      </c>
      <c r="J302">
        <v>13</v>
      </c>
      <c r="K302" t="str" cm="1">
        <f t="array" ref="K302">_xlfn.IFS( J302&lt;=5,"0-5", J302&lt;=10,"6-10",J302&lt;=15,"11-15",J302&lt;=20,"16-20",J302&gt;20,"20+")</f>
        <v>11-15</v>
      </c>
      <c r="L302" t="s">
        <v>219</v>
      </c>
      <c r="M302" t="str">
        <f>SUBSTITUTE(L302,"$"," ")</f>
        <v xml:space="preserve"> 100</v>
      </c>
      <c r="N302">
        <v>0</v>
      </c>
      <c r="O302" t="s">
        <v>64</v>
      </c>
      <c r="Q302" s="1">
        <v>0.97</v>
      </c>
      <c r="R302" s="1">
        <f t="shared" si="111"/>
        <v>0.97</v>
      </c>
    </row>
    <row r="303" spans="1:18" x14ac:dyDescent="0.2">
      <c r="A303" t="s">
        <v>676</v>
      </c>
      <c r="B303" t="s">
        <v>677</v>
      </c>
      <c r="C303" t="str">
        <f t="shared" si="105"/>
        <v>Thomas Robles</v>
      </c>
      <c r="D303" t="s">
        <v>87</v>
      </c>
      <c r="E303" t="str">
        <f t="shared" si="106"/>
        <v>Male</v>
      </c>
      <c r="F303">
        <v>36</v>
      </c>
      <c r="G303" t="s">
        <v>143</v>
      </c>
      <c r="H303" t="s">
        <v>144</v>
      </c>
      <c r="I303" t="s">
        <v>41</v>
      </c>
      <c r="J303">
        <v>9</v>
      </c>
      <c r="K303" t="str" cm="1">
        <f t="array" ref="K303">_xlfn.IFS( J303&lt;=5,"0-5", J303&lt;=10,"6-10",J303&lt;=15,"11-15",J303&lt;=20,"16-20",J303&gt;20,"20+")</f>
        <v>6-10</v>
      </c>
      <c r="L303">
        <v>75</v>
      </c>
      <c r="M303" s="2">
        <f t="shared" ref="M303:M304" si="113">L303</f>
        <v>75</v>
      </c>
      <c r="N303">
        <v>2.2000000000000002</v>
      </c>
      <c r="O303">
        <v>0</v>
      </c>
      <c r="P303" t="s">
        <v>2074</v>
      </c>
      <c r="Q303" s="1">
        <v>0.95</v>
      </c>
      <c r="R303" s="1">
        <f t="shared" si="111"/>
        <v>0.95</v>
      </c>
    </row>
    <row r="304" spans="1:18" x14ac:dyDescent="0.2">
      <c r="A304" t="s">
        <v>678</v>
      </c>
      <c r="B304" t="s">
        <v>679</v>
      </c>
      <c r="C304" t="str">
        <f t="shared" si="105"/>
        <v>Joel Brown III</v>
      </c>
      <c r="D304" t="s">
        <v>87</v>
      </c>
      <c r="E304" t="str">
        <f t="shared" si="106"/>
        <v>Male</v>
      </c>
      <c r="F304">
        <v>33</v>
      </c>
      <c r="G304" t="s">
        <v>114</v>
      </c>
      <c r="H304" t="s">
        <v>115</v>
      </c>
      <c r="I304" t="s">
        <v>25</v>
      </c>
      <c r="J304">
        <v>2</v>
      </c>
      <c r="K304" t="str" cm="1">
        <f t="array" ref="K304">_xlfn.IFS( J304&lt;=5,"0-5", J304&lt;=10,"6-10",J304&lt;=15,"11-15",J304&lt;=20,"16-20",J304&gt;20,"20+")</f>
        <v>0-5</v>
      </c>
      <c r="L304">
        <v>75</v>
      </c>
      <c r="M304" s="2">
        <f t="shared" si="113"/>
        <v>75</v>
      </c>
      <c r="N304">
        <v>2.5</v>
      </c>
      <c r="O304" t="b">
        <v>0</v>
      </c>
      <c r="P304" t="s">
        <v>2074</v>
      </c>
      <c r="Q304" s="1">
        <v>0.65</v>
      </c>
      <c r="R304" s="1">
        <f t="shared" si="111"/>
        <v>0.65</v>
      </c>
    </row>
    <row r="305" spans="1:18" x14ac:dyDescent="0.2">
      <c r="A305" t="s">
        <v>680</v>
      </c>
      <c r="B305" t="s">
        <v>681</v>
      </c>
      <c r="C305" t="str">
        <f t="shared" si="105"/>
        <v>Olivia Schultz</v>
      </c>
      <c r="D305" t="s">
        <v>24</v>
      </c>
      <c r="E305" t="str">
        <f t="shared" si="106"/>
        <v>Female</v>
      </c>
      <c r="F305">
        <v>37</v>
      </c>
      <c r="G305" t="s">
        <v>118</v>
      </c>
      <c r="H305" t="s">
        <v>12</v>
      </c>
      <c r="I305" t="s">
        <v>20</v>
      </c>
      <c r="J305">
        <v>0</v>
      </c>
      <c r="K305" t="str" cm="1">
        <f t="array" ref="K305">_xlfn.IFS( J305&lt;=5,"0-5", J305&lt;=10,"6-10",J305&lt;=15,"11-15",J305&lt;=20,"16-20",J305&gt;20,"20+")</f>
        <v>0-5</v>
      </c>
      <c r="L305" t="s">
        <v>88</v>
      </c>
      <c r="M305" t="str">
        <f>_xlfn.TEXTAFTER(L305, " ")</f>
        <v>50</v>
      </c>
      <c r="N305">
        <v>4.7</v>
      </c>
      <c r="O305">
        <v>0</v>
      </c>
      <c r="Q305" s="1">
        <v>0.77</v>
      </c>
      <c r="R305" s="1">
        <f t="shared" si="111"/>
        <v>0.77</v>
      </c>
    </row>
    <row r="306" spans="1:18" x14ac:dyDescent="0.2">
      <c r="A306" t="s">
        <v>682</v>
      </c>
      <c r="B306" t="s">
        <v>683</v>
      </c>
      <c r="C306" t="str">
        <f t="shared" si="105"/>
        <v>Clayton Pena</v>
      </c>
      <c r="D306" t="s">
        <v>87</v>
      </c>
      <c r="E306" t="str">
        <f t="shared" si="106"/>
        <v>Male</v>
      </c>
      <c r="F306">
        <v>20</v>
      </c>
      <c r="G306" t="s">
        <v>129</v>
      </c>
      <c r="H306" t="s">
        <v>130</v>
      </c>
      <c r="I306" t="s">
        <v>41</v>
      </c>
      <c r="J306">
        <v>0</v>
      </c>
      <c r="K306" t="str" cm="1">
        <f t="array" ref="K306">_xlfn.IFS( J306&lt;=5,"0-5", J306&lt;=10,"6-10",J306&lt;=15,"11-15",J306&lt;=20,"16-20",J306&gt;20,"20+")</f>
        <v>0-5</v>
      </c>
      <c r="L306">
        <v>20</v>
      </c>
      <c r="M306" s="2">
        <f t="shared" ref="M306:M307" si="114">L306</f>
        <v>20</v>
      </c>
      <c r="N306">
        <v>3.9</v>
      </c>
      <c r="O306" t="b">
        <v>0</v>
      </c>
      <c r="P306" t="s">
        <v>2074</v>
      </c>
    </row>
    <row r="307" spans="1:18" x14ac:dyDescent="0.2">
      <c r="A307" t="s">
        <v>684</v>
      </c>
      <c r="B307" t="s">
        <v>685</v>
      </c>
      <c r="C307" t="str">
        <f t="shared" si="105"/>
        <v>Ashley Salazar</v>
      </c>
      <c r="D307" t="s">
        <v>10</v>
      </c>
      <c r="E307" t="str">
        <f t="shared" si="106"/>
        <v>Female</v>
      </c>
      <c r="F307">
        <v>48</v>
      </c>
      <c r="G307" t="s">
        <v>165</v>
      </c>
      <c r="H307" t="s">
        <v>166</v>
      </c>
      <c r="I307" t="s">
        <v>41</v>
      </c>
      <c r="J307">
        <v>2</v>
      </c>
      <c r="K307" t="str" cm="1">
        <f t="array" ref="K307">_xlfn.IFS( J307&lt;=5,"0-5", J307&lt;=10,"6-10",J307&lt;=15,"11-15",J307&lt;=20,"16-20",J307&gt;20,"20+")</f>
        <v>0-5</v>
      </c>
      <c r="L307">
        <v>75</v>
      </c>
      <c r="M307" s="2">
        <f t="shared" si="114"/>
        <v>75</v>
      </c>
      <c r="N307">
        <v>1.6</v>
      </c>
      <c r="O307" t="s">
        <v>21</v>
      </c>
      <c r="P307" t="s">
        <v>2074</v>
      </c>
      <c r="Q307" s="1">
        <v>0.67</v>
      </c>
      <c r="R307" s="1">
        <f t="shared" ref="R307:R311" si="115">Q307</f>
        <v>0.67</v>
      </c>
    </row>
    <row r="308" spans="1:18" x14ac:dyDescent="0.2">
      <c r="A308" t="s">
        <v>686</v>
      </c>
      <c r="B308" t="s">
        <v>687</v>
      </c>
      <c r="C308" t="str">
        <f t="shared" si="105"/>
        <v>Robert Lucas</v>
      </c>
      <c r="D308" t="s">
        <v>17</v>
      </c>
      <c r="E308" t="str">
        <f t="shared" si="106"/>
        <v>Male</v>
      </c>
      <c r="F308">
        <v>27</v>
      </c>
      <c r="G308" t="s">
        <v>125</v>
      </c>
      <c r="H308" t="s">
        <v>126</v>
      </c>
      <c r="I308" t="s">
        <v>68</v>
      </c>
      <c r="J308">
        <v>2</v>
      </c>
      <c r="K308" t="str" cm="1">
        <f t="array" ref="K308">_xlfn.IFS( J308&lt;=5,"0-5", J308&lt;=10,"6-10",J308&lt;=15,"11-15",J308&lt;=20,"16-20",J308&gt;20,"20+")</f>
        <v>0-5</v>
      </c>
      <c r="L308" t="s">
        <v>54</v>
      </c>
      <c r="M308" t="str">
        <f>SUBSTITUTE(L308,"$"," ")</f>
        <v xml:space="preserve"> 50</v>
      </c>
      <c r="O308">
        <v>0</v>
      </c>
      <c r="Q308" s="1">
        <v>0.84</v>
      </c>
      <c r="R308" s="1">
        <f t="shared" si="115"/>
        <v>0.84</v>
      </c>
    </row>
    <row r="309" spans="1:18" x14ac:dyDescent="0.2">
      <c r="A309" t="s">
        <v>688</v>
      </c>
      <c r="B309" t="s">
        <v>689</v>
      </c>
      <c r="C309" t="str">
        <f t="shared" si="105"/>
        <v>David Cox</v>
      </c>
      <c r="D309" t="s">
        <v>82</v>
      </c>
      <c r="E309" t="str">
        <f t="shared" si="106"/>
        <v>Male</v>
      </c>
      <c r="F309">
        <v>34</v>
      </c>
      <c r="G309" t="s">
        <v>102</v>
      </c>
      <c r="H309" t="s">
        <v>103</v>
      </c>
      <c r="I309" t="s">
        <v>13</v>
      </c>
      <c r="J309">
        <v>1</v>
      </c>
      <c r="K309" t="str" cm="1">
        <f t="array" ref="K309">_xlfn.IFS( J309&lt;=5,"0-5", J309&lt;=10,"6-10",J309&lt;=15,"11-15",J309&lt;=20,"16-20",J309&gt;20,"20+")</f>
        <v>0-5</v>
      </c>
      <c r="L309">
        <v>30</v>
      </c>
      <c r="M309" s="2">
        <f>L309</f>
        <v>30</v>
      </c>
      <c r="N309">
        <v>3.6</v>
      </c>
      <c r="O309">
        <v>1</v>
      </c>
      <c r="P309" t="s">
        <v>2075</v>
      </c>
      <c r="Q309" s="1">
        <v>0.87</v>
      </c>
      <c r="R309" s="1">
        <f t="shared" si="115"/>
        <v>0.87</v>
      </c>
    </row>
    <row r="310" spans="1:18" x14ac:dyDescent="0.2">
      <c r="A310" t="s">
        <v>690</v>
      </c>
      <c r="B310" t="s">
        <v>691</v>
      </c>
      <c r="C310" t="str">
        <f t="shared" si="105"/>
        <v>Christian Campbell</v>
      </c>
      <c r="D310" t="s">
        <v>87</v>
      </c>
      <c r="E310" t="str">
        <f t="shared" si="106"/>
        <v>Male</v>
      </c>
      <c r="F310">
        <v>55</v>
      </c>
      <c r="G310" t="s">
        <v>97</v>
      </c>
      <c r="H310" t="s">
        <v>98</v>
      </c>
      <c r="I310" t="s">
        <v>104</v>
      </c>
      <c r="J310">
        <v>14</v>
      </c>
      <c r="K310" t="str" cm="1">
        <f t="array" ref="K310">_xlfn.IFS( J310&lt;=5,"0-5", J310&lt;=10,"6-10",J310&lt;=15,"11-15",J310&lt;=20,"16-20",J310&gt;20,"20+")</f>
        <v>11-15</v>
      </c>
      <c r="L310" t="s">
        <v>99</v>
      </c>
      <c r="M310" t="str">
        <f t="shared" ref="M310:M311" si="116">_xlfn.TEXTAFTER(L310, " ")</f>
        <v>30</v>
      </c>
      <c r="N310">
        <v>1.2</v>
      </c>
      <c r="O310" t="s">
        <v>58</v>
      </c>
      <c r="Q310" s="1">
        <v>0.91</v>
      </c>
      <c r="R310" s="1">
        <f t="shared" si="115"/>
        <v>0.91</v>
      </c>
    </row>
    <row r="311" spans="1:18" x14ac:dyDescent="0.2">
      <c r="A311" t="s">
        <v>692</v>
      </c>
      <c r="B311" t="s">
        <v>693</v>
      </c>
      <c r="C311" t="str">
        <f>_xlfn.TEXTAFTER(B311,".",)</f>
        <v xml:space="preserve"> Angela Ward</v>
      </c>
      <c r="D311" t="s">
        <v>24</v>
      </c>
      <c r="F311">
        <v>44</v>
      </c>
      <c r="G311" t="s">
        <v>143</v>
      </c>
      <c r="H311" t="s">
        <v>144</v>
      </c>
      <c r="I311" t="s">
        <v>104</v>
      </c>
      <c r="J311">
        <v>14</v>
      </c>
      <c r="K311" t="str" cm="1">
        <f t="array" ref="K311">_xlfn.IFS( J311&lt;=5,"0-5", J311&lt;=10,"6-10",J311&lt;=15,"11-15",J311&lt;=20,"16-20",J311&gt;20,"20+")</f>
        <v>11-15</v>
      </c>
      <c r="L311" t="s">
        <v>42</v>
      </c>
      <c r="M311" t="str">
        <f t="shared" si="116"/>
        <v>75</v>
      </c>
      <c r="N311">
        <v>3</v>
      </c>
      <c r="O311">
        <v>0</v>
      </c>
      <c r="Q311" s="1">
        <v>0.78</v>
      </c>
      <c r="R311" s="1">
        <f t="shared" si="115"/>
        <v>0.78</v>
      </c>
    </row>
    <row r="312" spans="1:18" x14ac:dyDescent="0.2">
      <c r="A312" t="s">
        <v>694</v>
      </c>
      <c r="B312" t="s">
        <v>695</v>
      </c>
      <c r="C312" t="str">
        <f t="shared" ref="C312:C375" si="117">B312</f>
        <v>Lucas Chen</v>
      </c>
      <c r="D312" t="s">
        <v>17</v>
      </c>
      <c r="E312" t="str">
        <f t="shared" ref="E312:E375" si="118">IF(LOWER(LEFT(D312,1)) ="f", "Female", "Male")</f>
        <v>Male</v>
      </c>
      <c r="F312">
        <v>31</v>
      </c>
      <c r="G312" t="s">
        <v>32</v>
      </c>
      <c r="H312" t="s">
        <v>33</v>
      </c>
      <c r="I312" t="s">
        <v>63</v>
      </c>
      <c r="J312">
        <v>2</v>
      </c>
      <c r="K312" t="str" cm="1">
        <f t="array" ref="K312">_xlfn.IFS( J312&lt;=5,"0-5", J312&lt;=10,"6-10",J312&lt;=15,"11-15",J312&lt;=20,"16-20",J312&gt;20,"20+")</f>
        <v>0-5</v>
      </c>
      <c r="L312">
        <v>50</v>
      </c>
      <c r="M312" s="2">
        <f t="shared" ref="M312:M314" si="119">L312</f>
        <v>50</v>
      </c>
      <c r="N312">
        <v>3.9</v>
      </c>
      <c r="O312">
        <v>0</v>
      </c>
      <c r="P312" t="s">
        <v>2074</v>
      </c>
    </row>
    <row r="313" spans="1:18" x14ac:dyDescent="0.2">
      <c r="A313" t="s">
        <v>696</v>
      </c>
      <c r="B313" t="s">
        <v>697</v>
      </c>
      <c r="C313" t="str">
        <f t="shared" si="117"/>
        <v>Ruben Nelson</v>
      </c>
      <c r="D313" t="s">
        <v>38</v>
      </c>
      <c r="E313" t="str">
        <f t="shared" si="118"/>
        <v>Male</v>
      </c>
      <c r="F313">
        <v>34</v>
      </c>
      <c r="G313" t="s">
        <v>11</v>
      </c>
      <c r="H313" t="s">
        <v>12</v>
      </c>
      <c r="I313" t="s">
        <v>79</v>
      </c>
      <c r="J313">
        <v>1</v>
      </c>
      <c r="K313" t="str" cm="1">
        <f t="array" ref="K313">_xlfn.IFS( J313&lt;=5,"0-5", J313&lt;=10,"6-10",J313&lt;=15,"11-15",J313&lt;=20,"16-20",J313&gt;20,"20+")</f>
        <v>0-5</v>
      </c>
      <c r="L313">
        <v>40</v>
      </c>
      <c r="M313" s="2">
        <f t="shared" si="119"/>
        <v>40</v>
      </c>
      <c r="N313">
        <v>1.7</v>
      </c>
      <c r="Q313">
        <v>74</v>
      </c>
      <c r="R313" s="3">
        <f>Q313/100</f>
        <v>0.74</v>
      </c>
    </row>
    <row r="314" spans="1:18" x14ac:dyDescent="0.2">
      <c r="A314" t="s">
        <v>698</v>
      </c>
      <c r="B314" t="s">
        <v>699</v>
      </c>
      <c r="C314" t="str">
        <f t="shared" si="117"/>
        <v>Brenda Briggs</v>
      </c>
      <c r="D314" t="s">
        <v>24</v>
      </c>
      <c r="E314" t="str">
        <f t="shared" si="118"/>
        <v>Female</v>
      </c>
      <c r="F314">
        <v>47</v>
      </c>
      <c r="G314" t="s">
        <v>97</v>
      </c>
      <c r="H314" t="s">
        <v>98</v>
      </c>
      <c r="I314" t="s">
        <v>79</v>
      </c>
      <c r="J314">
        <v>13</v>
      </c>
      <c r="K314" t="str" cm="1">
        <f t="array" ref="K314">_xlfn.IFS( J314&lt;=5,"0-5", J314&lt;=10,"6-10",J314&lt;=15,"11-15",J314&lt;=20,"16-20",J314&gt;20,"20+")</f>
        <v>11-15</v>
      </c>
      <c r="L314">
        <v>20</v>
      </c>
      <c r="M314" s="2">
        <f t="shared" si="119"/>
        <v>20</v>
      </c>
      <c r="N314">
        <v>4.5</v>
      </c>
      <c r="Q314" s="1">
        <v>0.91</v>
      </c>
      <c r="R314" s="1">
        <f t="shared" ref="R314:R317" si="120">Q314</f>
        <v>0.91</v>
      </c>
    </row>
    <row r="315" spans="1:18" x14ac:dyDescent="0.2">
      <c r="A315" t="s">
        <v>700</v>
      </c>
      <c r="B315" t="s">
        <v>701</v>
      </c>
      <c r="C315" t="str">
        <f t="shared" si="117"/>
        <v>Ronald Smith</v>
      </c>
      <c r="D315" t="s">
        <v>38</v>
      </c>
      <c r="E315" t="str">
        <f t="shared" si="118"/>
        <v>Male</v>
      </c>
      <c r="F315">
        <v>50</v>
      </c>
      <c r="G315" t="s">
        <v>48</v>
      </c>
      <c r="H315" t="s">
        <v>12</v>
      </c>
      <c r="I315" t="s">
        <v>20</v>
      </c>
      <c r="J315">
        <v>23</v>
      </c>
      <c r="K315" t="str" cm="1">
        <f t="array" ref="K315">_xlfn.IFS( J315&lt;=5,"0-5", J315&lt;=10,"6-10",J315&lt;=15,"11-15",J315&lt;=20,"16-20",J315&gt;20,"20+")</f>
        <v>20+</v>
      </c>
      <c r="L315" t="s">
        <v>26</v>
      </c>
      <c r="M315" t="str">
        <f>SUBSTITUTE(L315,"$"," ")</f>
        <v xml:space="preserve"> 40</v>
      </c>
      <c r="N315">
        <v>3.6</v>
      </c>
      <c r="O315" t="b">
        <v>1</v>
      </c>
      <c r="Q315" s="1">
        <v>0.71</v>
      </c>
      <c r="R315" s="1">
        <f t="shared" si="120"/>
        <v>0.71</v>
      </c>
    </row>
    <row r="316" spans="1:18" x14ac:dyDescent="0.2">
      <c r="A316" t="s">
        <v>702</v>
      </c>
      <c r="B316" t="s">
        <v>703</v>
      </c>
      <c r="C316" t="str">
        <f t="shared" si="117"/>
        <v>Dakota Giles</v>
      </c>
      <c r="D316" t="s">
        <v>82</v>
      </c>
      <c r="E316" t="str">
        <f t="shared" si="118"/>
        <v>Male</v>
      </c>
      <c r="F316">
        <v>39</v>
      </c>
      <c r="G316" t="s">
        <v>18</v>
      </c>
      <c r="H316" t="s">
        <v>19</v>
      </c>
      <c r="I316" t="s">
        <v>68</v>
      </c>
      <c r="K316" t="str" cm="1">
        <f t="array" ref="K316">_xlfn.IFS( J316&lt;=5,"0-5", J316&lt;=10,"6-10",J316&lt;=15,"11-15",J316&lt;=20,"16-20",J316&gt;20,"20+")</f>
        <v>0-5</v>
      </c>
      <c r="L316" t="s">
        <v>42</v>
      </c>
      <c r="M316" t="str">
        <f t="shared" ref="M316:M317" si="121">_xlfn.TEXTAFTER(L316, " ")</f>
        <v>75</v>
      </c>
      <c r="N316">
        <v>3.6</v>
      </c>
      <c r="O316" t="s">
        <v>64</v>
      </c>
      <c r="Q316" s="1">
        <v>0.87</v>
      </c>
      <c r="R316" s="1">
        <f t="shared" si="120"/>
        <v>0.87</v>
      </c>
    </row>
    <row r="317" spans="1:18" x14ac:dyDescent="0.2">
      <c r="A317" t="s">
        <v>704</v>
      </c>
      <c r="B317" t="s">
        <v>705</v>
      </c>
      <c r="C317" t="str">
        <f t="shared" si="117"/>
        <v>Angela Castillo</v>
      </c>
      <c r="D317" t="s">
        <v>10</v>
      </c>
      <c r="E317" t="str">
        <f t="shared" si="118"/>
        <v>Female</v>
      </c>
      <c r="F317">
        <v>26</v>
      </c>
      <c r="G317" t="s">
        <v>61</v>
      </c>
      <c r="H317" t="s">
        <v>62</v>
      </c>
      <c r="I317" t="s">
        <v>7</v>
      </c>
      <c r="J317">
        <v>3</v>
      </c>
      <c r="K317" t="str" cm="1">
        <f t="array" ref="K317">_xlfn.IFS( J317&lt;=5,"0-5", J317&lt;=10,"6-10",J317&lt;=15,"11-15",J317&lt;=20,"16-20",J317&gt;20,"20+")</f>
        <v>0-5</v>
      </c>
      <c r="L317" t="s">
        <v>14</v>
      </c>
      <c r="M317" t="str">
        <f t="shared" si="121"/>
        <v>100</v>
      </c>
      <c r="N317">
        <v>2.8</v>
      </c>
      <c r="O317">
        <v>1</v>
      </c>
      <c r="Q317" s="1">
        <v>0.61</v>
      </c>
      <c r="R317" s="1">
        <f t="shared" si="120"/>
        <v>0.61</v>
      </c>
    </row>
    <row r="318" spans="1:18" x14ac:dyDescent="0.2">
      <c r="A318" t="s">
        <v>706</v>
      </c>
      <c r="B318" t="s">
        <v>707</v>
      </c>
      <c r="C318" t="str">
        <f t="shared" si="117"/>
        <v>Allen Lee</v>
      </c>
      <c r="D318" t="s">
        <v>82</v>
      </c>
      <c r="E318" t="str">
        <f t="shared" si="118"/>
        <v>Male</v>
      </c>
      <c r="G318" t="s">
        <v>32</v>
      </c>
      <c r="H318" t="s">
        <v>33</v>
      </c>
      <c r="I318" t="s">
        <v>79</v>
      </c>
      <c r="J318">
        <v>0</v>
      </c>
      <c r="K318" t="str" cm="1">
        <f t="array" ref="K318">_xlfn.IFS( J318&lt;=5,"0-5", J318&lt;=10,"6-10",J318&lt;=15,"11-15",J318&lt;=20,"16-20",J318&gt;20,"20+")</f>
        <v>0-5</v>
      </c>
      <c r="L318" t="s">
        <v>219</v>
      </c>
      <c r="M318" t="str">
        <f>SUBSTITUTE(L318,"$"," ")</f>
        <v xml:space="preserve"> 100</v>
      </c>
      <c r="N318">
        <v>5</v>
      </c>
      <c r="O318" t="s">
        <v>21</v>
      </c>
    </row>
    <row r="319" spans="1:18" x14ac:dyDescent="0.2">
      <c r="A319" t="s">
        <v>708</v>
      </c>
      <c r="B319" t="s">
        <v>709</v>
      </c>
      <c r="C319" t="str">
        <f t="shared" si="117"/>
        <v>Michael Rogers</v>
      </c>
      <c r="D319" t="s">
        <v>17</v>
      </c>
      <c r="E319" t="str">
        <f t="shared" si="118"/>
        <v>Male</v>
      </c>
      <c r="F319">
        <v>32</v>
      </c>
      <c r="G319" t="s">
        <v>18</v>
      </c>
      <c r="H319" t="s">
        <v>19</v>
      </c>
      <c r="I319" t="s">
        <v>20</v>
      </c>
      <c r="J319">
        <v>0</v>
      </c>
      <c r="K319" t="str" cm="1">
        <f t="array" ref="K319">_xlfn.IFS( J319&lt;=5,"0-5", J319&lt;=10,"6-10",J319&lt;=15,"11-15",J319&lt;=20,"16-20",J319&gt;20,"20+")</f>
        <v>0-5</v>
      </c>
      <c r="L319">
        <v>100</v>
      </c>
      <c r="M319" s="2">
        <f t="shared" ref="M319:M320" si="122">L319</f>
        <v>100</v>
      </c>
      <c r="N319">
        <v>1.4</v>
      </c>
      <c r="O319">
        <v>1</v>
      </c>
      <c r="P319" t="s">
        <v>2075</v>
      </c>
      <c r="Q319" s="1">
        <v>0.81</v>
      </c>
      <c r="R319" s="1">
        <f>Q319</f>
        <v>0.81</v>
      </c>
    </row>
    <row r="320" spans="1:18" x14ac:dyDescent="0.2">
      <c r="A320" t="s">
        <v>710</v>
      </c>
      <c r="B320" t="s">
        <v>711</v>
      </c>
      <c r="C320" t="str">
        <f t="shared" si="117"/>
        <v>Danielle Costa</v>
      </c>
      <c r="D320" t="s">
        <v>67</v>
      </c>
      <c r="E320" t="str">
        <f t="shared" si="118"/>
        <v>Female</v>
      </c>
      <c r="F320">
        <v>55</v>
      </c>
      <c r="G320" t="s">
        <v>114</v>
      </c>
      <c r="H320" t="s">
        <v>115</v>
      </c>
      <c r="I320" t="s">
        <v>41</v>
      </c>
      <c r="J320">
        <v>17</v>
      </c>
      <c r="K320" t="str" cm="1">
        <f t="array" ref="K320">_xlfn.IFS( J320&lt;=5,"0-5", J320&lt;=10,"6-10",J320&lt;=15,"11-15",J320&lt;=20,"16-20",J320&gt;20,"20+")</f>
        <v>16-20</v>
      </c>
      <c r="L320">
        <v>30</v>
      </c>
      <c r="M320" s="2">
        <f t="shared" si="122"/>
        <v>30</v>
      </c>
    </row>
    <row r="321" spans="1:18" x14ac:dyDescent="0.2">
      <c r="A321" t="s">
        <v>712</v>
      </c>
      <c r="B321" t="s">
        <v>713</v>
      </c>
      <c r="C321" t="str">
        <f t="shared" si="117"/>
        <v>William Nunez</v>
      </c>
      <c r="D321" t="s">
        <v>82</v>
      </c>
      <c r="E321" t="str">
        <f t="shared" si="118"/>
        <v>Male</v>
      </c>
      <c r="F321">
        <v>32</v>
      </c>
      <c r="G321" t="s">
        <v>61</v>
      </c>
      <c r="H321" t="s">
        <v>62</v>
      </c>
      <c r="I321" t="s">
        <v>104</v>
      </c>
      <c r="J321">
        <v>9</v>
      </c>
      <c r="K321" t="str" cm="1">
        <f t="array" ref="K321">_xlfn.IFS( J321&lt;=5,"0-5", J321&lt;=10,"6-10",J321&lt;=15,"11-15",J321&lt;=20,"16-20",J321&gt;20,"20+")</f>
        <v>6-10</v>
      </c>
      <c r="L321" t="s">
        <v>45</v>
      </c>
      <c r="M321" t="str">
        <f>_xlfn.TEXTAFTER(L321, " ")</f>
        <v>40</v>
      </c>
      <c r="N321">
        <v>4.5999999999999996</v>
      </c>
      <c r="O321">
        <v>1</v>
      </c>
      <c r="Q321" s="1">
        <v>0.84</v>
      </c>
      <c r="R321" s="1">
        <f>Q321</f>
        <v>0.84</v>
      </c>
    </row>
    <row r="322" spans="1:18" x14ac:dyDescent="0.2">
      <c r="A322" t="s">
        <v>714</v>
      </c>
      <c r="B322" t="s">
        <v>715</v>
      </c>
      <c r="C322" t="str">
        <f t="shared" si="117"/>
        <v>Christopher Riggs</v>
      </c>
      <c r="D322" t="s">
        <v>38</v>
      </c>
      <c r="E322" t="str">
        <f t="shared" si="118"/>
        <v>Male</v>
      </c>
      <c r="F322">
        <v>30</v>
      </c>
      <c r="G322" t="s">
        <v>102</v>
      </c>
      <c r="H322" t="s">
        <v>103</v>
      </c>
      <c r="I322" t="s">
        <v>7</v>
      </c>
      <c r="J322">
        <v>4</v>
      </c>
      <c r="K322" t="str" cm="1">
        <f t="array" ref="K322">_xlfn.IFS( J322&lt;=5,"0-5", J322&lt;=10,"6-10",J322&lt;=15,"11-15",J322&lt;=20,"16-20",J322&gt;20,"20+")</f>
        <v>0-5</v>
      </c>
      <c r="L322" t="s">
        <v>111</v>
      </c>
      <c r="M322" t="str">
        <f t="shared" ref="M322:M323" si="123">SUBSTITUTE(L322,"$"," ")</f>
        <v xml:space="preserve"> 20</v>
      </c>
      <c r="N322">
        <v>3.3</v>
      </c>
      <c r="O322" t="s">
        <v>149</v>
      </c>
    </row>
    <row r="323" spans="1:18" x14ac:dyDescent="0.2">
      <c r="A323" t="s">
        <v>716</v>
      </c>
      <c r="B323" t="s">
        <v>717</v>
      </c>
      <c r="C323" t="str">
        <f t="shared" si="117"/>
        <v>Kathryn Myers</v>
      </c>
      <c r="D323" t="s">
        <v>29</v>
      </c>
      <c r="E323" t="str">
        <f t="shared" si="118"/>
        <v>Female</v>
      </c>
      <c r="F323">
        <v>37</v>
      </c>
      <c r="G323" t="s">
        <v>118</v>
      </c>
      <c r="H323" t="s">
        <v>12</v>
      </c>
      <c r="I323" t="s">
        <v>68</v>
      </c>
      <c r="J323">
        <v>0</v>
      </c>
      <c r="K323" t="str" cm="1">
        <f t="array" ref="K323">_xlfn.IFS( J323&lt;=5,"0-5", J323&lt;=10,"6-10",J323&lt;=15,"11-15",J323&lt;=20,"16-20",J323&gt;20,"20+")</f>
        <v>0-5</v>
      </c>
      <c r="L323" t="s">
        <v>26</v>
      </c>
      <c r="M323" t="str">
        <f t="shared" si="123"/>
        <v xml:space="preserve"> 40</v>
      </c>
      <c r="N323">
        <v>3.7</v>
      </c>
      <c r="O323">
        <v>1</v>
      </c>
    </row>
    <row r="324" spans="1:18" x14ac:dyDescent="0.2">
      <c r="A324" t="s">
        <v>718</v>
      </c>
      <c r="B324" t="s">
        <v>719</v>
      </c>
      <c r="C324" t="str">
        <f t="shared" si="117"/>
        <v>Robert Walls</v>
      </c>
      <c r="D324" t="s">
        <v>82</v>
      </c>
      <c r="E324" t="str">
        <f t="shared" si="118"/>
        <v>Male</v>
      </c>
      <c r="F324">
        <v>52</v>
      </c>
      <c r="G324" t="s">
        <v>97</v>
      </c>
      <c r="H324" t="s">
        <v>98</v>
      </c>
      <c r="I324" t="s">
        <v>20</v>
      </c>
      <c r="J324">
        <v>33</v>
      </c>
      <c r="K324" t="str" cm="1">
        <f t="array" ref="K324">_xlfn.IFS( J324&lt;=5,"0-5", J324&lt;=10,"6-10",J324&lt;=15,"11-15",J324&lt;=20,"16-20",J324&gt;20,"20+")</f>
        <v>20+</v>
      </c>
      <c r="M324"/>
      <c r="N324">
        <v>0</v>
      </c>
      <c r="O324">
        <v>1</v>
      </c>
      <c r="Q324" s="1">
        <v>0.6</v>
      </c>
      <c r="R324" s="1">
        <f t="shared" ref="R324:R327" si="124">Q324</f>
        <v>0.6</v>
      </c>
    </row>
    <row r="325" spans="1:18" x14ac:dyDescent="0.2">
      <c r="A325" t="s">
        <v>720</v>
      </c>
      <c r="B325" t="s">
        <v>721</v>
      </c>
      <c r="C325" t="str">
        <f t="shared" si="117"/>
        <v>Justin Johnson</v>
      </c>
      <c r="D325" t="s">
        <v>87</v>
      </c>
      <c r="E325" t="str">
        <f t="shared" si="118"/>
        <v>Male</v>
      </c>
      <c r="F325">
        <v>48</v>
      </c>
      <c r="G325" t="s">
        <v>83</v>
      </c>
      <c r="H325" t="s">
        <v>84</v>
      </c>
      <c r="I325" t="s">
        <v>68</v>
      </c>
      <c r="J325">
        <v>18</v>
      </c>
      <c r="K325" t="str" cm="1">
        <f t="array" ref="K325">_xlfn.IFS( J325&lt;=5,"0-5", J325&lt;=10,"6-10",J325&lt;=15,"11-15",J325&lt;=20,"16-20",J325&gt;20,"20+")</f>
        <v>16-20</v>
      </c>
      <c r="L325">
        <v>50</v>
      </c>
      <c r="M325" s="2">
        <f t="shared" ref="M325:M329" si="125">L325</f>
        <v>50</v>
      </c>
      <c r="N325">
        <v>0</v>
      </c>
      <c r="O325" t="s">
        <v>64</v>
      </c>
      <c r="P325" t="s">
        <v>2075</v>
      </c>
      <c r="Q325" s="1">
        <v>0.64</v>
      </c>
      <c r="R325" s="1">
        <f t="shared" si="124"/>
        <v>0.64</v>
      </c>
    </row>
    <row r="326" spans="1:18" x14ac:dyDescent="0.2">
      <c r="A326" t="s">
        <v>722</v>
      </c>
      <c r="B326" t="s">
        <v>723</v>
      </c>
      <c r="C326" t="str">
        <f t="shared" si="117"/>
        <v>Paula Stevens</v>
      </c>
      <c r="D326" t="s">
        <v>10</v>
      </c>
      <c r="E326" t="str">
        <f t="shared" si="118"/>
        <v>Female</v>
      </c>
      <c r="F326">
        <v>28</v>
      </c>
      <c r="G326" t="s">
        <v>75</v>
      </c>
      <c r="H326" t="s">
        <v>76</v>
      </c>
      <c r="I326" t="s">
        <v>13</v>
      </c>
      <c r="J326">
        <v>9</v>
      </c>
      <c r="K326" t="str" cm="1">
        <f t="array" ref="K326">_xlfn.IFS( J326&lt;=5,"0-5", J326&lt;=10,"6-10",J326&lt;=15,"11-15",J326&lt;=20,"16-20",J326&gt;20,"20+")</f>
        <v>6-10</v>
      </c>
      <c r="L326">
        <v>40</v>
      </c>
      <c r="M326" s="2">
        <f t="shared" si="125"/>
        <v>40</v>
      </c>
      <c r="O326">
        <v>1</v>
      </c>
      <c r="P326" t="s">
        <v>2075</v>
      </c>
      <c r="Q326" s="1">
        <v>0.64</v>
      </c>
      <c r="R326" s="1">
        <f t="shared" si="124"/>
        <v>0.64</v>
      </c>
    </row>
    <row r="327" spans="1:18" x14ac:dyDescent="0.2">
      <c r="A327" t="s">
        <v>724</v>
      </c>
      <c r="B327" t="s">
        <v>725</v>
      </c>
      <c r="C327" t="str">
        <f t="shared" si="117"/>
        <v>Jennifer Allen</v>
      </c>
      <c r="D327" t="s">
        <v>10</v>
      </c>
      <c r="E327" t="str">
        <f t="shared" si="118"/>
        <v>Female</v>
      </c>
      <c r="F327">
        <v>58</v>
      </c>
      <c r="G327" t="s">
        <v>180</v>
      </c>
      <c r="H327" t="s">
        <v>62</v>
      </c>
      <c r="I327" t="s">
        <v>41</v>
      </c>
      <c r="J327">
        <v>40</v>
      </c>
      <c r="K327" t="str" cm="1">
        <f t="array" ref="K327">_xlfn.IFS( J327&lt;=5,"0-5", J327&lt;=10,"6-10",J327&lt;=15,"11-15",J327&lt;=20,"16-20",J327&gt;20,"20+")</f>
        <v>20+</v>
      </c>
      <c r="L327">
        <v>75</v>
      </c>
      <c r="M327" s="2">
        <f t="shared" si="125"/>
        <v>75</v>
      </c>
      <c r="N327">
        <v>3.4</v>
      </c>
      <c r="O327">
        <v>1</v>
      </c>
      <c r="P327" t="s">
        <v>2075</v>
      </c>
      <c r="Q327" s="1">
        <v>1</v>
      </c>
      <c r="R327" s="1">
        <f t="shared" si="124"/>
        <v>1</v>
      </c>
    </row>
    <row r="328" spans="1:18" x14ac:dyDescent="0.2">
      <c r="A328" t="s">
        <v>726</v>
      </c>
      <c r="B328" t="s">
        <v>727</v>
      </c>
      <c r="C328" t="str">
        <f t="shared" si="117"/>
        <v>Mark Hudson</v>
      </c>
      <c r="D328" t="s">
        <v>17</v>
      </c>
      <c r="E328" t="str">
        <f t="shared" si="118"/>
        <v>Male</v>
      </c>
      <c r="F328">
        <v>30</v>
      </c>
      <c r="G328" t="s">
        <v>61</v>
      </c>
      <c r="H328" t="s">
        <v>62</v>
      </c>
      <c r="I328" t="s">
        <v>25</v>
      </c>
      <c r="J328">
        <v>1</v>
      </c>
      <c r="K328" t="str" cm="1">
        <f t="array" ref="K328">_xlfn.IFS( J328&lt;=5,"0-5", J328&lt;=10,"6-10",J328&lt;=15,"11-15",J328&lt;=20,"16-20",J328&gt;20,"20+")</f>
        <v>0-5</v>
      </c>
      <c r="L328">
        <v>40</v>
      </c>
      <c r="M328" s="2">
        <f t="shared" si="125"/>
        <v>40</v>
      </c>
      <c r="N328">
        <v>1.6</v>
      </c>
      <c r="O328" t="b">
        <v>1</v>
      </c>
      <c r="P328" t="s">
        <v>2075</v>
      </c>
      <c r="Q328">
        <v>100</v>
      </c>
      <c r="R328" s="3">
        <f>Q328/100</f>
        <v>1</v>
      </c>
    </row>
    <row r="329" spans="1:18" x14ac:dyDescent="0.2">
      <c r="A329" t="s">
        <v>728</v>
      </c>
      <c r="B329" t="s">
        <v>729</v>
      </c>
      <c r="C329" t="str">
        <f t="shared" si="117"/>
        <v>Jessica Smith</v>
      </c>
      <c r="D329" t="s">
        <v>67</v>
      </c>
      <c r="E329" t="str">
        <f t="shared" si="118"/>
        <v>Female</v>
      </c>
      <c r="F329">
        <v>47</v>
      </c>
      <c r="G329" t="s">
        <v>165</v>
      </c>
      <c r="H329" t="s">
        <v>166</v>
      </c>
      <c r="I329" t="s">
        <v>13</v>
      </c>
      <c r="J329">
        <v>5</v>
      </c>
      <c r="K329" t="str" cm="1">
        <f t="array" ref="K329">_xlfn.IFS( J329&lt;=5,"0-5", J329&lt;=10,"6-10",J329&lt;=15,"11-15",J329&lt;=20,"16-20",J329&gt;20,"20+")</f>
        <v>0-5</v>
      </c>
      <c r="L329">
        <v>20</v>
      </c>
      <c r="M329" s="2">
        <f t="shared" si="125"/>
        <v>20</v>
      </c>
      <c r="N329">
        <v>1.9</v>
      </c>
      <c r="O329">
        <v>0</v>
      </c>
      <c r="P329" t="s">
        <v>2074</v>
      </c>
    </row>
    <row r="330" spans="1:18" x14ac:dyDescent="0.2">
      <c r="A330" t="s">
        <v>730</v>
      </c>
      <c r="B330" t="s">
        <v>731</v>
      </c>
      <c r="C330" t="str">
        <f t="shared" si="117"/>
        <v>Mike Dean</v>
      </c>
      <c r="D330" t="s">
        <v>17</v>
      </c>
      <c r="E330" t="str">
        <f t="shared" si="118"/>
        <v>Male</v>
      </c>
      <c r="F330">
        <v>44</v>
      </c>
      <c r="G330" t="s">
        <v>61</v>
      </c>
      <c r="H330" t="s">
        <v>62</v>
      </c>
      <c r="I330" t="s">
        <v>34</v>
      </c>
      <c r="J330">
        <v>4</v>
      </c>
      <c r="K330" t="str" cm="1">
        <f t="array" ref="K330">_xlfn.IFS( J330&lt;=5,"0-5", J330&lt;=10,"6-10",J330&lt;=15,"11-15",J330&lt;=20,"16-20",J330&gt;20,"20+")</f>
        <v>0-5</v>
      </c>
      <c r="L330" t="s">
        <v>54</v>
      </c>
      <c r="M330" t="str">
        <f>SUBSTITUTE(L330,"$"," ")</f>
        <v xml:space="preserve"> 50</v>
      </c>
      <c r="N330">
        <v>0</v>
      </c>
      <c r="O330" t="b">
        <v>1</v>
      </c>
      <c r="Q330" s="1">
        <v>0.83</v>
      </c>
      <c r="R330" s="1">
        <f t="shared" ref="R330:R334" si="126">Q330</f>
        <v>0.83</v>
      </c>
    </row>
    <row r="331" spans="1:18" x14ac:dyDescent="0.2">
      <c r="A331" t="s">
        <v>732</v>
      </c>
      <c r="B331" t="s">
        <v>733</v>
      </c>
      <c r="C331" t="str">
        <f t="shared" si="117"/>
        <v>Jose Wilson</v>
      </c>
      <c r="D331" t="s">
        <v>82</v>
      </c>
      <c r="E331" t="str">
        <f t="shared" si="118"/>
        <v>Male</v>
      </c>
      <c r="F331">
        <v>56</v>
      </c>
      <c r="G331" t="s">
        <v>5</v>
      </c>
      <c r="H331" t="s">
        <v>6</v>
      </c>
      <c r="I331" t="s">
        <v>104</v>
      </c>
      <c r="J331">
        <v>13</v>
      </c>
      <c r="K331" t="str" cm="1">
        <f t="array" ref="K331">_xlfn.IFS( J331&lt;=5,"0-5", J331&lt;=10,"6-10",J331&lt;=15,"11-15",J331&lt;=20,"16-20",J331&gt;20,"20+")</f>
        <v>11-15</v>
      </c>
      <c r="L331" t="s">
        <v>45</v>
      </c>
      <c r="M331" t="str">
        <f>_xlfn.TEXTAFTER(L331, " ")</f>
        <v>40</v>
      </c>
      <c r="O331">
        <v>1</v>
      </c>
      <c r="Q331" s="1">
        <v>0.87</v>
      </c>
      <c r="R331" s="1">
        <f t="shared" si="126"/>
        <v>0.87</v>
      </c>
    </row>
    <row r="332" spans="1:18" x14ac:dyDescent="0.2">
      <c r="A332" t="s">
        <v>734</v>
      </c>
      <c r="B332" t="s">
        <v>735</v>
      </c>
      <c r="C332" t="str">
        <f t="shared" si="117"/>
        <v>Tammy Hill</v>
      </c>
      <c r="D332" t="s">
        <v>67</v>
      </c>
      <c r="E332" t="str">
        <f t="shared" si="118"/>
        <v>Female</v>
      </c>
      <c r="F332">
        <v>53</v>
      </c>
      <c r="G332" t="s">
        <v>48</v>
      </c>
      <c r="H332" t="s">
        <v>12</v>
      </c>
      <c r="I332" t="s">
        <v>13</v>
      </c>
      <c r="J332">
        <v>33</v>
      </c>
      <c r="K332" t="str" cm="1">
        <f t="array" ref="K332">_xlfn.IFS( J332&lt;=5,"0-5", J332&lt;=10,"6-10",J332&lt;=15,"11-15",J332&lt;=20,"16-20",J332&gt;20,"20+")</f>
        <v>20+</v>
      </c>
      <c r="L332" t="s">
        <v>219</v>
      </c>
      <c r="M332" t="str">
        <f>SUBSTITUTE(L332,"$"," ")</f>
        <v xml:space="preserve"> 100</v>
      </c>
      <c r="O332" t="s">
        <v>149</v>
      </c>
      <c r="Q332" s="1">
        <v>0.75</v>
      </c>
      <c r="R332" s="1">
        <f t="shared" si="126"/>
        <v>0.75</v>
      </c>
    </row>
    <row r="333" spans="1:18" x14ac:dyDescent="0.2">
      <c r="A333" t="s">
        <v>736</v>
      </c>
      <c r="B333" t="s">
        <v>737</v>
      </c>
      <c r="C333" t="str">
        <f t="shared" si="117"/>
        <v>Nathaniel Flores</v>
      </c>
      <c r="D333" t="s">
        <v>51</v>
      </c>
      <c r="E333" t="str">
        <f t="shared" si="118"/>
        <v>Male</v>
      </c>
      <c r="F333">
        <v>59</v>
      </c>
      <c r="G333" t="s">
        <v>57</v>
      </c>
      <c r="H333" t="s">
        <v>12</v>
      </c>
      <c r="I333" t="s">
        <v>13</v>
      </c>
      <c r="J333">
        <v>22</v>
      </c>
      <c r="K333" t="str" cm="1">
        <f t="array" ref="K333">_xlfn.IFS( J333&lt;=5,"0-5", J333&lt;=10,"6-10",J333&lt;=15,"11-15",J333&lt;=20,"16-20",J333&gt;20,"20+")</f>
        <v>20+</v>
      </c>
      <c r="L333">
        <v>40</v>
      </c>
      <c r="M333" s="2">
        <f>L333</f>
        <v>40</v>
      </c>
      <c r="N333">
        <v>1.1000000000000001</v>
      </c>
      <c r="O333" t="s">
        <v>58</v>
      </c>
      <c r="P333" t="s">
        <v>2075</v>
      </c>
      <c r="Q333" s="1">
        <v>0.61</v>
      </c>
      <c r="R333" s="1">
        <f t="shared" si="126"/>
        <v>0.61</v>
      </c>
    </row>
    <row r="334" spans="1:18" x14ac:dyDescent="0.2">
      <c r="A334" t="s">
        <v>738</v>
      </c>
      <c r="B334" t="s">
        <v>739</v>
      </c>
      <c r="C334" t="str">
        <f t="shared" si="117"/>
        <v>Edwin Carter</v>
      </c>
      <c r="D334" t="s">
        <v>82</v>
      </c>
      <c r="E334" t="str">
        <f t="shared" si="118"/>
        <v>Male</v>
      </c>
      <c r="F334">
        <v>60</v>
      </c>
      <c r="G334" t="s">
        <v>48</v>
      </c>
      <c r="H334" t="s">
        <v>12</v>
      </c>
      <c r="I334" t="s">
        <v>79</v>
      </c>
      <c r="J334">
        <v>34</v>
      </c>
      <c r="K334" t="str" cm="1">
        <f t="array" ref="K334">_xlfn.IFS( J334&lt;=5,"0-5", J334&lt;=10,"6-10",J334&lt;=15,"11-15",J334&lt;=20,"16-20",J334&gt;20,"20+")</f>
        <v>20+</v>
      </c>
      <c r="M334"/>
      <c r="N334">
        <v>2.5</v>
      </c>
      <c r="O334" t="b">
        <v>0</v>
      </c>
      <c r="Q334" s="1">
        <v>0.93</v>
      </c>
      <c r="R334" s="1">
        <f t="shared" si="126"/>
        <v>0.93</v>
      </c>
    </row>
    <row r="335" spans="1:18" x14ac:dyDescent="0.2">
      <c r="A335" t="s">
        <v>740</v>
      </c>
      <c r="B335" t="s">
        <v>741</v>
      </c>
      <c r="C335" t="str">
        <f t="shared" si="117"/>
        <v>Patricia Miller</v>
      </c>
      <c r="D335" t="s">
        <v>10</v>
      </c>
      <c r="E335" t="str">
        <f t="shared" si="118"/>
        <v>Female</v>
      </c>
      <c r="F335">
        <v>33</v>
      </c>
      <c r="G335" t="s">
        <v>18</v>
      </c>
      <c r="H335" t="s">
        <v>19</v>
      </c>
      <c r="I335" t="s">
        <v>13</v>
      </c>
      <c r="J335">
        <v>8</v>
      </c>
      <c r="K335" t="str" cm="1">
        <f t="array" ref="K335">_xlfn.IFS( J335&lt;=5,"0-5", J335&lt;=10,"6-10",J335&lt;=15,"11-15",J335&lt;=20,"16-20",J335&gt;20,"20+")</f>
        <v>6-10</v>
      </c>
      <c r="L335" t="s">
        <v>99</v>
      </c>
      <c r="M335" t="str">
        <f t="shared" ref="M335:M336" si="127">_xlfn.TEXTAFTER(L335, " ")</f>
        <v>30</v>
      </c>
      <c r="N335">
        <v>3.6</v>
      </c>
      <c r="O335">
        <v>1</v>
      </c>
    </row>
    <row r="336" spans="1:18" x14ac:dyDescent="0.2">
      <c r="A336" t="s">
        <v>742</v>
      </c>
      <c r="B336" t="s">
        <v>743</v>
      </c>
      <c r="C336" t="str">
        <f t="shared" si="117"/>
        <v>Rebecca Schneider</v>
      </c>
      <c r="D336" t="s">
        <v>67</v>
      </c>
      <c r="E336" t="str">
        <f t="shared" si="118"/>
        <v>Female</v>
      </c>
      <c r="F336">
        <v>21</v>
      </c>
      <c r="G336" t="s">
        <v>61</v>
      </c>
      <c r="H336" t="s">
        <v>62</v>
      </c>
      <c r="I336" t="s">
        <v>25</v>
      </c>
      <c r="J336">
        <v>1</v>
      </c>
      <c r="K336" t="str" cm="1">
        <f t="array" ref="K336">_xlfn.IFS( J336&lt;=5,"0-5", J336&lt;=10,"6-10",J336&lt;=15,"11-15",J336&lt;=20,"16-20",J336&gt;20,"20+")</f>
        <v>0-5</v>
      </c>
      <c r="L336" t="s">
        <v>304</v>
      </c>
      <c r="M336" t="str">
        <f t="shared" si="127"/>
        <v>20</v>
      </c>
      <c r="O336" t="b">
        <v>0</v>
      </c>
      <c r="Q336" s="1">
        <v>0.99</v>
      </c>
      <c r="R336" s="1">
        <f>Q336</f>
        <v>0.99</v>
      </c>
    </row>
    <row r="337" spans="1:18" x14ac:dyDescent="0.2">
      <c r="A337" t="s">
        <v>744</v>
      </c>
      <c r="B337" t="s">
        <v>745</v>
      </c>
      <c r="C337" t="str">
        <f t="shared" si="117"/>
        <v>John Greene</v>
      </c>
      <c r="D337" t="s">
        <v>17</v>
      </c>
      <c r="E337" t="str">
        <f t="shared" si="118"/>
        <v>Male</v>
      </c>
      <c r="F337">
        <v>54</v>
      </c>
      <c r="G337" t="s">
        <v>57</v>
      </c>
      <c r="H337" t="s">
        <v>12</v>
      </c>
      <c r="I337" t="s">
        <v>63</v>
      </c>
      <c r="J337">
        <v>20</v>
      </c>
      <c r="K337" t="str" cm="1">
        <f t="array" ref="K337">_xlfn.IFS( J337&lt;=5,"0-5", J337&lt;=10,"6-10",J337&lt;=15,"11-15",J337&lt;=20,"16-20",J337&gt;20,"20+")</f>
        <v>16-20</v>
      </c>
      <c r="L337">
        <v>50</v>
      </c>
      <c r="M337" s="2">
        <f t="shared" ref="M337:M340" si="128">L337</f>
        <v>50</v>
      </c>
      <c r="N337">
        <v>4.4000000000000004</v>
      </c>
      <c r="O337">
        <v>0</v>
      </c>
      <c r="P337" t="s">
        <v>2074</v>
      </c>
      <c r="Q337">
        <v>73</v>
      </c>
      <c r="R337" s="3">
        <f>Q337/100</f>
        <v>0.73</v>
      </c>
    </row>
    <row r="338" spans="1:18" x14ac:dyDescent="0.2">
      <c r="A338" t="s">
        <v>746</v>
      </c>
      <c r="B338" t="s">
        <v>747</v>
      </c>
      <c r="C338" t="str">
        <f t="shared" si="117"/>
        <v>Brittany Mcdowell</v>
      </c>
      <c r="D338" t="s">
        <v>67</v>
      </c>
      <c r="E338" t="str">
        <f t="shared" si="118"/>
        <v>Female</v>
      </c>
      <c r="F338">
        <v>33</v>
      </c>
      <c r="G338" t="s">
        <v>48</v>
      </c>
      <c r="H338" t="s">
        <v>12</v>
      </c>
      <c r="I338" t="s">
        <v>20</v>
      </c>
      <c r="J338">
        <v>11</v>
      </c>
      <c r="K338" t="str" cm="1">
        <f t="array" ref="K338">_xlfn.IFS( J338&lt;=5,"0-5", J338&lt;=10,"6-10",J338&lt;=15,"11-15",J338&lt;=20,"16-20",J338&gt;20,"20+")</f>
        <v>11-15</v>
      </c>
      <c r="L338">
        <v>75</v>
      </c>
      <c r="M338" s="2">
        <f t="shared" si="128"/>
        <v>75</v>
      </c>
      <c r="N338">
        <v>2.1</v>
      </c>
      <c r="O338">
        <v>0</v>
      </c>
      <c r="P338" t="s">
        <v>2074</v>
      </c>
      <c r="Q338" s="1">
        <v>0.96</v>
      </c>
      <c r="R338" s="1">
        <f t="shared" ref="R338:R340" si="129">Q338</f>
        <v>0.96</v>
      </c>
    </row>
    <row r="339" spans="1:18" x14ac:dyDescent="0.2">
      <c r="A339" t="s">
        <v>748</v>
      </c>
      <c r="B339" t="s">
        <v>749</v>
      </c>
      <c r="C339" t="str">
        <f t="shared" si="117"/>
        <v>Lori Miller</v>
      </c>
      <c r="D339" t="s">
        <v>67</v>
      </c>
      <c r="E339" t="str">
        <f t="shared" si="118"/>
        <v>Female</v>
      </c>
      <c r="F339">
        <v>57</v>
      </c>
      <c r="G339" t="s">
        <v>52</v>
      </c>
      <c r="H339" t="s">
        <v>53</v>
      </c>
      <c r="I339" t="s">
        <v>41</v>
      </c>
      <c r="J339">
        <v>2</v>
      </c>
      <c r="K339" t="str" cm="1">
        <f t="array" ref="K339">_xlfn.IFS( J339&lt;=5,"0-5", J339&lt;=10,"6-10",J339&lt;=15,"11-15",J339&lt;=20,"16-20",J339&gt;20,"20+")</f>
        <v>0-5</v>
      </c>
      <c r="L339">
        <v>40</v>
      </c>
      <c r="M339" s="2">
        <f t="shared" si="128"/>
        <v>40</v>
      </c>
      <c r="N339">
        <v>0</v>
      </c>
      <c r="O339" t="b">
        <v>0</v>
      </c>
      <c r="P339" t="s">
        <v>2074</v>
      </c>
      <c r="Q339" s="1">
        <v>0.6</v>
      </c>
      <c r="R339" s="1">
        <f t="shared" si="129"/>
        <v>0.6</v>
      </c>
    </row>
    <row r="340" spans="1:18" x14ac:dyDescent="0.2">
      <c r="A340" t="s">
        <v>750</v>
      </c>
      <c r="B340" t="s">
        <v>751</v>
      </c>
      <c r="C340" t="str">
        <f t="shared" si="117"/>
        <v>Joseph Robinson</v>
      </c>
      <c r="D340" t="s">
        <v>82</v>
      </c>
      <c r="E340" t="str">
        <f t="shared" si="118"/>
        <v>Male</v>
      </c>
      <c r="F340">
        <v>36</v>
      </c>
      <c r="G340" t="s">
        <v>102</v>
      </c>
      <c r="H340" t="s">
        <v>103</v>
      </c>
      <c r="I340" t="s">
        <v>20</v>
      </c>
      <c r="J340">
        <v>6</v>
      </c>
      <c r="K340" t="str" cm="1">
        <f t="array" ref="K340">_xlfn.IFS( J340&lt;=5,"0-5", J340&lt;=10,"6-10",J340&lt;=15,"11-15",J340&lt;=20,"16-20",J340&gt;20,"20+")</f>
        <v>6-10</v>
      </c>
      <c r="L340">
        <v>20</v>
      </c>
      <c r="M340" s="2">
        <f t="shared" si="128"/>
        <v>20</v>
      </c>
      <c r="N340">
        <v>1</v>
      </c>
      <c r="O340" t="s">
        <v>64</v>
      </c>
      <c r="P340" t="s">
        <v>2075</v>
      </c>
      <c r="Q340" s="1">
        <v>0.64</v>
      </c>
      <c r="R340" s="1">
        <f t="shared" si="129"/>
        <v>0.64</v>
      </c>
    </row>
    <row r="341" spans="1:18" x14ac:dyDescent="0.2">
      <c r="A341" t="s">
        <v>752</v>
      </c>
      <c r="B341" t="s">
        <v>753</v>
      </c>
      <c r="C341" t="str">
        <f t="shared" si="117"/>
        <v>Aaron Pruitt</v>
      </c>
      <c r="D341" t="s">
        <v>87</v>
      </c>
      <c r="E341" t="str">
        <f t="shared" si="118"/>
        <v>Male</v>
      </c>
      <c r="F341">
        <v>50</v>
      </c>
      <c r="G341" t="s">
        <v>18</v>
      </c>
      <c r="H341" t="s">
        <v>19</v>
      </c>
      <c r="I341" t="s">
        <v>7</v>
      </c>
      <c r="J341">
        <v>20</v>
      </c>
      <c r="K341" t="str" cm="1">
        <f t="array" ref="K341">_xlfn.IFS( J341&lt;=5,"0-5", J341&lt;=10,"6-10",J341&lt;=15,"11-15",J341&lt;=20,"16-20",J341&gt;20,"20+")</f>
        <v>16-20</v>
      </c>
      <c r="L341" t="s">
        <v>99</v>
      </c>
      <c r="M341" t="str">
        <f t="shared" ref="M341:M342" si="130">_xlfn.TEXTAFTER(L341, " ")</f>
        <v>30</v>
      </c>
      <c r="N341">
        <v>0</v>
      </c>
      <c r="O341">
        <v>0</v>
      </c>
    </row>
    <row r="342" spans="1:18" x14ac:dyDescent="0.2">
      <c r="A342" t="s">
        <v>754</v>
      </c>
      <c r="B342" t="s">
        <v>755</v>
      </c>
      <c r="C342" t="str">
        <f t="shared" si="117"/>
        <v>Victoria Miller</v>
      </c>
      <c r="D342" t="s">
        <v>4</v>
      </c>
      <c r="E342" t="str">
        <f t="shared" si="118"/>
        <v>Female</v>
      </c>
      <c r="F342">
        <v>37</v>
      </c>
      <c r="G342" t="s">
        <v>118</v>
      </c>
      <c r="H342" t="s">
        <v>12</v>
      </c>
      <c r="I342" t="s">
        <v>79</v>
      </c>
      <c r="K342" t="str" cm="1">
        <f t="array" ref="K342">_xlfn.IFS( J342&lt;=5,"0-5", J342&lt;=10,"6-10",J342&lt;=15,"11-15",J342&lt;=20,"16-20",J342&gt;20,"20+")</f>
        <v>0-5</v>
      </c>
      <c r="L342" t="s">
        <v>304</v>
      </c>
      <c r="M342" t="str">
        <f t="shared" si="130"/>
        <v>20</v>
      </c>
      <c r="N342">
        <v>4.9000000000000004</v>
      </c>
      <c r="O342" t="s">
        <v>21</v>
      </c>
    </row>
    <row r="343" spans="1:18" x14ac:dyDescent="0.2">
      <c r="A343" t="s">
        <v>756</v>
      </c>
      <c r="B343" t="s">
        <v>757</v>
      </c>
      <c r="C343" t="str">
        <f t="shared" si="117"/>
        <v>Clarence Vega</v>
      </c>
      <c r="D343" t="s">
        <v>82</v>
      </c>
      <c r="E343" t="str">
        <f t="shared" si="118"/>
        <v>Male</v>
      </c>
      <c r="F343">
        <v>53</v>
      </c>
      <c r="G343" t="s">
        <v>5</v>
      </c>
      <c r="H343" t="s">
        <v>6</v>
      </c>
      <c r="I343" t="s">
        <v>34</v>
      </c>
      <c r="J343">
        <v>4</v>
      </c>
      <c r="K343" t="str" cm="1">
        <f t="array" ref="K343">_xlfn.IFS( J343&lt;=5,"0-5", J343&lt;=10,"6-10",J343&lt;=15,"11-15",J343&lt;=20,"16-20",J343&gt;20,"20+")</f>
        <v>0-5</v>
      </c>
      <c r="L343">
        <v>30</v>
      </c>
      <c r="M343" s="2">
        <f>L343</f>
        <v>30</v>
      </c>
      <c r="N343">
        <v>4.7</v>
      </c>
      <c r="O343" t="s">
        <v>149</v>
      </c>
      <c r="P343" t="s">
        <v>2074</v>
      </c>
      <c r="Q343" s="1">
        <v>0.99</v>
      </c>
      <c r="R343" s="1">
        <f>Q343</f>
        <v>0.99</v>
      </c>
    </row>
    <row r="344" spans="1:18" x14ac:dyDescent="0.2">
      <c r="A344" t="s">
        <v>758</v>
      </c>
      <c r="B344" t="s">
        <v>759</v>
      </c>
      <c r="C344" t="str">
        <f t="shared" si="117"/>
        <v>Deborah Day</v>
      </c>
      <c r="D344" t="s">
        <v>67</v>
      </c>
      <c r="E344" t="str">
        <f t="shared" si="118"/>
        <v>Female</v>
      </c>
      <c r="F344">
        <v>22</v>
      </c>
      <c r="G344" t="s">
        <v>5</v>
      </c>
      <c r="H344" t="s">
        <v>6</v>
      </c>
      <c r="I344" t="s">
        <v>7</v>
      </c>
      <c r="J344">
        <v>3</v>
      </c>
      <c r="K344" t="str" cm="1">
        <f t="array" ref="K344">_xlfn.IFS( J344&lt;=5,"0-5", J344&lt;=10,"6-10",J344&lt;=15,"11-15",J344&lt;=20,"16-20",J344&gt;20,"20+")</f>
        <v>0-5</v>
      </c>
      <c r="L344" t="s">
        <v>45</v>
      </c>
      <c r="M344" t="str">
        <f>_xlfn.TEXTAFTER(L344, " ")</f>
        <v>40</v>
      </c>
      <c r="N344">
        <v>2.1</v>
      </c>
      <c r="O344">
        <v>0</v>
      </c>
    </row>
    <row r="345" spans="1:18" x14ac:dyDescent="0.2">
      <c r="A345" t="s">
        <v>760</v>
      </c>
      <c r="B345" t="s">
        <v>761</v>
      </c>
      <c r="C345" t="str">
        <f t="shared" si="117"/>
        <v>Nicole Rocha</v>
      </c>
      <c r="D345" t="s">
        <v>67</v>
      </c>
      <c r="E345" t="str">
        <f t="shared" si="118"/>
        <v>Female</v>
      </c>
      <c r="F345">
        <v>55</v>
      </c>
      <c r="G345" t="s">
        <v>32</v>
      </c>
      <c r="H345" t="s">
        <v>33</v>
      </c>
      <c r="I345" t="s">
        <v>13</v>
      </c>
      <c r="J345">
        <v>33</v>
      </c>
      <c r="K345" t="str" cm="1">
        <f t="array" ref="K345">_xlfn.IFS( J345&lt;=5,"0-5", J345&lt;=10,"6-10",J345&lt;=15,"11-15",J345&lt;=20,"16-20",J345&gt;20,"20+")</f>
        <v>20+</v>
      </c>
      <c r="L345">
        <v>40</v>
      </c>
      <c r="M345" s="2">
        <f>L345</f>
        <v>40</v>
      </c>
      <c r="N345">
        <v>1.5</v>
      </c>
      <c r="O345" t="s">
        <v>64</v>
      </c>
      <c r="P345" t="s">
        <v>2075</v>
      </c>
      <c r="Q345" s="1">
        <v>0.71</v>
      </c>
      <c r="R345" s="1">
        <f t="shared" ref="R345:R348" si="131">Q345</f>
        <v>0.71</v>
      </c>
    </row>
    <row r="346" spans="1:18" x14ac:dyDescent="0.2">
      <c r="A346" t="s">
        <v>762</v>
      </c>
      <c r="B346" t="s">
        <v>763</v>
      </c>
      <c r="C346" t="str">
        <f t="shared" si="117"/>
        <v>Elijah Green</v>
      </c>
      <c r="D346" t="s">
        <v>51</v>
      </c>
      <c r="E346" t="str">
        <f t="shared" si="118"/>
        <v>Male</v>
      </c>
      <c r="F346">
        <v>22</v>
      </c>
      <c r="G346" t="s">
        <v>11</v>
      </c>
      <c r="H346" t="s">
        <v>12</v>
      </c>
      <c r="I346" t="s">
        <v>68</v>
      </c>
      <c r="J346">
        <v>1</v>
      </c>
      <c r="K346" t="str" cm="1">
        <f t="array" ref="K346">_xlfn.IFS( J346&lt;=5,"0-5", J346&lt;=10,"6-10",J346&lt;=15,"11-15",J346&lt;=20,"16-20",J346&gt;20,"20+")</f>
        <v>0-5</v>
      </c>
      <c r="M346"/>
      <c r="N346">
        <v>2.6</v>
      </c>
      <c r="O346">
        <v>0</v>
      </c>
      <c r="Q346" s="1">
        <v>0.72</v>
      </c>
      <c r="R346" s="1">
        <f t="shared" si="131"/>
        <v>0.72</v>
      </c>
    </row>
    <row r="347" spans="1:18" x14ac:dyDescent="0.2">
      <c r="A347" t="s">
        <v>764</v>
      </c>
      <c r="B347" t="s">
        <v>765</v>
      </c>
      <c r="C347" t="str">
        <f t="shared" si="117"/>
        <v>Emily Johnson</v>
      </c>
      <c r="D347" t="s">
        <v>4</v>
      </c>
      <c r="E347" t="str">
        <f t="shared" si="118"/>
        <v>Female</v>
      </c>
      <c r="F347">
        <v>45</v>
      </c>
      <c r="G347" t="s">
        <v>52</v>
      </c>
      <c r="H347" t="s">
        <v>53</v>
      </c>
      <c r="I347" t="s">
        <v>25</v>
      </c>
      <c r="J347">
        <v>23</v>
      </c>
      <c r="K347" t="str" cm="1">
        <f t="array" ref="K347">_xlfn.IFS( J347&lt;=5,"0-5", J347&lt;=10,"6-10",J347&lt;=15,"11-15",J347&lt;=20,"16-20",J347&gt;20,"20+")</f>
        <v>20+</v>
      </c>
      <c r="L347" t="s">
        <v>88</v>
      </c>
      <c r="M347" t="str">
        <f>_xlfn.TEXTAFTER(L347, " ")</f>
        <v>50</v>
      </c>
      <c r="N347">
        <v>0</v>
      </c>
      <c r="O347">
        <v>0</v>
      </c>
      <c r="Q347" s="1">
        <v>0.66</v>
      </c>
      <c r="R347" s="1">
        <f t="shared" si="131"/>
        <v>0.66</v>
      </c>
    </row>
    <row r="348" spans="1:18" x14ac:dyDescent="0.2">
      <c r="A348" t="s">
        <v>766</v>
      </c>
      <c r="B348" t="s">
        <v>767</v>
      </c>
      <c r="C348" t="str">
        <f t="shared" si="117"/>
        <v>Richard Velasquez Jr.</v>
      </c>
      <c r="D348" t="s">
        <v>82</v>
      </c>
      <c r="E348" t="str">
        <f t="shared" si="118"/>
        <v>Male</v>
      </c>
      <c r="F348">
        <v>36</v>
      </c>
      <c r="G348" t="s">
        <v>125</v>
      </c>
      <c r="H348" t="s">
        <v>126</v>
      </c>
      <c r="I348" t="s">
        <v>41</v>
      </c>
      <c r="J348">
        <v>13</v>
      </c>
      <c r="K348" t="str" cm="1">
        <f t="array" ref="K348">_xlfn.IFS( J348&lt;=5,"0-5", J348&lt;=10,"6-10",J348&lt;=15,"11-15",J348&lt;=20,"16-20",J348&gt;20,"20+")</f>
        <v>11-15</v>
      </c>
      <c r="L348">
        <v>40</v>
      </c>
      <c r="M348" s="2">
        <f>L348</f>
        <v>40</v>
      </c>
      <c r="O348" t="s">
        <v>21</v>
      </c>
      <c r="P348" t="s">
        <v>2074</v>
      </c>
      <c r="Q348" s="1">
        <v>0.78</v>
      </c>
      <c r="R348" s="1">
        <f t="shared" si="131"/>
        <v>0.78</v>
      </c>
    </row>
    <row r="349" spans="1:18" x14ac:dyDescent="0.2">
      <c r="A349" t="s">
        <v>768</v>
      </c>
      <c r="B349" t="s">
        <v>769</v>
      </c>
      <c r="C349" t="str">
        <f t="shared" si="117"/>
        <v>Kurt Wilson</v>
      </c>
      <c r="D349" t="s">
        <v>38</v>
      </c>
      <c r="E349" t="str">
        <f t="shared" si="118"/>
        <v>Male</v>
      </c>
      <c r="F349">
        <v>23</v>
      </c>
      <c r="G349" t="s">
        <v>11</v>
      </c>
      <c r="H349" t="s">
        <v>12</v>
      </c>
      <c r="I349" t="s">
        <v>79</v>
      </c>
      <c r="J349">
        <v>1</v>
      </c>
      <c r="K349" t="str" cm="1">
        <f t="array" ref="K349">_xlfn.IFS( J349&lt;=5,"0-5", J349&lt;=10,"6-10",J349&lt;=15,"11-15",J349&lt;=20,"16-20",J349&gt;20,"20+")</f>
        <v>0-5</v>
      </c>
      <c r="L349" t="s">
        <v>304</v>
      </c>
      <c r="M349" t="str">
        <f>_xlfn.TEXTAFTER(L349, " ")</f>
        <v>20</v>
      </c>
      <c r="N349">
        <v>4</v>
      </c>
      <c r="O349" t="s">
        <v>64</v>
      </c>
      <c r="Q349">
        <v>100</v>
      </c>
      <c r="R349" s="3">
        <f>Q349/100</f>
        <v>1</v>
      </c>
    </row>
    <row r="350" spans="1:18" x14ac:dyDescent="0.2">
      <c r="A350" t="s">
        <v>770</v>
      </c>
      <c r="B350" t="s">
        <v>771</v>
      </c>
      <c r="C350" t="str">
        <f t="shared" si="117"/>
        <v>Jeremiah Rodriguez</v>
      </c>
      <c r="D350" t="s">
        <v>82</v>
      </c>
      <c r="E350" t="str">
        <f t="shared" si="118"/>
        <v>Male</v>
      </c>
      <c r="F350">
        <v>55</v>
      </c>
      <c r="G350" t="s">
        <v>5</v>
      </c>
      <c r="H350" t="s">
        <v>6</v>
      </c>
      <c r="I350" t="s">
        <v>79</v>
      </c>
      <c r="J350">
        <v>15</v>
      </c>
      <c r="K350" t="str" cm="1">
        <f t="array" ref="K350">_xlfn.IFS( J350&lt;=5,"0-5", J350&lt;=10,"6-10",J350&lt;=15,"11-15",J350&lt;=20,"16-20",J350&gt;20,"20+")</f>
        <v>11-15</v>
      </c>
      <c r="L350">
        <v>40</v>
      </c>
      <c r="M350" s="2">
        <f t="shared" ref="M350:M352" si="132">L350</f>
        <v>40</v>
      </c>
      <c r="N350">
        <v>4.5</v>
      </c>
    </row>
    <row r="351" spans="1:18" x14ac:dyDescent="0.2">
      <c r="A351" t="s">
        <v>772</v>
      </c>
      <c r="B351" t="s">
        <v>773</v>
      </c>
      <c r="C351" t="str">
        <f t="shared" si="117"/>
        <v>Lauren Lang</v>
      </c>
      <c r="D351" t="s">
        <v>24</v>
      </c>
      <c r="E351" t="str">
        <f t="shared" si="118"/>
        <v>Female</v>
      </c>
      <c r="F351">
        <v>50</v>
      </c>
      <c r="G351" t="s">
        <v>97</v>
      </c>
      <c r="H351" t="s">
        <v>98</v>
      </c>
      <c r="I351" t="s">
        <v>13</v>
      </c>
      <c r="J351">
        <v>18</v>
      </c>
      <c r="K351" t="str" cm="1">
        <f t="array" ref="K351">_xlfn.IFS( J351&lt;=5,"0-5", J351&lt;=10,"6-10",J351&lt;=15,"11-15",J351&lt;=20,"16-20",J351&gt;20,"20+")</f>
        <v>16-20</v>
      </c>
      <c r="L351">
        <v>75</v>
      </c>
      <c r="M351" s="2">
        <f t="shared" si="132"/>
        <v>75</v>
      </c>
      <c r="N351">
        <v>3.8</v>
      </c>
      <c r="O351">
        <v>0</v>
      </c>
      <c r="P351" t="s">
        <v>2074</v>
      </c>
      <c r="Q351">
        <v>67</v>
      </c>
      <c r="R351" s="3">
        <f>Q351/100</f>
        <v>0.67</v>
      </c>
    </row>
    <row r="352" spans="1:18" x14ac:dyDescent="0.2">
      <c r="A352" t="s">
        <v>774</v>
      </c>
      <c r="B352" t="s">
        <v>775</v>
      </c>
      <c r="C352" t="str">
        <f t="shared" si="117"/>
        <v>Matthew Phillips</v>
      </c>
      <c r="D352" t="s">
        <v>17</v>
      </c>
      <c r="E352" t="str">
        <f t="shared" si="118"/>
        <v>Male</v>
      </c>
      <c r="F352">
        <v>48</v>
      </c>
      <c r="G352" t="s">
        <v>48</v>
      </c>
      <c r="H352" t="s">
        <v>12</v>
      </c>
      <c r="I352" t="s">
        <v>104</v>
      </c>
      <c r="J352">
        <v>21</v>
      </c>
      <c r="K352" t="str" cm="1">
        <f t="array" ref="K352">_xlfn.IFS( J352&lt;=5,"0-5", J352&lt;=10,"6-10",J352&lt;=15,"11-15",J352&lt;=20,"16-20",J352&gt;20,"20+")</f>
        <v>20+</v>
      </c>
      <c r="L352">
        <v>50</v>
      </c>
      <c r="M352" s="2">
        <f t="shared" si="132"/>
        <v>50</v>
      </c>
      <c r="N352">
        <v>4</v>
      </c>
      <c r="O352">
        <v>0</v>
      </c>
      <c r="P352" t="s">
        <v>2074</v>
      </c>
      <c r="Q352" s="1">
        <v>0.78</v>
      </c>
      <c r="R352" s="1">
        <f t="shared" ref="R352:R356" si="133">Q352</f>
        <v>0.78</v>
      </c>
    </row>
    <row r="353" spans="1:18" x14ac:dyDescent="0.2">
      <c r="A353" t="s">
        <v>776</v>
      </c>
      <c r="B353" t="s">
        <v>777</v>
      </c>
      <c r="C353" t="str">
        <f t="shared" si="117"/>
        <v>Michael Andersen</v>
      </c>
      <c r="D353" t="s">
        <v>51</v>
      </c>
      <c r="E353" t="str">
        <f t="shared" si="118"/>
        <v>Male</v>
      </c>
      <c r="F353">
        <v>23</v>
      </c>
      <c r="G353" t="s">
        <v>32</v>
      </c>
      <c r="H353" t="s">
        <v>33</v>
      </c>
      <c r="I353" t="s">
        <v>79</v>
      </c>
      <c r="J353">
        <v>1</v>
      </c>
      <c r="K353" t="str" cm="1">
        <f t="array" ref="K353">_xlfn.IFS( J353&lt;=5,"0-5", J353&lt;=10,"6-10",J353&lt;=15,"11-15",J353&lt;=20,"16-20",J353&gt;20,"20+")</f>
        <v>0-5</v>
      </c>
      <c r="L353" t="s">
        <v>26</v>
      </c>
      <c r="M353" t="str">
        <f t="shared" ref="M353:M354" si="134">SUBSTITUTE(L353,"$"," ")</f>
        <v xml:space="preserve"> 40</v>
      </c>
      <c r="N353">
        <v>4.9000000000000004</v>
      </c>
      <c r="O353" t="s">
        <v>58</v>
      </c>
      <c r="Q353" s="1">
        <v>0.78</v>
      </c>
      <c r="R353" s="1">
        <f t="shared" si="133"/>
        <v>0.78</v>
      </c>
    </row>
    <row r="354" spans="1:18" x14ac:dyDescent="0.2">
      <c r="A354" t="s">
        <v>778</v>
      </c>
      <c r="B354" t="s">
        <v>779</v>
      </c>
      <c r="C354" t="str">
        <f t="shared" si="117"/>
        <v>Amanda Mayo</v>
      </c>
      <c r="D354" t="s">
        <v>4</v>
      </c>
      <c r="E354" t="str">
        <f t="shared" si="118"/>
        <v>Female</v>
      </c>
      <c r="F354">
        <v>49</v>
      </c>
      <c r="G354" t="s">
        <v>118</v>
      </c>
      <c r="H354" t="s">
        <v>12</v>
      </c>
      <c r="I354" t="s">
        <v>25</v>
      </c>
      <c r="J354">
        <v>25</v>
      </c>
      <c r="K354" t="str" cm="1">
        <f t="array" ref="K354">_xlfn.IFS( J354&lt;=5,"0-5", J354&lt;=10,"6-10",J354&lt;=15,"11-15",J354&lt;=20,"16-20",J354&gt;20,"20+")</f>
        <v>20+</v>
      </c>
      <c r="L354" t="s">
        <v>35</v>
      </c>
      <c r="M354" t="str">
        <f t="shared" si="134"/>
        <v xml:space="preserve"> 30</v>
      </c>
      <c r="N354">
        <v>3.4</v>
      </c>
      <c r="O354">
        <v>0</v>
      </c>
      <c r="Q354" s="1">
        <v>0.75</v>
      </c>
      <c r="R354" s="1">
        <f t="shared" si="133"/>
        <v>0.75</v>
      </c>
    </row>
    <row r="355" spans="1:18" x14ac:dyDescent="0.2">
      <c r="A355" t="s">
        <v>780</v>
      </c>
      <c r="B355" t="s">
        <v>781</v>
      </c>
      <c r="C355" t="str">
        <f t="shared" si="117"/>
        <v>Jessica Vance</v>
      </c>
      <c r="D355" t="s">
        <v>24</v>
      </c>
      <c r="E355" t="str">
        <f t="shared" si="118"/>
        <v>Female</v>
      </c>
      <c r="F355">
        <v>47</v>
      </c>
      <c r="G355" t="s">
        <v>5</v>
      </c>
      <c r="H355" t="s">
        <v>6</v>
      </c>
      <c r="I355" t="s">
        <v>68</v>
      </c>
      <c r="J355">
        <v>12</v>
      </c>
      <c r="K355" t="str" cm="1">
        <f t="array" ref="K355">_xlfn.IFS( J355&lt;=5,"0-5", J355&lt;=10,"6-10",J355&lt;=15,"11-15",J355&lt;=20,"16-20",J355&gt;20,"20+")</f>
        <v>11-15</v>
      </c>
      <c r="L355">
        <v>50</v>
      </c>
      <c r="M355" s="2">
        <f>L355</f>
        <v>50</v>
      </c>
      <c r="N355">
        <v>2.1</v>
      </c>
      <c r="O355" t="b">
        <v>1</v>
      </c>
      <c r="P355" t="s">
        <v>2075</v>
      </c>
      <c r="Q355" s="1">
        <v>0.67</v>
      </c>
      <c r="R355" s="1">
        <f t="shared" si="133"/>
        <v>0.67</v>
      </c>
    </row>
    <row r="356" spans="1:18" x14ac:dyDescent="0.2">
      <c r="A356" t="s">
        <v>782</v>
      </c>
      <c r="B356" t="s">
        <v>783</v>
      </c>
      <c r="C356" t="str">
        <f t="shared" si="117"/>
        <v>Alexa Gallegos</v>
      </c>
      <c r="D356" t="s">
        <v>67</v>
      </c>
      <c r="E356" t="str">
        <f t="shared" si="118"/>
        <v>Female</v>
      </c>
      <c r="F356">
        <v>56</v>
      </c>
      <c r="G356" t="s">
        <v>75</v>
      </c>
      <c r="H356" t="s">
        <v>76</v>
      </c>
      <c r="I356" t="s">
        <v>20</v>
      </c>
      <c r="J356">
        <v>32</v>
      </c>
      <c r="K356" t="str" cm="1">
        <f t="array" ref="K356">_xlfn.IFS( J356&lt;=5,"0-5", J356&lt;=10,"6-10",J356&lt;=15,"11-15",J356&lt;=20,"16-20",J356&gt;20,"20+")</f>
        <v>20+</v>
      </c>
      <c r="L356" t="s">
        <v>45</v>
      </c>
      <c r="M356" t="str">
        <f>_xlfn.TEXTAFTER(L356, " ")</f>
        <v>40</v>
      </c>
      <c r="N356">
        <v>0</v>
      </c>
      <c r="O356">
        <v>1</v>
      </c>
      <c r="Q356" s="1">
        <v>0.86</v>
      </c>
      <c r="R356" s="1">
        <f t="shared" si="133"/>
        <v>0.86</v>
      </c>
    </row>
    <row r="357" spans="1:18" x14ac:dyDescent="0.2">
      <c r="A357" t="s">
        <v>784</v>
      </c>
      <c r="B357" t="s">
        <v>785</v>
      </c>
      <c r="C357" t="str">
        <f t="shared" si="117"/>
        <v>Charles Pratt</v>
      </c>
      <c r="D357" t="s">
        <v>51</v>
      </c>
      <c r="E357" t="str">
        <f t="shared" si="118"/>
        <v>Male</v>
      </c>
      <c r="F357">
        <v>58</v>
      </c>
      <c r="G357" t="s">
        <v>61</v>
      </c>
      <c r="H357" t="s">
        <v>62</v>
      </c>
      <c r="I357" t="s">
        <v>63</v>
      </c>
      <c r="K357" t="str" cm="1">
        <f t="array" ref="K357">_xlfn.IFS( J357&lt;=5,"0-5", J357&lt;=10,"6-10",J357&lt;=15,"11-15",J357&lt;=20,"16-20",J357&gt;20,"20+")</f>
        <v>0-5</v>
      </c>
      <c r="L357">
        <v>100</v>
      </c>
      <c r="M357" s="2">
        <f>L357</f>
        <v>100</v>
      </c>
      <c r="N357">
        <v>4.5</v>
      </c>
      <c r="O357" t="s">
        <v>149</v>
      </c>
      <c r="P357" t="s">
        <v>2074</v>
      </c>
      <c r="Q357">
        <v>77</v>
      </c>
      <c r="R357" s="3">
        <f>Q357/100</f>
        <v>0.77</v>
      </c>
    </row>
    <row r="358" spans="1:18" x14ac:dyDescent="0.2">
      <c r="A358" t="s">
        <v>786</v>
      </c>
      <c r="B358" t="s">
        <v>787</v>
      </c>
      <c r="C358" t="str">
        <f t="shared" si="117"/>
        <v>Brian Baker</v>
      </c>
      <c r="D358" t="s">
        <v>38</v>
      </c>
      <c r="E358" t="str">
        <f t="shared" si="118"/>
        <v>Male</v>
      </c>
      <c r="F358">
        <v>32</v>
      </c>
      <c r="G358" t="s">
        <v>102</v>
      </c>
      <c r="H358" t="s">
        <v>103</v>
      </c>
      <c r="I358" t="s">
        <v>63</v>
      </c>
      <c r="J358">
        <v>10</v>
      </c>
      <c r="K358" t="str" cm="1">
        <f t="array" ref="K358">_xlfn.IFS( J358&lt;=5,"0-5", J358&lt;=10,"6-10",J358&lt;=15,"11-15",J358&lt;=20,"16-20",J358&gt;20,"20+")</f>
        <v>6-10</v>
      </c>
      <c r="L358" t="s">
        <v>35</v>
      </c>
      <c r="M358" t="str">
        <f>SUBSTITUTE(L358,"$"," ")</f>
        <v xml:space="preserve"> 30</v>
      </c>
      <c r="N358">
        <v>3.8</v>
      </c>
      <c r="O358">
        <v>0</v>
      </c>
      <c r="Q358" s="1">
        <v>0.61</v>
      </c>
      <c r="R358" s="1">
        <f t="shared" ref="R358:R364" si="135">Q358</f>
        <v>0.61</v>
      </c>
    </row>
    <row r="359" spans="1:18" x14ac:dyDescent="0.2">
      <c r="A359" t="s">
        <v>788</v>
      </c>
      <c r="B359" t="s">
        <v>789</v>
      </c>
      <c r="C359" t="str">
        <f t="shared" si="117"/>
        <v>Christina Norman</v>
      </c>
      <c r="D359" t="s">
        <v>67</v>
      </c>
      <c r="E359" t="str">
        <f t="shared" si="118"/>
        <v>Female</v>
      </c>
      <c r="F359">
        <v>52</v>
      </c>
      <c r="G359" t="s">
        <v>83</v>
      </c>
      <c r="H359" t="s">
        <v>84</v>
      </c>
      <c r="I359" t="s">
        <v>63</v>
      </c>
      <c r="J359">
        <v>0</v>
      </c>
      <c r="K359" t="str" cm="1">
        <f t="array" ref="K359">_xlfn.IFS( J359&lt;=5,"0-5", J359&lt;=10,"6-10",J359&lt;=15,"11-15",J359&lt;=20,"16-20",J359&gt;20,"20+")</f>
        <v>0-5</v>
      </c>
      <c r="M359"/>
      <c r="N359">
        <v>4.3</v>
      </c>
      <c r="O359">
        <v>0</v>
      </c>
      <c r="Q359" s="1">
        <v>0.9</v>
      </c>
      <c r="R359" s="1">
        <f t="shared" si="135"/>
        <v>0.9</v>
      </c>
    </row>
    <row r="360" spans="1:18" x14ac:dyDescent="0.2">
      <c r="A360" t="s">
        <v>790</v>
      </c>
      <c r="B360" t="s">
        <v>791</v>
      </c>
      <c r="C360" t="str">
        <f t="shared" si="117"/>
        <v>Laura Kelly</v>
      </c>
      <c r="D360" t="s">
        <v>10</v>
      </c>
      <c r="E360" t="str">
        <f t="shared" si="118"/>
        <v>Female</v>
      </c>
      <c r="F360">
        <v>22</v>
      </c>
      <c r="G360" t="s">
        <v>165</v>
      </c>
      <c r="H360" t="s">
        <v>166</v>
      </c>
      <c r="I360" t="s">
        <v>41</v>
      </c>
      <c r="J360">
        <v>1</v>
      </c>
      <c r="K360" t="str" cm="1">
        <f t="array" ref="K360">_xlfn.IFS( J360&lt;=5,"0-5", J360&lt;=10,"6-10",J360&lt;=15,"11-15",J360&lt;=20,"16-20",J360&gt;20,"20+")</f>
        <v>0-5</v>
      </c>
      <c r="L360">
        <v>50</v>
      </c>
      <c r="M360" s="2">
        <f t="shared" ref="M360:M361" si="136">L360</f>
        <v>50</v>
      </c>
      <c r="N360">
        <v>0</v>
      </c>
      <c r="Q360" s="1">
        <v>0.98</v>
      </c>
      <c r="R360" s="1">
        <f t="shared" si="135"/>
        <v>0.98</v>
      </c>
    </row>
    <row r="361" spans="1:18" x14ac:dyDescent="0.2">
      <c r="A361" t="s">
        <v>792</v>
      </c>
      <c r="B361" t="s">
        <v>793</v>
      </c>
      <c r="C361" t="str">
        <f t="shared" si="117"/>
        <v>John Webb</v>
      </c>
      <c r="D361" t="s">
        <v>87</v>
      </c>
      <c r="E361" t="str">
        <f t="shared" si="118"/>
        <v>Male</v>
      </c>
      <c r="F361">
        <v>20</v>
      </c>
      <c r="G361" t="s">
        <v>83</v>
      </c>
      <c r="H361" t="s">
        <v>84</v>
      </c>
      <c r="I361" t="s">
        <v>68</v>
      </c>
      <c r="J361">
        <v>2</v>
      </c>
      <c r="K361" t="str" cm="1">
        <f t="array" ref="K361">_xlfn.IFS( J361&lt;=5,"0-5", J361&lt;=10,"6-10",J361&lt;=15,"11-15",J361&lt;=20,"16-20",J361&gt;20,"20+")</f>
        <v>0-5</v>
      </c>
      <c r="L361">
        <v>30</v>
      </c>
      <c r="M361" s="2">
        <f t="shared" si="136"/>
        <v>30</v>
      </c>
      <c r="O361">
        <v>1</v>
      </c>
      <c r="P361" t="s">
        <v>2075</v>
      </c>
      <c r="Q361" s="1">
        <v>0.99</v>
      </c>
      <c r="R361" s="1">
        <f t="shared" si="135"/>
        <v>0.99</v>
      </c>
    </row>
    <row r="362" spans="1:18" x14ac:dyDescent="0.2">
      <c r="A362" t="s">
        <v>794</v>
      </c>
      <c r="B362" t="s">
        <v>795</v>
      </c>
      <c r="C362" t="str">
        <f t="shared" si="117"/>
        <v>Christopher Burton</v>
      </c>
      <c r="D362" t="s">
        <v>82</v>
      </c>
      <c r="E362" t="str">
        <f t="shared" si="118"/>
        <v>Male</v>
      </c>
      <c r="F362">
        <v>56</v>
      </c>
      <c r="G362" t="s">
        <v>32</v>
      </c>
      <c r="H362" t="s">
        <v>33</v>
      </c>
      <c r="I362" t="s">
        <v>41</v>
      </c>
      <c r="J362">
        <v>9</v>
      </c>
      <c r="K362" t="str" cm="1">
        <f t="array" ref="K362">_xlfn.IFS( J362&lt;=5,"0-5", J362&lt;=10,"6-10",J362&lt;=15,"11-15",J362&lt;=20,"16-20",J362&gt;20,"20+")</f>
        <v>6-10</v>
      </c>
      <c r="L362" t="s">
        <v>45</v>
      </c>
      <c r="M362" t="str">
        <f t="shared" ref="M362:M363" si="137">_xlfn.TEXTAFTER(L362, " ")</f>
        <v>40</v>
      </c>
      <c r="N362">
        <v>2.6</v>
      </c>
      <c r="O362">
        <v>0</v>
      </c>
      <c r="Q362" s="1">
        <v>0.61</v>
      </c>
      <c r="R362" s="1">
        <f t="shared" si="135"/>
        <v>0.61</v>
      </c>
    </row>
    <row r="363" spans="1:18" x14ac:dyDescent="0.2">
      <c r="A363" t="s">
        <v>796</v>
      </c>
      <c r="B363" t="s">
        <v>797</v>
      </c>
      <c r="C363" t="str">
        <f t="shared" si="117"/>
        <v>Bradley Aguilar</v>
      </c>
      <c r="D363" t="s">
        <v>87</v>
      </c>
      <c r="E363" t="str">
        <f t="shared" si="118"/>
        <v>Male</v>
      </c>
      <c r="F363">
        <v>41</v>
      </c>
      <c r="G363" t="s">
        <v>75</v>
      </c>
      <c r="H363" t="s">
        <v>76</v>
      </c>
      <c r="I363" t="s">
        <v>41</v>
      </c>
      <c r="J363">
        <v>22</v>
      </c>
      <c r="K363" t="str" cm="1">
        <f t="array" ref="K363">_xlfn.IFS( J363&lt;=5,"0-5", J363&lt;=10,"6-10",J363&lt;=15,"11-15",J363&lt;=20,"16-20",J363&gt;20,"20+")</f>
        <v>20+</v>
      </c>
      <c r="L363" t="s">
        <v>88</v>
      </c>
      <c r="M363" t="str">
        <f t="shared" si="137"/>
        <v>50</v>
      </c>
      <c r="N363">
        <v>1.6</v>
      </c>
      <c r="O363">
        <v>1</v>
      </c>
      <c r="Q363" s="1">
        <v>0.61</v>
      </c>
      <c r="R363" s="1">
        <f t="shared" si="135"/>
        <v>0.61</v>
      </c>
    </row>
    <row r="364" spans="1:18" x14ac:dyDescent="0.2">
      <c r="A364" t="s">
        <v>798</v>
      </c>
      <c r="B364" t="s">
        <v>799</v>
      </c>
      <c r="C364" t="str">
        <f t="shared" si="117"/>
        <v>Arthur Vasquez</v>
      </c>
      <c r="D364" t="s">
        <v>87</v>
      </c>
      <c r="E364" t="str">
        <f t="shared" si="118"/>
        <v>Male</v>
      </c>
      <c r="F364">
        <v>25</v>
      </c>
      <c r="G364" t="s">
        <v>61</v>
      </c>
      <c r="H364" t="s">
        <v>62</v>
      </c>
      <c r="I364" t="s">
        <v>7</v>
      </c>
      <c r="J364">
        <v>5</v>
      </c>
      <c r="K364" t="str" cm="1">
        <f t="array" ref="K364">_xlfn.IFS( J364&lt;=5,"0-5", J364&lt;=10,"6-10",J364&lt;=15,"11-15",J364&lt;=20,"16-20",J364&gt;20,"20+")</f>
        <v>0-5</v>
      </c>
      <c r="L364" t="s">
        <v>35</v>
      </c>
      <c r="M364" t="str">
        <f>SUBSTITUTE(L364,"$"," ")</f>
        <v xml:space="preserve"> 30</v>
      </c>
      <c r="N364">
        <v>2.2999999999999998</v>
      </c>
      <c r="O364">
        <v>0</v>
      </c>
      <c r="Q364" s="1">
        <v>0.91</v>
      </c>
      <c r="R364" s="1">
        <f t="shared" si="135"/>
        <v>0.91</v>
      </c>
    </row>
    <row r="365" spans="1:18" x14ac:dyDescent="0.2">
      <c r="A365" t="s">
        <v>800</v>
      </c>
      <c r="B365" t="s">
        <v>801</v>
      </c>
      <c r="C365" t="str">
        <f t="shared" si="117"/>
        <v>Angela Castro</v>
      </c>
      <c r="D365" t="s">
        <v>10</v>
      </c>
      <c r="E365" t="str">
        <f t="shared" si="118"/>
        <v>Female</v>
      </c>
      <c r="F365">
        <v>44</v>
      </c>
      <c r="G365" t="s">
        <v>118</v>
      </c>
      <c r="H365" t="s">
        <v>12</v>
      </c>
      <c r="I365" t="s">
        <v>68</v>
      </c>
      <c r="J365">
        <v>6</v>
      </c>
      <c r="K365" t="str" cm="1">
        <f t="array" ref="K365">_xlfn.IFS( J365&lt;=5,"0-5", J365&lt;=10,"6-10",J365&lt;=15,"11-15",J365&lt;=20,"16-20",J365&gt;20,"20+")</f>
        <v>6-10</v>
      </c>
      <c r="L365">
        <v>75</v>
      </c>
      <c r="M365" s="2">
        <f>L365</f>
        <v>75</v>
      </c>
      <c r="N365">
        <v>4.5999999999999996</v>
      </c>
      <c r="O365" t="s">
        <v>64</v>
      </c>
      <c r="P365" t="s">
        <v>2075</v>
      </c>
      <c r="Q365">
        <v>72</v>
      </c>
      <c r="R365" s="3">
        <f>Q365/100</f>
        <v>0.72</v>
      </c>
    </row>
    <row r="366" spans="1:18" x14ac:dyDescent="0.2">
      <c r="A366" t="s">
        <v>802</v>
      </c>
      <c r="B366" t="s">
        <v>803</v>
      </c>
      <c r="C366" t="str">
        <f t="shared" si="117"/>
        <v>Summer Yoder</v>
      </c>
      <c r="D366" t="s">
        <v>29</v>
      </c>
      <c r="E366" t="str">
        <f t="shared" si="118"/>
        <v>Female</v>
      </c>
      <c r="F366">
        <v>46</v>
      </c>
      <c r="G366" t="s">
        <v>11</v>
      </c>
      <c r="H366" t="s">
        <v>12</v>
      </c>
      <c r="I366" t="s">
        <v>25</v>
      </c>
      <c r="J366">
        <v>26</v>
      </c>
      <c r="K366" t="str" cm="1">
        <f t="array" ref="K366">_xlfn.IFS( J366&lt;=5,"0-5", J366&lt;=10,"6-10",J366&lt;=15,"11-15",J366&lt;=20,"16-20",J366&gt;20,"20+")</f>
        <v>20+</v>
      </c>
      <c r="L366" t="s">
        <v>219</v>
      </c>
      <c r="M366" t="str">
        <f>SUBSTITUTE(L366,"$"," ")</f>
        <v xml:space="preserve"> 100</v>
      </c>
      <c r="N366">
        <v>2.1</v>
      </c>
    </row>
    <row r="367" spans="1:18" x14ac:dyDescent="0.2">
      <c r="A367" t="s">
        <v>804</v>
      </c>
      <c r="B367" t="s">
        <v>805</v>
      </c>
      <c r="C367" t="str">
        <f t="shared" si="117"/>
        <v>Jackie Allen</v>
      </c>
      <c r="D367" t="s">
        <v>29</v>
      </c>
      <c r="E367" t="str">
        <f t="shared" si="118"/>
        <v>Female</v>
      </c>
      <c r="F367">
        <v>40</v>
      </c>
      <c r="G367" t="s">
        <v>102</v>
      </c>
      <c r="H367" t="s">
        <v>103</v>
      </c>
      <c r="I367" t="s">
        <v>7</v>
      </c>
      <c r="K367" t="str" cm="1">
        <f t="array" ref="K367">_xlfn.IFS( J367&lt;=5,"0-5", J367&lt;=10,"6-10",J367&lt;=15,"11-15",J367&lt;=20,"16-20",J367&gt;20,"20+")</f>
        <v>0-5</v>
      </c>
      <c r="L367">
        <v>40</v>
      </c>
      <c r="M367" s="2">
        <f>L367</f>
        <v>40</v>
      </c>
      <c r="N367">
        <v>1.5</v>
      </c>
      <c r="O367" t="b">
        <v>0</v>
      </c>
      <c r="P367" t="s">
        <v>2074</v>
      </c>
      <c r="Q367" s="1">
        <v>0.96</v>
      </c>
      <c r="R367" s="1">
        <f>Q367</f>
        <v>0.96</v>
      </c>
    </row>
    <row r="368" spans="1:18" x14ac:dyDescent="0.2">
      <c r="A368" t="s">
        <v>806</v>
      </c>
      <c r="B368" t="s">
        <v>807</v>
      </c>
      <c r="C368" t="str">
        <f t="shared" si="117"/>
        <v>Brandon Williams</v>
      </c>
      <c r="D368" t="s">
        <v>17</v>
      </c>
      <c r="E368" t="str">
        <f t="shared" si="118"/>
        <v>Male</v>
      </c>
      <c r="G368" t="s">
        <v>165</v>
      </c>
      <c r="H368" t="s">
        <v>166</v>
      </c>
      <c r="I368" t="s">
        <v>34</v>
      </c>
      <c r="J368">
        <v>9</v>
      </c>
      <c r="K368" t="str" cm="1">
        <f t="array" ref="K368">_xlfn.IFS( J368&lt;=5,"0-5", J368&lt;=10,"6-10",J368&lt;=15,"11-15",J368&lt;=20,"16-20",J368&gt;20,"20+")</f>
        <v>6-10</v>
      </c>
      <c r="L368" t="s">
        <v>45</v>
      </c>
      <c r="M368" t="str">
        <f>_xlfn.TEXTAFTER(L368, " ")</f>
        <v>40</v>
      </c>
      <c r="N368">
        <v>1.7</v>
      </c>
      <c r="O368">
        <v>1</v>
      </c>
      <c r="Q368">
        <v>72</v>
      </c>
      <c r="R368" s="3">
        <f>Q368/100</f>
        <v>0.72</v>
      </c>
    </row>
    <row r="369" spans="1:18" x14ac:dyDescent="0.2">
      <c r="A369" t="s">
        <v>808</v>
      </c>
      <c r="B369" t="s">
        <v>809</v>
      </c>
      <c r="C369" t="str">
        <f t="shared" si="117"/>
        <v>Manuel Torres</v>
      </c>
      <c r="D369" t="s">
        <v>82</v>
      </c>
      <c r="E369" t="str">
        <f t="shared" si="118"/>
        <v>Male</v>
      </c>
      <c r="F369">
        <v>31</v>
      </c>
      <c r="G369" t="s">
        <v>75</v>
      </c>
      <c r="H369" t="s">
        <v>76</v>
      </c>
      <c r="I369" t="s">
        <v>41</v>
      </c>
      <c r="J369">
        <v>11</v>
      </c>
      <c r="K369" t="str" cm="1">
        <f t="array" ref="K369">_xlfn.IFS( J369&lt;=5,"0-5", J369&lt;=10,"6-10",J369&lt;=15,"11-15",J369&lt;=20,"16-20",J369&gt;20,"20+")</f>
        <v>11-15</v>
      </c>
      <c r="M369"/>
      <c r="N369">
        <v>3.3</v>
      </c>
      <c r="O369">
        <v>0</v>
      </c>
    </row>
    <row r="370" spans="1:18" x14ac:dyDescent="0.2">
      <c r="A370" t="s">
        <v>810</v>
      </c>
      <c r="B370" t="s">
        <v>811</v>
      </c>
      <c r="C370" t="str">
        <f t="shared" si="117"/>
        <v>Scott Keller</v>
      </c>
      <c r="D370" t="s">
        <v>38</v>
      </c>
      <c r="E370" t="str">
        <f t="shared" si="118"/>
        <v>Male</v>
      </c>
      <c r="F370">
        <v>33</v>
      </c>
      <c r="G370" t="s">
        <v>102</v>
      </c>
      <c r="H370" t="s">
        <v>103</v>
      </c>
      <c r="I370" t="s">
        <v>104</v>
      </c>
      <c r="K370" t="str" cm="1">
        <f t="array" ref="K370">_xlfn.IFS( J370&lt;=5,"0-5", J370&lt;=10,"6-10",J370&lt;=15,"11-15",J370&lt;=20,"16-20",J370&gt;20,"20+")</f>
        <v>0-5</v>
      </c>
      <c r="L370" t="s">
        <v>26</v>
      </c>
      <c r="M370" t="str">
        <f t="shared" ref="M370:M371" si="138">SUBSTITUTE(L370,"$"," ")</f>
        <v xml:space="preserve"> 40</v>
      </c>
      <c r="N370">
        <v>4.3</v>
      </c>
      <c r="O370">
        <v>1</v>
      </c>
      <c r="Q370" s="1">
        <v>0.63</v>
      </c>
      <c r="R370" s="1">
        <f>Q370</f>
        <v>0.63</v>
      </c>
    </row>
    <row r="371" spans="1:18" x14ac:dyDescent="0.2">
      <c r="A371" t="s">
        <v>812</v>
      </c>
      <c r="B371" t="s">
        <v>813</v>
      </c>
      <c r="C371" t="str">
        <f t="shared" si="117"/>
        <v>Deborah Brown</v>
      </c>
      <c r="D371" t="s">
        <v>10</v>
      </c>
      <c r="E371" t="str">
        <f t="shared" si="118"/>
        <v>Female</v>
      </c>
      <c r="F371">
        <v>31</v>
      </c>
      <c r="G371" t="s">
        <v>97</v>
      </c>
      <c r="H371" t="s">
        <v>98</v>
      </c>
      <c r="I371" t="s">
        <v>104</v>
      </c>
      <c r="J371">
        <v>3</v>
      </c>
      <c r="K371" t="str" cm="1">
        <f t="array" ref="K371">_xlfn.IFS( J371&lt;=5,"0-5", J371&lt;=10,"6-10",J371&lt;=15,"11-15",J371&lt;=20,"16-20",J371&gt;20,"20+")</f>
        <v>0-5</v>
      </c>
      <c r="L371" t="s">
        <v>111</v>
      </c>
      <c r="M371" t="str">
        <f t="shared" si="138"/>
        <v xml:space="preserve"> 20</v>
      </c>
      <c r="O371" t="s">
        <v>21</v>
      </c>
    </row>
    <row r="372" spans="1:18" x14ac:dyDescent="0.2">
      <c r="A372" t="s">
        <v>814</v>
      </c>
      <c r="B372" t="s">
        <v>815</v>
      </c>
      <c r="C372" t="str">
        <f t="shared" si="117"/>
        <v>Jennifer Lara</v>
      </c>
      <c r="D372" t="s">
        <v>24</v>
      </c>
      <c r="E372" t="str">
        <f t="shared" si="118"/>
        <v>Female</v>
      </c>
      <c r="F372">
        <v>49</v>
      </c>
      <c r="G372" t="s">
        <v>5</v>
      </c>
      <c r="H372" t="s">
        <v>6</v>
      </c>
      <c r="I372" t="s">
        <v>41</v>
      </c>
      <c r="J372">
        <v>15</v>
      </c>
      <c r="K372" t="str" cm="1">
        <f t="array" ref="K372">_xlfn.IFS( J372&lt;=5,"0-5", J372&lt;=10,"6-10",J372&lt;=15,"11-15",J372&lt;=20,"16-20",J372&gt;20,"20+")</f>
        <v>11-15</v>
      </c>
      <c r="L372" t="s">
        <v>42</v>
      </c>
      <c r="M372" t="str">
        <f t="shared" ref="M372:M373" si="139">_xlfn.TEXTAFTER(L372, " ")</f>
        <v>75</v>
      </c>
      <c r="N372">
        <v>2.6</v>
      </c>
      <c r="O372" t="s">
        <v>21</v>
      </c>
      <c r="Q372" s="1">
        <v>0.83</v>
      </c>
      <c r="R372" s="1">
        <f t="shared" ref="R372:R374" si="140">Q372</f>
        <v>0.83</v>
      </c>
    </row>
    <row r="373" spans="1:18" x14ac:dyDescent="0.2">
      <c r="A373" t="s">
        <v>816</v>
      </c>
      <c r="B373" t="s">
        <v>817</v>
      </c>
      <c r="C373" t="str">
        <f t="shared" si="117"/>
        <v>Jason Scott</v>
      </c>
      <c r="D373" t="s">
        <v>17</v>
      </c>
      <c r="E373" t="str">
        <f t="shared" si="118"/>
        <v>Male</v>
      </c>
      <c r="F373">
        <v>35</v>
      </c>
      <c r="G373" t="s">
        <v>169</v>
      </c>
      <c r="H373" t="s">
        <v>62</v>
      </c>
      <c r="I373" t="s">
        <v>20</v>
      </c>
      <c r="J373">
        <v>12</v>
      </c>
      <c r="K373" t="str" cm="1">
        <f t="array" ref="K373">_xlfn.IFS( J373&lt;=5,"0-5", J373&lt;=10,"6-10",J373&lt;=15,"11-15",J373&lt;=20,"16-20",J373&gt;20,"20+")</f>
        <v>11-15</v>
      </c>
      <c r="L373" t="s">
        <v>304</v>
      </c>
      <c r="M373" t="str">
        <f t="shared" si="139"/>
        <v>20</v>
      </c>
      <c r="N373">
        <v>4.0999999999999996</v>
      </c>
      <c r="Q373" s="1">
        <v>0.94</v>
      </c>
      <c r="R373" s="1">
        <f t="shared" si="140"/>
        <v>0.94</v>
      </c>
    </row>
    <row r="374" spans="1:18" x14ac:dyDescent="0.2">
      <c r="A374" t="s">
        <v>818</v>
      </c>
      <c r="B374" t="s">
        <v>819</v>
      </c>
      <c r="C374" t="str">
        <f t="shared" si="117"/>
        <v>Gregory Garrison</v>
      </c>
      <c r="D374" t="s">
        <v>82</v>
      </c>
      <c r="E374" t="str">
        <f t="shared" si="118"/>
        <v>Male</v>
      </c>
      <c r="F374">
        <v>45</v>
      </c>
      <c r="G374" t="s">
        <v>83</v>
      </c>
      <c r="H374" t="s">
        <v>84</v>
      </c>
      <c r="I374" t="s">
        <v>41</v>
      </c>
      <c r="J374">
        <v>19</v>
      </c>
      <c r="K374" t="str" cm="1">
        <f t="array" ref="K374">_xlfn.IFS( J374&lt;=5,"0-5", J374&lt;=10,"6-10",J374&lt;=15,"11-15",J374&lt;=20,"16-20",J374&gt;20,"20+")</f>
        <v>16-20</v>
      </c>
      <c r="L374" t="s">
        <v>26</v>
      </c>
      <c r="M374" t="str">
        <f>SUBSTITUTE(L374,"$"," ")</f>
        <v xml:space="preserve"> 40</v>
      </c>
      <c r="N374">
        <v>2.2000000000000002</v>
      </c>
      <c r="O374">
        <v>1</v>
      </c>
      <c r="Q374" s="1">
        <v>0.78</v>
      </c>
      <c r="R374" s="1">
        <f t="shared" si="140"/>
        <v>0.78</v>
      </c>
    </row>
    <row r="375" spans="1:18" x14ac:dyDescent="0.2">
      <c r="A375" t="s">
        <v>820</v>
      </c>
      <c r="B375" t="s">
        <v>821</v>
      </c>
      <c r="C375" t="str">
        <f t="shared" si="117"/>
        <v>Chelsea Anderson</v>
      </c>
      <c r="D375" t="s">
        <v>29</v>
      </c>
      <c r="E375" t="str">
        <f t="shared" si="118"/>
        <v>Female</v>
      </c>
      <c r="F375">
        <v>39</v>
      </c>
      <c r="G375" t="s">
        <v>32</v>
      </c>
      <c r="H375" t="s">
        <v>33</v>
      </c>
      <c r="I375" t="s">
        <v>41</v>
      </c>
      <c r="J375">
        <v>13</v>
      </c>
      <c r="K375" t="str" cm="1">
        <f t="array" ref="K375">_xlfn.IFS( J375&lt;=5,"0-5", J375&lt;=10,"6-10",J375&lt;=15,"11-15",J375&lt;=20,"16-20",J375&gt;20,"20+")</f>
        <v>11-15</v>
      </c>
      <c r="L375">
        <v>30</v>
      </c>
      <c r="M375" s="2">
        <f>L375</f>
        <v>30</v>
      </c>
      <c r="N375">
        <v>1.1000000000000001</v>
      </c>
      <c r="O375">
        <v>1</v>
      </c>
      <c r="P375" t="s">
        <v>2075</v>
      </c>
    </row>
    <row r="376" spans="1:18" x14ac:dyDescent="0.2">
      <c r="A376" t="s">
        <v>822</v>
      </c>
      <c r="B376" t="s">
        <v>823</v>
      </c>
      <c r="C376" t="str">
        <f t="shared" ref="C376:C398" si="141">B376</f>
        <v>Gerald Johnson</v>
      </c>
      <c r="D376" t="s">
        <v>51</v>
      </c>
      <c r="E376" t="str">
        <f t="shared" ref="E376:E398" si="142">IF(LOWER(LEFT(D376,1)) ="f", "Female", "Male")</f>
        <v>Male</v>
      </c>
      <c r="G376" t="s">
        <v>61</v>
      </c>
      <c r="H376" t="s">
        <v>62</v>
      </c>
      <c r="I376" t="s">
        <v>7</v>
      </c>
      <c r="K376" t="str" cm="1">
        <f t="array" ref="K376">_xlfn.IFS( J376&lt;=5,"0-5", J376&lt;=10,"6-10",J376&lt;=15,"11-15",J376&lt;=20,"16-20",J376&gt;20,"20+")</f>
        <v>0-5</v>
      </c>
      <c r="L376" t="s">
        <v>54</v>
      </c>
      <c r="M376" t="str">
        <f t="shared" ref="M376:M377" si="143">SUBSTITUTE(L376,"$"," ")</f>
        <v xml:space="preserve"> 50</v>
      </c>
      <c r="N376">
        <v>2.1</v>
      </c>
      <c r="O376">
        <v>1</v>
      </c>
      <c r="Q376" s="1">
        <v>0.82</v>
      </c>
      <c r="R376" s="1">
        <f t="shared" ref="R376:R377" si="144">Q376</f>
        <v>0.82</v>
      </c>
    </row>
    <row r="377" spans="1:18" x14ac:dyDescent="0.2">
      <c r="A377" t="s">
        <v>824</v>
      </c>
      <c r="B377" t="s">
        <v>825</v>
      </c>
      <c r="C377" t="str">
        <f t="shared" si="141"/>
        <v>Kevin Ellis</v>
      </c>
      <c r="D377" t="s">
        <v>17</v>
      </c>
      <c r="E377" t="str">
        <f t="shared" si="142"/>
        <v>Male</v>
      </c>
      <c r="F377">
        <v>24</v>
      </c>
      <c r="G377" t="s">
        <v>18</v>
      </c>
      <c r="H377" t="s">
        <v>19</v>
      </c>
      <c r="I377" t="s">
        <v>68</v>
      </c>
      <c r="J377">
        <v>3</v>
      </c>
      <c r="K377" t="str" cm="1">
        <f t="array" ref="K377">_xlfn.IFS( J377&lt;=5,"0-5", J377&lt;=10,"6-10",J377&lt;=15,"11-15",J377&lt;=20,"16-20",J377&gt;20,"20+")</f>
        <v>0-5</v>
      </c>
      <c r="L377" t="s">
        <v>35</v>
      </c>
      <c r="M377" t="str">
        <f t="shared" si="143"/>
        <v xml:space="preserve"> 30</v>
      </c>
      <c r="N377">
        <v>2.2999999999999998</v>
      </c>
      <c r="O377" t="b">
        <v>0</v>
      </c>
      <c r="Q377" s="1">
        <v>0.66</v>
      </c>
      <c r="R377" s="1">
        <f t="shared" si="144"/>
        <v>0.66</v>
      </c>
    </row>
    <row r="378" spans="1:18" x14ac:dyDescent="0.2">
      <c r="A378" t="s">
        <v>826</v>
      </c>
      <c r="B378" t="s">
        <v>827</v>
      </c>
      <c r="C378" t="str">
        <f t="shared" si="141"/>
        <v>Mitchell Keller</v>
      </c>
      <c r="D378" t="s">
        <v>87</v>
      </c>
      <c r="E378" t="str">
        <f t="shared" si="142"/>
        <v>Male</v>
      </c>
      <c r="F378">
        <v>50</v>
      </c>
      <c r="G378" t="s">
        <v>11</v>
      </c>
      <c r="H378" t="s">
        <v>12</v>
      </c>
      <c r="I378" t="s">
        <v>20</v>
      </c>
      <c r="J378">
        <v>26</v>
      </c>
      <c r="K378" t="str" cm="1">
        <f t="array" ref="K378">_xlfn.IFS( J378&lt;=5,"0-5", J378&lt;=10,"6-10",J378&lt;=15,"11-15",J378&lt;=20,"16-20",J378&gt;20,"20+")</f>
        <v>20+</v>
      </c>
      <c r="M378"/>
      <c r="N378">
        <v>3.6</v>
      </c>
      <c r="O378">
        <v>1</v>
      </c>
      <c r="Q378">
        <v>82</v>
      </c>
      <c r="R378" s="3">
        <f>Q378/100</f>
        <v>0.82</v>
      </c>
    </row>
    <row r="379" spans="1:18" x14ac:dyDescent="0.2">
      <c r="A379" t="s">
        <v>828</v>
      </c>
      <c r="B379" t="s">
        <v>829</v>
      </c>
      <c r="C379" t="str">
        <f t="shared" si="141"/>
        <v>Mary Brown</v>
      </c>
      <c r="D379" t="s">
        <v>29</v>
      </c>
      <c r="E379" t="str">
        <f t="shared" si="142"/>
        <v>Female</v>
      </c>
      <c r="F379">
        <v>23</v>
      </c>
      <c r="G379" t="s">
        <v>18</v>
      </c>
      <c r="H379" t="s">
        <v>19</v>
      </c>
      <c r="I379" t="s">
        <v>104</v>
      </c>
      <c r="J379">
        <v>4</v>
      </c>
      <c r="K379" t="str" cm="1">
        <f t="array" ref="K379">_xlfn.IFS( J379&lt;=5,"0-5", J379&lt;=10,"6-10",J379&lt;=15,"11-15",J379&lt;=20,"16-20",J379&gt;20,"20+")</f>
        <v>0-5</v>
      </c>
      <c r="L379" t="s">
        <v>304</v>
      </c>
      <c r="M379" t="str">
        <f>_xlfn.TEXTAFTER(L379, " ")</f>
        <v>20</v>
      </c>
      <c r="N379">
        <v>4.7</v>
      </c>
      <c r="O379" t="b">
        <v>1</v>
      </c>
      <c r="Q379" s="1">
        <v>0.84</v>
      </c>
      <c r="R379" s="1">
        <f t="shared" ref="R379:R380" si="145">Q379</f>
        <v>0.84</v>
      </c>
    </row>
    <row r="380" spans="1:18" x14ac:dyDescent="0.2">
      <c r="A380" t="s">
        <v>830</v>
      </c>
      <c r="B380" t="s">
        <v>831</v>
      </c>
      <c r="C380" t="str">
        <f t="shared" si="141"/>
        <v>Ronald Walls</v>
      </c>
      <c r="D380" t="s">
        <v>51</v>
      </c>
      <c r="E380" t="str">
        <f t="shared" si="142"/>
        <v>Male</v>
      </c>
      <c r="F380">
        <v>27</v>
      </c>
      <c r="G380" t="s">
        <v>118</v>
      </c>
      <c r="H380" t="s">
        <v>12</v>
      </c>
      <c r="I380" t="s">
        <v>68</v>
      </c>
      <c r="J380">
        <v>8</v>
      </c>
      <c r="K380" t="str" cm="1">
        <f t="array" ref="K380">_xlfn.IFS( J380&lt;=5,"0-5", J380&lt;=10,"6-10",J380&lt;=15,"11-15",J380&lt;=20,"16-20",J380&gt;20,"20+")</f>
        <v>6-10</v>
      </c>
      <c r="L380">
        <v>20</v>
      </c>
      <c r="M380" s="2">
        <f t="shared" ref="M380:M381" si="146">L380</f>
        <v>20</v>
      </c>
      <c r="N380">
        <v>4.8</v>
      </c>
      <c r="O380" t="s">
        <v>21</v>
      </c>
      <c r="P380" t="s">
        <v>2074</v>
      </c>
      <c r="Q380" s="1">
        <v>0.81</v>
      </c>
      <c r="R380" s="1">
        <f t="shared" si="145"/>
        <v>0.81</v>
      </c>
    </row>
    <row r="381" spans="1:18" x14ac:dyDescent="0.2">
      <c r="A381" t="s">
        <v>832</v>
      </c>
      <c r="B381" t="s">
        <v>833</v>
      </c>
      <c r="C381" t="str">
        <f t="shared" si="141"/>
        <v>Anthony Avila</v>
      </c>
      <c r="D381" t="s">
        <v>87</v>
      </c>
      <c r="E381" t="str">
        <f t="shared" si="142"/>
        <v>Male</v>
      </c>
      <c r="F381">
        <v>58</v>
      </c>
      <c r="G381" t="s">
        <v>143</v>
      </c>
      <c r="H381" t="s">
        <v>144</v>
      </c>
      <c r="I381" t="s">
        <v>34</v>
      </c>
      <c r="J381">
        <v>10</v>
      </c>
      <c r="K381" t="str" cm="1">
        <f t="array" ref="K381">_xlfn.IFS( J381&lt;=5,"0-5", J381&lt;=10,"6-10",J381&lt;=15,"11-15",J381&lt;=20,"16-20",J381&gt;20,"20+")</f>
        <v>6-10</v>
      </c>
      <c r="L381">
        <v>75</v>
      </c>
      <c r="M381" s="2">
        <f t="shared" si="146"/>
        <v>75</v>
      </c>
      <c r="N381">
        <v>4.2</v>
      </c>
      <c r="O381" t="s">
        <v>21</v>
      </c>
      <c r="P381" t="s">
        <v>2074</v>
      </c>
      <c r="Q381">
        <v>71</v>
      </c>
      <c r="R381" s="3">
        <f>Q381/100</f>
        <v>0.71</v>
      </c>
    </row>
    <row r="382" spans="1:18" x14ac:dyDescent="0.2">
      <c r="A382" t="s">
        <v>834</v>
      </c>
      <c r="B382" t="s">
        <v>835</v>
      </c>
      <c r="C382" t="str">
        <f t="shared" si="141"/>
        <v>Douglas Goodwin</v>
      </c>
      <c r="D382" t="s">
        <v>38</v>
      </c>
      <c r="E382" t="str">
        <f t="shared" si="142"/>
        <v>Male</v>
      </c>
      <c r="F382">
        <v>37</v>
      </c>
      <c r="G382" t="s">
        <v>5</v>
      </c>
      <c r="H382" t="s">
        <v>6</v>
      </c>
      <c r="I382" t="s">
        <v>104</v>
      </c>
      <c r="J382">
        <v>5</v>
      </c>
      <c r="K382" t="str" cm="1">
        <f t="array" ref="K382">_xlfn.IFS( J382&lt;=5,"0-5", J382&lt;=10,"6-10",J382&lt;=15,"11-15",J382&lt;=20,"16-20",J382&gt;20,"20+")</f>
        <v>0-5</v>
      </c>
      <c r="M382"/>
      <c r="N382">
        <v>4.8</v>
      </c>
      <c r="O382">
        <v>1</v>
      </c>
      <c r="Q382" s="1">
        <v>0.61</v>
      </c>
      <c r="R382" s="1">
        <f t="shared" ref="R382:R388" si="147">Q382</f>
        <v>0.61</v>
      </c>
    </row>
    <row r="383" spans="1:18" x14ac:dyDescent="0.2">
      <c r="A383" t="s">
        <v>836</v>
      </c>
      <c r="B383" t="s">
        <v>837</v>
      </c>
      <c r="C383" t="str">
        <f t="shared" si="141"/>
        <v>James Mills</v>
      </c>
      <c r="D383" t="s">
        <v>51</v>
      </c>
      <c r="E383" t="str">
        <f t="shared" si="142"/>
        <v>Male</v>
      </c>
      <c r="F383">
        <v>39</v>
      </c>
      <c r="G383" t="s">
        <v>180</v>
      </c>
      <c r="H383" t="s">
        <v>62</v>
      </c>
      <c r="I383" t="s">
        <v>7</v>
      </c>
      <c r="J383">
        <v>18</v>
      </c>
      <c r="K383" t="str" cm="1">
        <f t="array" ref="K383">_xlfn.IFS( J383&lt;=5,"0-5", J383&lt;=10,"6-10",J383&lt;=15,"11-15",J383&lt;=20,"16-20",J383&gt;20,"20+")</f>
        <v>16-20</v>
      </c>
      <c r="L383">
        <v>75</v>
      </c>
      <c r="M383" s="2">
        <f>L383</f>
        <v>75</v>
      </c>
      <c r="N383">
        <v>4</v>
      </c>
      <c r="O383">
        <v>1</v>
      </c>
      <c r="P383" t="s">
        <v>2075</v>
      </c>
      <c r="Q383" s="1">
        <v>0.66</v>
      </c>
      <c r="R383" s="1">
        <f t="shared" si="147"/>
        <v>0.66</v>
      </c>
    </row>
    <row r="384" spans="1:18" x14ac:dyDescent="0.2">
      <c r="A384" t="s">
        <v>838</v>
      </c>
      <c r="B384" t="s">
        <v>839</v>
      </c>
      <c r="C384" t="str">
        <f t="shared" si="141"/>
        <v>Nicole Marks</v>
      </c>
      <c r="D384" t="s">
        <v>10</v>
      </c>
      <c r="E384" t="str">
        <f t="shared" si="142"/>
        <v>Female</v>
      </c>
      <c r="F384">
        <v>46</v>
      </c>
      <c r="G384" t="s">
        <v>129</v>
      </c>
      <c r="H384" t="s">
        <v>130</v>
      </c>
      <c r="I384" t="s">
        <v>41</v>
      </c>
      <c r="J384">
        <v>10</v>
      </c>
      <c r="K384" t="str" cm="1">
        <f t="array" ref="K384">_xlfn.IFS( J384&lt;=5,"0-5", J384&lt;=10,"6-10",J384&lt;=15,"11-15",J384&lt;=20,"16-20",J384&gt;20,"20+")</f>
        <v>6-10</v>
      </c>
      <c r="L384" t="s">
        <v>111</v>
      </c>
      <c r="M384" t="str">
        <f>SUBSTITUTE(L384,"$"," ")</f>
        <v xml:space="preserve"> 20</v>
      </c>
      <c r="N384">
        <v>2.5</v>
      </c>
      <c r="O384" t="b">
        <v>1</v>
      </c>
      <c r="Q384" s="1">
        <v>0.97</v>
      </c>
      <c r="R384" s="1">
        <f t="shared" si="147"/>
        <v>0.97</v>
      </c>
    </row>
    <row r="385" spans="1:18" x14ac:dyDescent="0.2">
      <c r="A385" t="s">
        <v>840</v>
      </c>
      <c r="B385" t="s">
        <v>841</v>
      </c>
      <c r="C385" t="str">
        <f t="shared" si="141"/>
        <v>Phyllis Dawson</v>
      </c>
      <c r="D385" t="s">
        <v>67</v>
      </c>
      <c r="E385" t="str">
        <f t="shared" si="142"/>
        <v>Female</v>
      </c>
      <c r="G385" t="s">
        <v>57</v>
      </c>
      <c r="H385" t="s">
        <v>12</v>
      </c>
      <c r="I385" t="s">
        <v>63</v>
      </c>
      <c r="J385">
        <v>0</v>
      </c>
      <c r="K385" t="str" cm="1">
        <f t="array" ref="K385">_xlfn.IFS( J385&lt;=5,"0-5", J385&lt;=10,"6-10",J385&lt;=15,"11-15",J385&lt;=20,"16-20",J385&gt;20,"20+")</f>
        <v>0-5</v>
      </c>
      <c r="L385" t="s">
        <v>304</v>
      </c>
      <c r="M385" t="str">
        <f>_xlfn.TEXTAFTER(L385, " ")</f>
        <v>20</v>
      </c>
      <c r="N385">
        <v>4.8</v>
      </c>
      <c r="O385">
        <v>0</v>
      </c>
      <c r="Q385" s="1">
        <v>0.74</v>
      </c>
      <c r="R385" s="1">
        <f t="shared" si="147"/>
        <v>0.74</v>
      </c>
    </row>
    <row r="386" spans="1:18" x14ac:dyDescent="0.2">
      <c r="A386" t="s">
        <v>842</v>
      </c>
      <c r="B386" t="s">
        <v>843</v>
      </c>
      <c r="C386" t="str">
        <f t="shared" si="141"/>
        <v>Renee Arnold</v>
      </c>
      <c r="D386" t="s">
        <v>4</v>
      </c>
      <c r="E386" t="str">
        <f t="shared" si="142"/>
        <v>Female</v>
      </c>
      <c r="F386">
        <v>39</v>
      </c>
      <c r="G386" t="s">
        <v>169</v>
      </c>
      <c r="H386" t="s">
        <v>62</v>
      </c>
      <c r="I386" t="s">
        <v>7</v>
      </c>
      <c r="J386">
        <v>21</v>
      </c>
      <c r="K386" t="str" cm="1">
        <f t="array" ref="K386">_xlfn.IFS( J386&lt;=5,"0-5", J386&lt;=10,"6-10",J386&lt;=15,"11-15",J386&lt;=20,"16-20",J386&gt;20,"20+")</f>
        <v>20+</v>
      </c>
      <c r="L386">
        <v>30</v>
      </c>
      <c r="M386" s="2">
        <f t="shared" ref="M386:M387" si="148">L386</f>
        <v>30</v>
      </c>
      <c r="N386">
        <v>4.7</v>
      </c>
      <c r="O386" t="b">
        <v>0</v>
      </c>
      <c r="P386" t="s">
        <v>2074</v>
      </c>
      <c r="Q386" s="1">
        <v>0.61</v>
      </c>
      <c r="R386" s="1">
        <f t="shared" si="147"/>
        <v>0.61</v>
      </c>
    </row>
    <row r="387" spans="1:18" x14ac:dyDescent="0.2">
      <c r="A387" t="s">
        <v>844</v>
      </c>
      <c r="B387" t="s">
        <v>845</v>
      </c>
      <c r="C387" t="str">
        <f t="shared" si="141"/>
        <v>Eric Robinson</v>
      </c>
      <c r="D387" t="s">
        <v>82</v>
      </c>
      <c r="E387" t="str">
        <f t="shared" si="142"/>
        <v>Male</v>
      </c>
      <c r="F387">
        <v>59</v>
      </c>
      <c r="G387" t="s">
        <v>129</v>
      </c>
      <c r="H387" t="s">
        <v>130</v>
      </c>
      <c r="I387" t="s">
        <v>7</v>
      </c>
      <c r="J387">
        <v>25</v>
      </c>
      <c r="K387" t="str" cm="1">
        <f t="array" ref="K387">_xlfn.IFS( J387&lt;=5,"0-5", J387&lt;=10,"6-10",J387&lt;=15,"11-15",J387&lt;=20,"16-20",J387&gt;20,"20+")</f>
        <v>20+</v>
      </c>
      <c r="L387">
        <v>20</v>
      </c>
      <c r="M387" s="2">
        <f t="shared" si="148"/>
        <v>20</v>
      </c>
      <c r="N387">
        <v>4</v>
      </c>
      <c r="O387">
        <v>0</v>
      </c>
      <c r="P387" t="s">
        <v>2074</v>
      </c>
      <c r="Q387" s="1">
        <v>0.9</v>
      </c>
      <c r="R387" s="1">
        <f t="shared" si="147"/>
        <v>0.9</v>
      </c>
    </row>
    <row r="388" spans="1:18" x14ac:dyDescent="0.2">
      <c r="A388" t="s">
        <v>846</v>
      </c>
      <c r="B388" t="s">
        <v>847</v>
      </c>
      <c r="C388" t="str">
        <f t="shared" si="141"/>
        <v>Paul Brown</v>
      </c>
      <c r="D388" t="s">
        <v>38</v>
      </c>
      <c r="E388" t="str">
        <f t="shared" si="142"/>
        <v>Male</v>
      </c>
      <c r="F388">
        <v>21</v>
      </c>
      <c r="G388" t="s">
        <v>32</v>
      </c>
      <c r="H388" t="s">
        <v>33</v>
      </c>
      <c r="I388" t="s">
        <v>79</v>
      </c>
      <c r="J388">
        <v>0</v>
      </c>
      <c r="K388" t="str" cm="1">
        <f t="array" ref="K388">_xlfn.IFS( J388&lt;=5,"0-5", J388&lt;=10,"6-10",J388&lt;=15,"11-15",J388&lt;=20,"16-20",J388&gt;20,"20+")</f>
        <v>0-5</v>
      </c>
      <c r="L388" t="s">
        <v>26</v>
      </c>
      <c r="M388" t="str">
        <f>SUBSTITUTE(L388,"$"," ")</f>
        <v xml:space="preserve"> 40</v>
      </c>
      <c r="N388">
        <v>4.0999999999999996</v>
      </c>
      <c r="O388" t="s">
        <v>64</v>
      </c>
      <c r="Q388" s="1">
        <v>0.97</v>
      </c>
      <c r="R388" s="1">
        <f t="shared" si="147"/>
        <v>0.97</v>
      </c>
    </row>
    <row r="389" spans="1:18" x14ac:dyDescent="0.2">
      <c r="A389" t="s">
        <v>848</v>
      </c>
      <c r="B389" t="s">
        <v>849</v>
      </c>
      <c r="C389" t="str">
        <f t="shared" si="141"/>
        <v>Sarah Proctor</v>
      </c>
      <c r="D389" t="s">
        <v>10</v>
      </c>
      <c r="E389" t="str">
        <f t="shared" si="142"/>
        <v>Female</v>
      </c>
      <c r="F389">
        <v>23</v>
      </c>
      <c r="G389" t="s">
        <v>118</v>
      </c>
      <c r="H389" t="s">
        <v>12</v>
      </c>
      <c r="I389" t="s">
        <v>79</v>
      </c>
      <c r="J389">
        <v>5</v>
      </c>
      <c r="K389" t="str" cm="1">
        <f t="array" ref="K389">_xlfn.IFS( J389&lt;=5,"0-5", J389&lt;=10,"6-10",J389&lt;=15,"11-15",J389&lt;=20,"16-20",J389&gt;20,"20+")</f>
        <v>0-5</v>
      </c>
      <c r="L389">
        <v>100</v>
      </c>
      <c r="M389" s="2">
        <f t="shared" ref="M389:M392" si="149">L389</f>
        <v>100</v>
      </c>
      <c r="N389">
        <v>3.2</v>
      </c>
      <c r="O389">
        <v>1</v>
      </c>
      <c r="P389" t="s">
        <v>2075</v>
      </c>
    </row>
    <row r="390" spans="1:18" x14ac:dyDescent="0.2">
      <c r="A390" t="s">
        <v>850</v>
      </c>
      <c r="B390" t="s">
        <v>851</v>
      </c>
      <c r="C390" t="str">
        <f t="shared" si="141"/>
        <v>Matthew Hicks</v>
      </c>
      <c r="D390" t="s">
        <v>38</v>
      </c>
      <c r="E390" t="str">
        <f t="shared" si="142"/>
        <v>Male</v>
      </c>
      <c r="F390">
        <v>27</v>
      </c>
      <c r="G390" t="s">
        <v>129</v>
      </c>
      <c r="H390" t="s">
        <v>130</v>
      </c>
      <c r="I390" t="s">
        <v>25</v>
      </c>
      <c r="J390">
        <v>1</v>
      </c>
      <c r="K390" t="str" cm="1">
        <f t="array" ref="K390">_xlfn.IFS( J390&lt;=5,"0-5", J390&lt;=10,"6-10",J390&lt;=15,"11-15",J390&lt;=20,"16-20",J390&gt;20,"20+")</f>
        <v>0-5</v>
      </c>
      <c r="L390">
        <v>20</v>
      </c>
      <c r="M390" s="2">
        <f t="shared" si="149"/>
        <v>20</v>
      </c>
      <c r="N390">
        <v>4.3</v>
      </c>
      <c r="O390" t="s">
        <v>21</v>
      </c>
      <c r="P390" t="s">
        <v>2074</v>
      </c>
      <c r="Q390" s="1">
        <v>0.76</v>
      </c>
      <c r="R390" s="1">
        <f t="shared" ref="R390:R391" si="150">Q390</f>
        <v>0.76</v>
      </c>
    </row>
    <row r="391" spans="1:18" x14ac:dyDescent="0.2">
      <c r="A391" t="s">
        <v>852</v>
      </c>
      <c r="B391" t="s">
        <v>853</v>
      </c>
      <c r="C391" t="str">
        <f t="shared" si="141"/>
        <v>Christopher Black</v>
      </c>
      <c r="D391" t="s">
        <v>38</v>
      </c>
      <c r="E391" t="str">
        <f t="shared" si="142"/>
        <v>Male</v>
      </c>
      <c r="F391">
        <v>27</v>
      </c>
      <c r="G391" t="s">
        <v>165</v>
      </c>
      <c r="H391" t="s">
        <v>166</v>
      </c>
      <c r="I391" t="s">
        <v>68</v>
      </c>
      <c r="J391">
        <v>4</v>
      </c>
      <c r="K391" t="str" cm="1">
        <f t="array" ref="K391">_xlfn.IFS( J391&lt;=5,"0-5", J391&lt;=10,"6-10",J391&lt;=15,"11-15",J391&lt;=20,"16-20",J391&gt;20,"20+")</f>
        <v>0-5</v>
      </c>
      <c r="L391">
        <v>40</v>
      </c>
      <c r="M391" s="2">
        <f t="shared" si="149"/>
        <v>40</v>
      </c>
      <c r="N391">
        <v>4.4000000000000004</v>
      </c>
      <c r="O391">
        <v>0</v>
      </c>
      <c r="P391" t="s">
        <v>2074</v>
      </c>
      <c r="Q391" s="1">
        <v>0.92</v>
      </c>
      <c r="R391" s="1">
        <f t="shared" si="150"/>
        <v>0.92</v>
      </c>
    </row>
    <row r="392" spans="1:18" x14ac:dyDescent="0.2">
      <c r="A392" t="s">
        <v>854</v>
      </c>
      <c r="B392" t="s">
        <v>855</v>
      </c>
      <c r="C392" t="str">
        <f t="shared" si="141"/>
        <v>Joanne Reyes</v>
      </c>
      <c r="D392" t="s">
        <v>24</v>
      </c>
      <c r="E392" t="str">
        <f t="shared" si="142"/>
        <v>Female</v>
      </c>
      <c r="F392">
        <v>48</v>
      </c>
      <c r="G392" t="s">
        <v>143</v>
      </c>
      <c r="H392" t="s">
        <v>144</v>
      </c>
      <c r="I392" t="s">
        <v>41</v>
      </c>
      <c r="J392">
        <v>21</v>
      </c>
      <c r="K392" t="str" cm="1">
        <f t="array" ref="K392">_xlfn.IFS( J392&lt;=5,"0-5", J392&lt;=10,"6-10",J392&lt;=15,"11-15",J392&lt;=20,"16-20",J392&gt;20,"20+")</f>
        <v>20+</v>
      </c>
      <c r="L392">
        <v>40</v>
      </c>
      <c r="M392" s="2">
        <f t="shared" si="149"/>
        <v>40</v>
      </c>
      <c r="N392">
        <v>2.2999999999999998</v>
      </c>
      <c r="O392">
        <v>0</v>
      </c>
      <c r="P392" t="s">
        <v>2074</v>
      </c>
    </row>
    <row r="393" spans="1:18" x14ac:dyDescent="0.2">
      <c r="A393" t="s">
        <v>856</v>
      </c>
      <c r="B393" t="s">
        <v>857</v>
      </c>
      <c r="C393" t="str">
        <f t="shared" si="141"/>
        <v>Isaac Gray</v>
      </c>
      <c r="D393" t="s">
        <v>51</v>
      </c>
      <c r="E393" t="str">
        <f t="shared" si="142"/>
        <v>Male</v>
      </c>
      <c r="F393">
        <v>21</v>
      </c>
      <c r="G393" t="s">
        <v>143</v>
      </c>
      <c r="H393" t="s">
        <v>144</v>
      </c>
      <c r="I393" t="s">
        <v>34</v>
      </c>
      <c r="J393">
        <v>1</v>
      </c>
      <c r="K393" t="str" cm="1">
        <f t="array" ref="K393">_xlfn.IFS( J393&lt;=5,"0-5", J393&lt;=10,"6-10",J393&lt;=15,"11-15",J393&lt;=20,"16-20",J393&gt;20,"20+")</f>
        <v>0-5</v>
      </c>
      <c r="L393" t="s">
        <v>111</v>
      </c>
      <c r="M393" t="str">
        <f>SUBSTITUTE(L393,"$"," ")</f>
        <v xml:space="preserve"> 20</v>
      </c>
      <c r="N393">
        <v>2.4</v>
      </c>
      <c r="O393">
        <v>1</v>
      </c>
      <c r="Q393" s="1">
        <v>0.66</v>
      </c>
      <c r="R393" s="1">
        <f t="shared" ref="R393:R394" si="151">Q393</f>
        <v>0.66</v>
      </c>
    </row>
    <row r="394" spans="1:18" x14ac:dyDescent="0.2">
      <c r="A394" t="s">
        <v>858</v>
      </c>
      <c r="B394" t="s">
        <v>859</v>
      </c>
      <c r="C394" t="str">
        <f t="shared" si="141"/>
        <v>Joshua Roberts</v>
      </c>
      <c r="D394" t="s">
        <v>38</v>
      </c>
      <c r="E394" t="str">
        <f t="shared" si="142"/>
        <v>Male</v>
      </c>
      <c r="F394">
        <v>37</v>
      </c>
      <c r="G394" t="s">
        <v>5</v>
      </c>
      <c r="H394" t="s">
        <v>6</v>
      </c>
      <c r="I394" t="s">
        <v>79</v>
      </c>
      <c r="K394" t="str" cm="1">
        <f t="array" ref="K394">_xlfn.IFS( J394&lt;=5,"0-5", J394&lt;=10,"6-10",J394&lt;=15,"11-15",J394&lt;=20,"16-20",J394&gt;20,"20+")</f>
        <v>0-5</v>
      </c>
      <c r="L394">
        <v>50</v>
      </c>
      <c r="M394" s="2">
        <f t="shared" ref="M394:M395" si="152">L394</f>
        <v>50</v>
      </c>
      <c r="N394">
        <v>4.5999999999999996</v>
      </c>
      <c r="O394">
        <v>0</v>
      </c>
      <c r="P394" t="s">
        <v>2074</v>
      </c>
      <c r="Q394" s="1">
        <v>0.83</v>
      </c>
      <c r="R394" s="1">
        <f t="shared" si="151"/>
        <v>0.83</v>
      </c>
    </row>
    <row r="395" spans="1:18" x14ac:dyDescent="0.2">
      <c r="A395" t="s">
        <v>860</v>
      </c>
      <c r="B395" t="s">
        <v>861</v>
      </c>
      <c r="C395" t="str">
        <f t="shared" si="141"/>
        <v>Elizabeth Estrada</v>
      </c>
      <c r="D395" t="s">
        <v>24</v>
      </c>
      <c r="E395" t="str">
        <f t="shared" si="142"/>
        <v>Female</v>
      </c>
      <c r="F395">
        <v>31</v>
      </c>
      <c r="G395" t="s">
        <v>18</v>
      </c>
      <c r="H395" t="s">
        <v>19</v>
      </c>
      <c r="I395" t="s">
        <v>63</v>
      </c>
      <c r="J395">
        <v>10</v>
      </c>
      <c r="K395" t="str" cm="1">
        <f t="array" ref="K395">_xlfn.IFS( J395&lt;=5,"0-5", J395&lt;=10,"6-10",J395&lt;=15,"11-15",J395&lt;=20,"16-20",J395&gt;20,"20+")</f>
        <v>6-10</v>
      </c>
      <c r="L395">
        <v>50</v>
      </c>
      <c r="M395" s="2">
        <f t="shared" si="152"/>
        <v>50</v>
      </c>
      <c r="N395">
        <v>0</v>
      </c>
      <c r="O395" t="s">
        <v>149</v>
      </c>
      <c r="P395" t="s">
        <v>2074</v>
      </c>
    </row>
    <row r="396" spans="1:18" x14ac:dyDescent="0.2">
      <c r="A396" t="s">
        <v>862</v>
      </c>
      <c r="B396" t="s">
        <v>863</v>
      </c>
      <c r="C396" t="str">
        <f t="shared" si="141"/>
        <v>Lori Malone</v>
      </c>
      <c r="D396" t="s">
        <v>4</v>
      </c>
      <c r="E396" t="str">
        <f t="shared" si="142"/>
        <v>Female</v>
      </c>
      <c r="F396">
        <v>41</v>
      </c>
      <c r="G396" t="s">
        <v>129</v>
      </c>
      <c r="H396" t="s">
        <v>130</v>
      </c>
      <c r="I396" t="s">
        <v>7</v>
      </c>
      <c r="J396">
        <v>21</v>
      </c>
      <c r="K396" t="str" cm="1">
        <f t="array" ref="K396">_xlfn.IFS( J396&lt;=5,"0-5", J396&lt;=10,"6-10",J396&lt;=15,"11-15",J396&lt;=20,"16-20",J396&gt;20,"20+")</f>
        <v>20+</v>
      </c>
      <c r="M396"/>
      <c r="N396">
        <v>0</v>
      </c>
      <c r="O396" t="s">
        <v>64</v>
      </c>
    </row>
    <row r="397" spans="1:18" x14ac:dyDescent="0.2">
      <c r="A397" t="s">
        <v>864</v>
      </c>
      <c r="B397" t="s">
        <v>865</v>
      </c>
      <c r="C397" t="str">
        <f t="shared" si="141"/>
        <v>Anthony Huynh MD</v>
      </c>
      <c r="D397" t="s">
        <v>17</v>
      </c>
      <c r="E397" t="str">
        <f t="shared" si="142"/>
        <v>Male</v>
      </c>
      <c r="F397">
        <v>31</v>
      </c>
      <c r="G397" t="s">
        <v>114</v>
      </c>
      <c r="H397" t="s">
        <v>115</v>
      </c>
      <c r="I397" t="s">
        <v>68</v>
      </c>
      <c r="J397">
        <v>0</v>
      </c>
      <c r="K397" t="str" cm="1">
        <f t="array" ref="K397">_xlfn.IFS( J397&lt;=5,"0-5", J397&lt;=10,"6-10",J397&lt;=15,"11-15",J397&lt;=20,"16-20",J397&gt;20,"20+")</f>
        <v>0-5</v>
      </c>
      <c r="L397" t="s">
        <v>111</v>
      </c>
      <c r="M397" t="str">
        <f>SUBSTITUTE(L397,"$"," ")</f>
        <v xml:space="preserve"> 20</v>
      </c>
      <c r="N397">
        <v>4.2</v>
      </c>
      <c r="O397" t="s">
        <v>64</v>
      </c>
      <c r="Q397">
        <v>82</v>
      </c>
      <c r="R397" s="3">
        <f>Q397/100</f>
        <v>0.82</v>
      </c>
    </row>
    <row r="398" spans="1:18" x14ac:dyDescent="0.2">
      <c r="A398" t="s">
        <v>866</v>
      </c>
      <c r="B398" t="s">
        <v>867</v>
      </c>
      <c r="C398" t="str">
        <f t="shared" si="141"/>
        <v>Mindy York</v>
      </c>
      <c r="D398" t="s">
        <v>10</v>
      </c>
      <c r="E398" t="str">
        <f t="shared" si="142"/>
        <v>Female</v>
      </c>
      <c r="F398">
        <v>58</v>
      </c>
      <c r="G398" t="s">
        <v>61</v>
      </c>
      <c r="H398" t="s">
        <v>62</v>
      </c>
      <c r="I398" t="s">
        <v>41</v>
      </c>
      <c r="J398">
        <v>0</v>
      </c>
      <c r="K398" t="str" cm="1">
        <f t="array" ref="K398">_xlfn.IFS( J398&lt;=5,"0-5", J398&lt;=10,"6-10",J398&lt;=15,"11-15",J398&lt;=20,"16-20",J398&gt;20,"20+")</f>
        <v>0-5</v>
      </c>
      <c r="L398">
        <v>50</v>
      </c>
      <c r="M398" s="2">
        <f>L398</f>
        <v>50</v>
      </c>
      <c r="N398">
        <v>2.2999999999999998</v>
      </c>
      <c r="O398">
        <v>0</v>
      </c>
      <c r="P398" t="s">
        <v>2074</v>
      </c>
      <c r="Q398" s="1">
        <v>0.77</v>
      </c>
      <c r="R398" s="1">
        <f t="shared" ref="R398:R405" si="153">Q398</f>
        <v>0.77</v>
      </c>
    </row>
    <row r="399" spans="1:18" x14ac:dyDescent="0.2">
      <c r="A399" t="s">
        <v>868</v>
      </c>
      <c r="B399" t="s">
        <v>869</v>
      </c>
      <c r="C399" t="str">
        <f>_xlfn.TEXTAFTER(B399,".",)</f>
        <v xml:space="preserve"> Christine Cherry</v>
      </c>
      <c r="D399" t="s">
        <v>4</v>
      </c>
      <c r="F399">
        <v>45</v>
      </c>
      <c r="G399" t="s">
        <v>32</v>
      </c>
      <c r="H399" t="s">
        <v>33</v>
      </c>
      <c r="I399" t="s">
        <v>41</v>
      </c>
      <c r="J399">
        <v>17</v>
      </c>
      <c r="K399" t="str" cm="1">
        <f t="array" ref="K399">_xlfn.IFS( J399&lt;=5,"0-5", J399&lt;=10,"6-10",J399&lt;=15,"11-15",J399&lt;=20,"16-20",J399&gt;20,"20+")</f>
        <v>16-20</v>
      </c>
      <c r="L399" t="s">
        <v>54</v>
      </c>
      <c r="M399" t="str">
        <f>SUBSTITUTE(L399,"$"," ")</f>
        <v xml:space="preserve"> 50</v>
      </c>
      <c r="N399">
        <v>4.7</v>
      </c>
      <c r="O399">
        <v>1</v>
      </c>
      <c r="Q399" s="1">
        <v>0.73</v>
      </c>
      <c r="R399" s="1">
        <f t="shared" si="153"/>
        <v>0.73</v>
      </c>
    </row>
    <row r="400" spans="1:18" x14ac:dyDescent="0.2">
      <c r="A400" t="s">
        <v>870</v>
      </c>
      <c r="B400" t="s">
        <v>871</v>
      </c>
      <c r="C400" t="str">
        <f>B400</f>
        <v>Daniel Foster</v>
      </c>
      <c r="D400" t="s">
        <v>38</v>
      </c>
      <c r="E400" t="str">
        <f>IF(LOWER(LEFT(D400,1)) ="f", "Female", "Male")</f>
        <v>Male</v>
      </c>
      <c r="F400">
        <v>51</v>
      </c>
      <c r="G400" t="s">
        <v>102</v>
      </c>
      <c r="H400" t="s">
        <v>103</v>
      </c>
      <c r="I400" t="s">
        <v>68</v>
      </c>
      <c r="J400">
        <v>5</v>
      </c>
      <c r="K400" t="str" cm="1">
        <f t="array" ref="K400">_xlfn.IFS( J400&lt;=5,"0-5", J400&lt;=10,"6-10",J400&lt;=15,"11-15",J400&lt;=20,"16-20",J400&gt;20,"20+")</f>
        <v>0-5</v>
      </c>
      <c r="M400"/>
      <c r="N400">
        <v>3</v>
      </c>
      <c r="O400">
        <v>1</v>
      </c>
      <c r="Q400" s="1">
        <v>0.88</v>
      </c>
      <c r="R400" s="1">
        <f t="shared" si="153"/>
        <v>0.88</v>
      </c>
    </row>
    <row r="401" spans="1:18" x14ac:dyDescent="0.2">
      <c r="A401" t="s">
        <v>872</v>
      </c>
      <c r="B401" t="s">
        <v>873</v>
      </c>
      <c r="C401" t="str">
        <f>_xlfn.TEXTAFTER(B401,".",)</f>
        <v xml:space="preserve"> David Valencia</v>
      </c>
      <c r="D401" t="s">
        <v>51</v>
      </c>
      <c r="F401">
        <v>54</v>
      </c>
      <c r="G401" t="s">
        <v>48</v>
      </c>
      <c r="H401" t="s">
        <v>12</v>
      </c>
      <c r="I401" t="s">
        <v>63</v>
      </c>
      <c r="J401">
        <v>3</v>
      </c>
      <c r="K401" t="str" cm="1">
        <f t="array" ref="K401">_xlfn.IFS( J401&lt;=5,"0-5", J401&lt;=10,"6-10",J401&lt;=15,"11-15",J401&lt;=20,"16-20",J401&gt;20,"20+")</f>
        <v>0-5</v>
      </c>
      <c r="L401" t="s">
        <v>99</v>
      </c>
      <c r="M401" t="str">
        <f>_xlfn.TEXTAFTER(L401, " ")</f>
        <v>30</v>
      </c>
      <c r="N401">
        <v>2.4</v>
      </c>
      <c r="O401">
        <v>0</v>
      </c>
      <c r="Q401" s="1">
        <v>0.81</v>
      </c>
      <c r="R401" s="1">
        <f t="shared" si="153"/>
        <v>0.81</v>
      </c>
    </row>
    <row r="402" spans="1:18" x14ac:dyDescent="0.2">
      <c r="A402" t="s">
        <v>874</v>
      </c>
      <c r="B402" t="s">
        <v>875</v>
      </c>
      <c r="C402" t="str">
        <f t="shared" ref="C402:C432" si="154">B402</f>
        <v>Ethan Adams</v>
      </c>
      <c r="D402" t="s">
        <v>82</v>
      </c>
      <c r="E402" t="str">
        <f t="shared" ref="E402:E432" si="155">IF(LOWER(LEFT(D402,1)) ="f", "Female", "Male")</f>
        <v>Male</v>
      </c>
      <c r="F402">
        <v>22</v>
      </c>
      <c r="G402" t="s">
        <v>114</v>
      </c>
      <c r="H402" t="s">
        <v>115</v>
      </c>
      <c r="I402" t="s">
        <v>41</v>
      </c>
      <c r="J402">
        <v>1</v>
      </c>
      <c r="K402" t="str" cm="1">
        <f t="array" ref="K402">_xlfn.IFS( J402&lt;=5,"0-5", J402&lt;=10,"6-10",J402&lt;=15,"11-15",J402&lt;=20,"16-20",J402&gt;20,"20+")</f>
        <v>0-5</v>
      </c>
      <c r="L402">
        <v>20</v>
      </c>
      <c r="M402" s="2">
        <f t="shared" ref="M402:M403" si="156">L402</f>
        <v>20</v>
      </c>
      <c r="N402">
        <v>1.7</v>
      </c>
      <c r="O402" t="s">
        <v>21</v>
      </c>
      <c r="P402" t="s">
        <v>2074</v>
      </c>
      <c r="Q402" s="1">
        <v>0.78</v>
      </c>
      <c r="R402" s="1">
        <f t="shared" si="153"/>
        <v>0.78</v>
      </c>
    </row>
    <row r="403" spans="1:18" x14ac:dyDescent="0.2">
      <c r="A403" t="s">
        <v>876</v>
      </c>
      <c r="B403" t="s">
        <v>877</v>
      </c>
      <c r="C403" t="str">
        <f t="shared" si="154"/>
        <v>Brett Moore</v>
      </c>
      <c r="D403" t="s">
        <v>82</v>
      </c>
      <c r="E403" t="str">
        <f t="shared" si="155"/>
        <v>Male</v>
      </c>
      <c r="F403">
        <v>36</v>
      </c>
      <c r="G403" t="s">
        <v>52</v>
      </c>
      <c r="H403" t="s">
        <v>53</v>
      </c>
      <c r="I403" t="s">
        <v>68</v>
      </c>
      <c r="J403">
        <v>2</v>
      </c>
      <c r="K403" t="str" cm="1">
        <f t="array" ref="K403">_xlfn.IFS( J403&lt;=5,"0-5", J403&lt;=10,"6-10",J403&lt;=15,"11-15",J403&lt;=20,"16-20",J403&gt;20,"20+")</f>
        <v>0-5</v>
      </c>
      <c r="L403">
        <v>75</v>
      </c>
      <c r="M403" s="2">
        <f t="shared" si="156"/>
        <v>75</v>
      </c>
      <c r="N403">
        <v>0</v>
      </c>
      <c r="O403" t="b">
        <v>0</v>
      </c>
      <c r="P403" t="s">
        <v>2074</v>
      </c>
      <c r="Q403" s="1">
        <v>0.92</v>
      </c>
      <c r="R403" s="1">
        <f t="shared" si="153"/>
        <v>0.92</v>
      </c>
    </row>
    <row r="404" spans="1:18" x14ac:dyDescent="0.2">
      <c r="A404" t="s">
        <v>878</v>
      </c>
      <c r="B404" t="s">
        <v>879</v>
      </c>
      <c r="C404" t="str">
        <f t="shared" si="154"/>
        <v>Phillip Griffin</v>
      </c>
      <c r="D404" t="s">
        <v>51</v>
      </c>
      <c r="E404" t="str">
        <f t="shared" si="155"/>
        <v>Male</v>
      </c>
      <c r="F404">
        <v>50</v>
      </c>
      <c r="G404" t="s">
        <v>18</v>
      </c>
      <c r="H404" t="s">
        <v>19</v>
      </c>
      <c r="I404" t="s">
        <v>79</v>
      </c>
      <c r="J404">
        <v>32</v>
      </c>
      <c r="K404" t="str" cm="1">
        <f t="array" ref="K404">_xlfn.IFS( J404&lt;=5,"0-5", J404&lt;=10,"6-10",J404&lt;=15,"11-15",J404&lt;=20,"16-20",J404&gt;20,"20+")</f>
        <v>20+</v>
      </c>
      <c r="L404" t="s">
        <v>35</v>
      </c>
      <c r="M404" t="str">
        <f>SUBSTITUTE(L404,"$"," ")</f>
        <v xml:space="preserve"> 30</v>
      </c>
      <c r="O404">
        <v>0</v>
      </c>
      <c r="Q404" s="1">
        <v>0.64</v>
      </c>
      <c r="R404" s="1">
        <f t="shared" si="153"/>
        <v>0.64</v>
      </c>
    </row>
    <row r="405" spans="1:18" x14ac:dyDescent="0.2">
      <c r="A405" t="s">
        <v>880</v>
      </c>
      <c r="B405" t="s">
        <v>881</v>
      </c>
      <c r="C405" t="str">
        <f t="shared" si="154"/>
        <v>Stacie Wall</v>
      </c>
      <c r="D405" t="s">
        <v>67</v>
      </c>
      <c r="E405" t="str">
        <f t="shared" si="155"/>
        <v>Female</v>
      </c>
      <c r="F405">
        <v>41</v>
      </c>
      <c r="G405" t="s">
        <v>11</v>
      </c>
      <c r="H405" t="s">
        <v>12</v>
      </c>
      <c r="I405" t="s">
        <v>7</v>
      </c>
      <c r="J405">
        <v>14</v>
      </c>
      <c r="K405" t="str" cm="1">
        <f t="array" ref="K405">_xlfn.IFS( J405&lt;=5,"0-5", J405&lt;=10,"6-10",J405&lt;=15,"11-15",J405&lt;=20,"16-20",J405&gt;20,"20+")</f>
        <v>11-15</v>
      </c>
      <c r="L405">
        <v>30</v>
      </c>
      <c r="M405" s="2">
        <f t="shared" ref="M405:M406" si="157">L405</f>
        <v>30</v>
      </c>
      <c r="N405">
        <v>0</v>
      </c>
      <c r="O405" t="s">
        <v>64</v>
      </c>
      <c r="P405" t="s">
        <v>2075</v>
      </c>
      <c r="Q405" s="1">
        <v>0.78</v>
      </c>
      <c r="R405" s="1">
        <f t="shared" si="153"/>
        <v>0.78</v>
      </c>
    </row>
    <row r="406" spans="1:18" x14ac:dyDescent="0.2">
      <c r="A406" t="s">
        <v>882</v>
      </c>
      <c r="B406" t="s">
        <v>883</v>
      </c>
      <c r="C406" t="str">
        <f t="shared" si="154"/>
        <v>Jacob Austin</v>
      </c>
      <c r="D406" t="s">
        <v>82</v>
      </c>
      <c r="E406" t="str">
        <f t="shared" si="155"/>
        <v>Male</v>
      </c>
      <c r="G406" t="s">
        <v>143</v>
      </c>
      <c r="H406" t="s">
        <v>144</v>
      </c>
      <c r="I406" t="s">
        <v>25</v>
      </c>
      <c r="J406">
        <v>10</v>
      </c>
      <c r="K406" t="str" cm="1">
        <f t="array" ref="K406">_xlfn.IFS( J406&lt;=5,"0-5", J406&lt;=10,"6-10",J406&lt;=15,"11-15",J406&lt;=20,"16-20",J406&gt;20,"20+")</f>
        <v>6-10</v>
      </c>
      <c r="L406">
        <v>20</v>
      </c>
      <c r="M406" s="2">
        <f t="shared" si="157"/>
        <v>20</v>
      </c>
      <c r="N406">
        <v>1.8</v>
      </c>
      <c r="O406" t="s">
        <v>58</v>
      </c>
      <c r="P406" t="s">
        <v>2075</v>
      </c>
      <c r="Q406">
        <v>85</v>
      </c>
      <c r="R406" s="3">
        <f>Q406/100</f>
        <v>0.85</v>
      </c>
    </row>
    <row r="407" spans="1:18" x14ac:dyDescent="0.2">
      <c r="A407" t="s">
        <v>884</v>
      </c>
      <c r="B407" t="s">
        <v>885</v>
      </c>
      <c r="C407" t="str">
        <f t="shared" si="154"/>
        <v>Sabrina Davidson</v>
      </c>
      <c r="D407" t="s">
        <v>10</v>
      </c>
      <c r="E407" t="str">
        <f t="shared" si="155"/>
        <v>Female</v>
      </c>
      <c r="F407">
        <v>51</v>
      </c>
      <c r="G407" t="s">
        <v>32</v>
      </c>
      <c r="H407" t="s">
        <v>33</v>
      </c>
      <c r="I407" t="s">
        <v>68</v>
      </c>
      <c r="J407">
        <v>27</v>
      </c>
      <c r="K407" t="str" cm="1">
        <f t="array" ref="K407">_xlfn.IFS( J407&lt;=5,"0-5", J407&lt;=10,"6-10",J407&lt;=15,"11-15",J407&lt;=20,"16-20",J407&gt;20,"20+")</f>
        <v>20+</v>
      </c>
      <c r="L407" t="s">
        <v>54</v>
      </c>
      <c r="M407" t="str">
        <f t="shared" ref="M407:M408" si="158">SUBSTITUTE(L407,"$"," ")</f>
        <v xml:space="preserve"> 50</v>
      </c>
      <c r="N407">
        <v>0</v>
      </c>
      <c r="O407" t="s">
        <v>149</v>
      </c>
      <c r="Q407" s="1">
        <v>0.78</v>
      </c>
      <c r="R407" s="1">
        <f t="shared" ref="R407:R413" si="159">Q407</f>
        <v>0.78</v>
      </c>
    </row>
    <row r="408" spans="1:18" x14ac:dyDescent="0.2">
      <c r="A408" t="s">
        <v>886</v>
      </c>
      <c r="B408" t="s">
        <v>887</v>
      </c>
      <c r="C408" t="str">
        <f t="shared" si="154"/>
        <v>Dustin Douglas</v>
      </c>
      <c r="D408" t="s">
        <v>17</v>
      </c>
      <c r="E408" t="str">
        <f t="shared" si="155"/>
        <v>Male</v>
      </c>
      <c r="F408">
        <v>21</v>
      </c>
      <c r="G408" t="s">
        <v>125</v>
      </c>
      <c r="H408" t="s">
        <v>126</v>
      </c>
      <c r="I408" t="s">
        <v>34</v>
      </c>
      <c r="J408">
        <v>2</v>
      </c>
      <c r="K408" t="str" cm="1">
        <f t="array" ref="K408">_xlfn.IFS( J408&lt;=5,"0-5", J408&lt;=10,"6-10",J408&lt;=15,"11-15",J408&lt;=20,"16-20",J408&gt;20,"20+")</f>
        <v>0-5</v>
      </c>
      <c r="L408" t="s">
        <v>35</v>
      </c>
      <c r="M408" t="str">
        <f t="shared" si="158"/>
        <v xml:space="preserve"> 30</v>
      </c>
      <c r="N408">
        <v>3.8</v>
      </c>
      <c r="O408">
        <v>1</v>
      </c>
      <c r="Q408" s="1">
        <v>0.98</v>
      </c>
      <c r="R408" s="1">
        <f t="shared" si="159"/>
        <v>0.98</v>
      </c>
    </row>
    <row r="409" spans="1:18" x14ac:dyDescent="0.2">
      <c r="A409" t="s">
        <v>888</v>
      </c>
      <c r="B409" t="s">
        <v>889</v>
      </c>
      <c r="C409" t="str">
        <f t="shared" si="154"/>
        <v>Steven Norris</v>
      </c>
      <c r="D409" t="s">
        <v>51</v>
      </c>
      <c r="E409" t="str">
        <f t="shared" si="155"/>
        <v>Male</v>
      </c>
      <c r="F409">
        <v>51</v>
      </c>
      <c r="G409" t="s">
        <v>75</v>
      </c>
      <c r="H409" t="s">
        <v>76</v>
      </c>
      <c r="I409" t="s">
        <v>34</v>
      </c>
      <c r="J409">
        <v>33</v>
      </c>
      <c r="K409" t="str" cm="1">
        <f t="array" ref="K409">_xlfn.IFS( J409&lt;=5,"0-5", J409&lt;=10,"6-10",J409&lt;=15,"11-15",J409&lt;=20,"16-20",J409&gt;20,"20+")</f>
        <v>20+</v>
      </c>
      <c r="L409" t="s">
        <v>45</v>
      </c>
      <c r="M409" t="str">
        <f t="shared" ref="M409:M410" si="160">_xlfn.TEXTAFTER(L409, " ")</f>
        <v>40</v>
      </c>
      <c r="N409">
        <v>0</v>
      </c>
      <c r="O409" t="s">
        <v>64</v>
      </c>
      <c r="Q409" s="1">
        <v>0.63</v>
      </c>
      <c r="R409" s="1">
        <f t="shared" si="159"/>
        <v>0.63</v>
      </c>
    </row>
    <row r="410" spans="1:18" x14ac:dyDescent="0.2">
      <c r="A410" t="s">
        <v>890</v>
      </c>
      <c r="B410" t="s">
        <v>891</v>
      </c>
      <c r="C410" t="str">
        <f t="shared" si="154"/>
        <v>Mindy Sullivan</v>
      </c>
      <c r="D410" t="s">
        <v>29</v>
      </c>
      <c r="E410" t="str">
        <f t="shared" si="155"/>
        <v>Female</v>
      </c>
      <c r="F410">
        <v>37</v>
      </c>
      <c r="G410" t="s">
        <v>39</v>
      </c>
      <c r="H410" t="s">
        <v>40</v>
      </c>
      <c r="I410" t="s">
        <v>20</v>
      </c>
      <c r="J410">
        <v>11</v>
      </c>
      <c r="K410" t="str" cm="1">
        <f t="array" ref="K410">_xlfn.IFS( J410&lt;=5,"0-5", J410&lt;=10,"6-10",J410&lt;=15,"11-15",J410&lt;=20,"16-20",J410&gt;20,"20+")</f>
        <v>11-15</v>
      </c>
      <c r="L410" t="s">
        <v>45</v>
      </c>
      <c r="M410" t="str">
        <f t="shared" si="160"/>
        <v>40</v>
      </c>
      <c r="N410">
        <v>3.6</v>
      </c>
      <c r="O410" t="s">
        <v>21</v>
      </c>
      <c r="Q410" s="1">
        <v>0.73</v>
      </c>
      <c r="R410" s="1">
        <f t="shared" si="159"/>
        <v>0.73</v>
      </c>
    </row>
    <row r="411" spans="1:18" x14ac:dyDescent="0.2">
      <c r="A411" t="s">
        <v>892</v>
      </c>
      <c r="B411" t="s">
        <v>893</v>
      </c>
      <c r="C411" t="str">
        <f t="shared" si="154"/>
        <v>Elizabeth Stone</v>
      </c>
      <c r="D411" t="s">
        <v>4</v>
      </c>
      <c r="E411" t="str">
        <f t="shared" si="155"/>
        <v>Female</v>
      </c>
      <c r="F411">
        <v>20</v>
      </c>
      <c r="G411" t="s">
        <v>180</v>
      </c>
      <c r="H411" t="s">
        <v>62</v>
      </c>
      <c r="I411" t="s">
        <v>20</v>
      </c>
      <c r="J411">
        <v>2</v>
      </c>
      <c r="K411" t="str" cm="1">
        <f t="array" ref="K411">_xlfn.IFS( J411&lt;=5,"0-5", J411&lt;=10,"6-10",J411&lt;=15,"11-15",J411&lt;=20,"16-20",J411&gt;20,"20+")</f>
        <v>0-5</v>
      </c>
      <c r="L411">
        <v>30</v>
      </c>
      <c r="M411" s="2">
        <f>L411</f>
        <v>30</v>
      </c>
      <c r="N411">
        <v>0</v>
      </c>
      <c r="O411">
        <v>0</v>
      </c>
      <c r="P411" t="s">
        <v>2074</v>
      </c>
      <c r="Q411" s="1">
        <v>0.94</v>
      </c>
      <c r="R411" s="1">
        <f t="shared" si="159"/>
        <v>0.94</v>
      </c>
    </row>
    <row r="412" spans="1:18" x14ac:dyDescent="0.2">
      <c r="A412" t="s">
        <v>894</v>
      </c>
      <c r="B412" t="s">
        <v>895</v>
      </c>
      <c r="C412" t="str">
        <f t="shared" si="154"/>
        <v>Diane Flores</v>
      </c>
      <c r="D412" t="s">
        <v>67</v>
      </c>
      <c r="E412" t="str">
        <f t="shared" si="155"/>
        <v>Female</v>
      </c>
      <c r="F412">
        <v>50</v>
      </c>
      <c r="G412" t="s">
        <v>11</v>
      </c>
      <c r="H412" t="s">
        <v>12</v>
      </c>
      <c r="I412" t="s">
        <v>25</v>
      </c>
      <c r="J412">
        <v>31</v>
      </c>
      <c r="K412" t="str" cm="1">
        <f t="array" ref="K412">_xlfn.IFS( J412&lt;=5,"0-5", J412&lt;=10,"6-10",J412&lt;=15,"11-15",J412&lt;=20,"16-20",J412&gt;20,"20+")</f>
        <v>20+</v>
      </c>
      <c r="L412" t="s">
        <v>54</v>
      </c>
      <c r="M412" t="str">
        <f t="shared" ref="M412:M414" si="161">SUBSTITUTE(L412,"$"," ")</f>
        <v xml:space="preserve"> 50</v>
      </c>
      <c r="N412">
        <v>4.0999999999999996</v>
      </c>
      <c r="Q412" s="1">
        <v>0.81</v>
      </c>
      <c r="R412" s="1">
        <f t="shared" si="159"/>
        <v>0.81</v>
      </c>
    </row>
    <row r="413" spans="1:18" x14ac:dyDescent="0.2">
      <c r="A413" t="s">
        <v>896</v>
      </c>
      <c r="B413" t="s">
        <v>897</v>
      </c>
      <c r="C413" t="str">
        <f t="shared" si="154"/>
        <v>Jessica Erickson</v>
      </c>
      <c r="D413" t="s">
        <v>10</v>
      </c>
      <c r="E413" t="str">
        <f t="shared" si="155"/>
        <v>Female</v>
      </c>
      <c r="F413">
        <v>58</v>
      </c>
      <c r="G413" t="s">
        <v>52</v>
      </c>
      <c r="H413" t="s">
        <v>53</v>
      </c>
      <c r="I413" t="s">
        <v>20</v>
      </c>
      <c r="J413">
        <v>17</v>
      </c>
      <c r="K413" t="str" cm="1">
        <f t="array" ref="K413">_xlfn.IFS( J413&lt;=5,"0-5", J413&lt;=10,"6-10",J413&lt;=15,"11-15",J413&lt;=20,"16-20",J413&gt;20,"20+")</f>
        <v>16-20</v>
      </c>
      <c r="L413" t="s">
        <v>54</v>
      </c>
      <c r="M413" t="str">
        <f t="shared" si="161"/>
        <v xml:space="preserve"> 50</v>
      </c>
      <c r="N413">
        <v>2.6</v>
      </c>
      <c r="O413">
        <v>1</v>
      </c>
      <c r="Q413" s="1">
        <v>0.61</v>
      </c>
      <c r="R413" s="1">
        <f t="shared" si="159"/>
        <v>0.61</v>
      </c>
    </row>
    <row r="414" spans="1:18" x14ac:dyDescent="0.2">
      <c r="A414" t="s">
        <v>898</v>
      </c>
      <c r="B414" t="s">
        <v>899</v>
      </c>
      <c r="C414" t="str">
        <f t="shared" si="154"/>
        <v>Sara Moses</v>
      </c>
      <c r="D414" t="s">
        <v>10</v>
      </c>
      <c r="E414" t="str">
        <f t="shared" si="155"/>
        <v>Female</v>
      </c>
      <c r="F414">
        <v>40</v>
      </c>
      <c r="G414" t="s">
        <v>97</v>
      </c>
      <c r="H414" t="s">
        <v>98</v>
      </c>
      <c r="I414" t="s">
        <v>63</v>
      </c>
      <c r="J414">
        <v>2</v>
      </c>
      <c r="K414" t="str" cm="1">
        <f t="array" ref="K414">_xlfn.IFS( J414&lt;=5,"0-5", J414&lt;=10,"6-10",J414&lt;=15,"11-15",J414&lt;=20,"16-20",J414&gt;20,"20+")</f>
        <v>0-5</v>
      </c>
      <c r="L414" t="s">
        <v>219</v>
      </c>
      <c r="M414" t="str">
        <f t="shared" si="161"/>
        <v xml:space="preserve"> 100</v>
      </c>
      <c r="N414">
        <v>0</v>
      </c>
      <c r="O414">
        <v>0</v>
      </c>
    </row>
    <row r="415" spans="1:18" x14ac:dyDescent="0.2">
      <c r="A415" t="s">
        <v>900</v>
      </c>
      <c r="B415" t="s">
        <v>901</v>
      </c>
      <c r="C415" t="str">
        <f t="shared" si="154"/>
        <v>Allison Henderson</v>
      </c>
      <c r="D415" t="s">
        <v>24</v>
      </c>
      <c r="E415" t="str">
        <f t="shared" si="155"/>
        <v>Female</v>
      </c>
      <c r="F415">
        <v>26</v>
      </c>
      <c r="G415" t="s">
        <v>129</v>
      </c>
      <c r="H415" t="s">
        <v>130</v>
      </c>
      <c r="I415" t="s">
        <v>25</v>
      </c>
      <c r="J415">
        <v>2</v>
      </c>
      <c r="K415" t="str" cm="1">
        <f t="array" ref="K415">_xlfn.IFS( J415&lt;=5,"0-5", J415&lt;=10,"6-10",J415&lt;=15,"11-15",J415&lt;=20,"16-20",J415&gt;20,"20+")</f>
        <v>0-5</v>
      </c>
      <c r="L415">
        <v>20</v>
      </c>
      <c r="M415" s="2">
        <f t="shared" ref="M415:M416" si="162">L415</f>
        <v>20</v>
      </c>
      <c r="N415">
        <v>1.3</v>
      </c>
      <c r="O415" t="s">
        <v>149</v>
      </c>
      <c r="P415" t="s">
        <v>2074</v>
      </c>
      <c r="Q415" s="1">
        <v>0.83</v>
      </c>
      <c r="R415" s="1">
        <f>Q415</f>
        <v>0.83</v>
      </c>
    </row>
    <row r="416" spans="1:18" x14ac:dyDescent="0.2">
      <c r="A416" t="s">
        <v>902</v>
      </c>
      <c r="B416" t="s">
        <v>903</v>
      </c>
      <c r="C416" t="str">
        <f t="shared" si="154"/>
        <v>Susan Dixon</v>
      </c>
      <c r="D416" t="s">
        <v>10</v>
      </c>
      <c r="E416" t="str">
        <f t="shared" si="155"/>
        <v>Female</v>
      </c>
      <c r="F416">
        <v>44</v>
      </c>
      <c r="G416" t="s">
        <v>102</v>
      </c>
      <c r="H416" t="s">
        <v>103</v>
      </c>
      <c r="I416" t="s">
        <v>68</v>
      </c>
      <c r="J416">
        <v>22</v>
      </c>
      <c r="K416" t="str" cm="1">
        <f t="array" ref="K416">_xlfn.IFS( J416&lt;=5,"0-5", J416&lt;=10,"6-10",J416&lt;=15,"11-15",J416&lt;=20,"16-20",J416&gt;20,"20+")</f>
        <v>20+</v>
      </c>
      <c r="L416">
        <v>30</v>
      </c>
      <c r="M416" s="2">
        <f t="shared" si="162"/>
        <v>30</v>
      </c>
      <c r="N416">
        <v>4.0999999999999996</v>
      </c>
      <c r="O416" t="s">
        <v>64</v>
      </c>
      <c r="P416" t="s">
        <v>2075</v>
      </c>
    </row>
    <row r="417" spans="1:18" x14ac:dyDescent="0.2">
      <c r="A417" t="s">
        <v>904</v>
      </c>
      <c r="B417" t="s">
        <v>905</v>
      </c>
      <c r="C417" t="str">
        <f t="shared" si="154"/>
        <v>David Morrison</v>
      </c>
      <c r="D417" t="s">
        <v>17</v>
      </c>
      <c r="E417" t="str">
        <f t="shared" si="155"/>
        <v>Male</v>
      </c>
      <c r="F417">
        <v>42</v>
      </c>
      <c r="G417" t="s">
        <v>169</v>
      </c>
      <c r="H417" t="s">
        <v>62</v>
      </c>
      <c r="I417" t="s">
        <v>104</v>
      </c>
      <c r="J417">
        <v>8</v>
      </c>
      <c r="K417" t="str" cm="1">
        <f t="array" ref="K417">_xlfn.IFS( J417&lt;=5,"0-5", J417&lt;=10,"6-10",J417&lt;=15,"11-15",J417&lt;=20,"16-20",J417&gt;20,"20+")</f>
        <v>6-10</v>
      </c>
      <c r="L417" t="s">
        <v>54</v>
      </c>
      <c r="M417" t="str">
        <f t="shared" ref="M417:M418" si="163">SUBSTITUTE(L417,"$"," ")</f>
        <v xml:space="preserve"> 50</v>
      </c>
      <c r="N417">
        <v>2.4</v>
      </c>
      <c r="O417" t="s">
        <v>149</v>
      </c>
      <c r="Q417" s="1">
        <v>0.68</v>
      </c>
      <c r="R417" s="1">
        <f t="shared" ref="R417:R418" si="164">Q417</f>
        <v>0.68</v>
      </c>
    </row>
    <row r="418" spans="1:18" x14ac:dyDescent="0.2">
      <c r="A418" t="s">
        <v>906</v>
      </c>
      <c r="B418" t="s">
        <v>326</v>
      </c>
      <c r="C418" t="str">
        <f t="shared" si="154"/>
        <v>Jason Carter</v>
      </c>
      <c r="D418" t="s">
        <v>82</v>
      </c>
      <c r="E418" t="str">
        <f t="shared" si="155"/>
        <v>Male</v>
      </c>
      <c r="F418">
        <v>38</v>
      </c>
      <c r="G418" t="s">
        <v>169</v>
      </c>
      <c r="H418" t="s">
        <v>62</v>
      </c>
      <c r="I418" t="s">
        <v>41</v>
      </c>
      <c r="J418">
        <v>9</v>
      </c>
      <c r="K418" t="str" cm="1">
        <f t="array" ref="K418">_xlfn.IFS( J418&lt;=5,"0-5", J418&lt;=10,"6-10",J418&lt;=15,"11-15",J418&lt;=20,"16-20",J418&gt;20,"20+")</f>
        <v>6-10</v>
      </c>
      <c r="L418" t="s">
        <v>54</v>
      </c>
      <c r="M418" t="str">
        <f t="shared" si="163"/>
        <v xml:space="preserve"> 50</v>
      </c>
      <c r="N418">
        <v>0</v>
      </c>
      <c r="O418">
        <v>0</v>
      </c>
      <c r="Q418" s="1">
        <v>0.74</v>
      </c>
      <c r="R418" s="1">
        <f t="shared" si="164"/>
        <v>0.74</v>
      </c>
    </row>
    <row r="419" spans="1:18" x14ac:dyDescent="0.2">
      <c r="A419" t="s">
        <v>907</v>
      </c>
      <c r="B419" t="s">
        <v>908</v>
      </c>
      <c r="C419" t="str">
        <f t="shared" si="154"/>
        <v>James Jacobs</v>
      </c>
      <c r="D419" t="s">
        <v>17</v>
      </c>
      <c r="E419" t="str">
        <f t="shared" si="155"/>
        <v>Male</v>
      </c>
      <c r="F419">
        <v>51</v>
      </c>
      <c r="G419" t="s">
        <v>129</v>
      </c>
      <c r="H419" t="s">
        <v>130</v>
      </c>
      <c r="I419" t="s">
        <v>25</v>
      </c>
      <c r="J419">
        <v>32</v>
      </c>
      <c r="K419" t="str" cm="1">
        <f t="array" ref="K419">_xlfn.IFS( J419&lt;=5,"0-5", J419&lt;=10,"6-10",J419&lt;=15,"11-15",J419&lt;=20,"16-20",J419&gt;20,"20+")</f>
        <v>20+</v>
      </c>
      <c r="L419">
        <v>100</v>
      </c>
      <c r="M419" s="2">
        <f>L419</f>
        <v>100</v>
      </c>
      <c r="N419">
        <v>4.4000000000000004</v>
      </c>
      <c r="O419" t="b">
        <v>0</v>
      </c>
      <c r="P419" t="s">
        <v>2074</v>
      </c>
      <c r="Q419">
        <v>91</v>
      </c>
      <c r="R419" s="3">
        <f>Q419/100</f>
        <v>0.91</v>
      </c>
    </row>
    <row r="420" spans="1:18" x14ac:dyDescent="0.2">
      <c r="A420" t="s">
        <v>909</v>
      </c>
      <c r="B420" t="s">
        <v>910</v>
      </c>
      <c r="C420" t="str">
        <f t="shared" si="154"/>
        <v>Kathleen Quinn</v>
      </c>
      <c r="D420" t="s">
        <v>29</v>
      </c>
      <c r="E420" t="str">
        <f t="shared" si="155"/>
        <v>Female</v>
      </c>
      <c r="F420">
        <v>36</v>
      </c>
      <c r="G420" t="s">
        <v>125</v>
      </c>
      <c r="H420" t="s">
        <v>126</v>
      </c>
      <c r="I420" t="s">
        <v>34</v>
      </c>
      <c r="J420">
        <v>8</v>
      </c>
      <c r="K420" t="str" cm="1">
        <f t="array" ref="K420">_xlfn.IFS( J420&lt;=5,"0-5", J420&lt;=10,"6-10",J420&lt;=15,"11-15",J420&lt;=20,"16-20",J420&gt;20,"20+")</f>
        <v>6-10</v>
      </c>
      <c r="L420" t="s">
        <v>14</v>
      </c>
      <c r="M420" t="str">
        <f>_xlfn.TEXTAFTER(L420, " ")</f>
        <v>100</v>
      </c>
      <c r="N420">
        <v>2.2000000000000002</v>
      </c>
      <c r="O420">
        <v>1</v>
      </c>
      <c r="Q420" s="1">
        <v>0.97</v>
      </c>
      <c r="R420" s="1">
        <f t="shared" ref="R420:R424" si="165">Q420</f>
        <v>0.97</v>
      </c>
    </row>
    <row r="421" spans="1:18" x14ac:dyDescent="0.2">
      <c r="A421" t="s">
        <v>911</v>
      </c>
      <c r="B421" t="s">
        <v>912</v>
      </c>
      <c r="C421" t="str">
        <f t="shared" si="154"/>
        <v>Natalie Frank MD</v>
      </c>
      <c r="D421" t="s">
        <v>10</v>
      </c>
      <c r="E421" t="str">
        <f t="shared" si="155"/>
        <v>Female</v>
      </c>
      <c r="F421">
        <v>37</v>
      </c>
      <c r="G421" t="s">
        <v>11</v>
      </c>
      <c r="H421" t="s">
        <v>12</v>
      </c>
      <c r="I421" t="s">
        <v>13</v>
      </c>
      <c r="J421">
        <v>10</v>
      </c>
      <c r="K421" t="str" cm="1">
        <f t="array" ref="K421">_xlfn.IFS( J421&lt;=5,"0-5", J421&lt;=10,"6-10",J421&lt;=15,"11-15",J421&lt;=20,"16-20",J421&gt;20,"20+")</f>
        <v>6-10</v>
      </c>
      <c r="L421">
        <v>30</v>
      </c>
      <c r="M421" s="2">
        <f t="shared" ref="M421:M422" si="166">L421</f>
        <v>30</v>
      </c>
      <c r="N421">
        <v>0</v>
      </c>
      <c r="O421">
        <v>0</v>
      </c>
      <c r="P421" t="s">
        <v>2074</v>
      </c>
      <c r="Q421" s="1">
        <v>0.96</v>
      </c>
      <c r="R421" s="1">
        <f t="shared" si="165"/>
        <v>0.96</v>
      </c>
    </row>
    <row r="422" spans="1:18" x14ac:dyDescent="0.2">
      <c r="A422" t="s">
        <v>913</v>
      </c>
      <c r="B422" t="s">
        <v>914</v>
      </c>
      <c r="C422" t="str">
        <f t="shared" si="154"/>
        <v>Michael Reed</v>
      </c>
      <c r="D422" t="s">
        <v>17</v>
      </c>
      <c r="E422" t="str">
        <f t="shared" si="155"/>
        <v>Male</v>
      </c>
      <c r="F422">
        <v>31</v>
      </c>
      <c r="G422" t="s">
        <v>143</v>
      </c>
      <c r="H422" t="s">
        <v>144</v>
      </c>
      <c r="I422" t="s">
        <v>79</v>
      </c>
      <c r="J422">
        <v>0</v>
      </c>
      <c r="K422" t="str" cm="1">
        <f t="array" ref="K422">_xlfn.IFS( J422&lt;=5,"0-5", J422&lt;=10,"6-10",J422&lt;=15,"11-15",J422&lt;=20,"16-20",J422&gt;20,"20+")</f>
        <v>0-5</v>
      </c>
      <c r="L422">
        <v>50</v>
      </c>
      <c r="M422" s="2">
        <f t="shared" si="166"/>
        <v>50</v>
      </c>
      <c r="N422">
        <v>1.1000000000000001</v>
      </c>
      <c r="O422" t="s">
        <v>64</v>
      </c>
      <c r="P422" t="s">
        <v>2075</v>
      </c>
      <c r="Q422" s="1">
        <v>0.73</v>
      </c>
      <c r="R422" s="1">
        <f t="shared" si="165"/>
        <v>0.73</v>
      </c>
    </row>
    <row r="423" spans="1:18" x14ac:dyDescent="0.2">
      <c r="A423" t="s">
        <v>915</v>
      </c>
      <c r="B423" t="s">
        <v>916</v>
      </c>
      <c r="C423" t="str">
        <f t="shared" si="154"/>
        <v>Sheila Smith</v>
      </c>
      <c r="D423" t="s">
        <v>4</v>
      </c>
      <c r="E423" t="str">
        <f t="shared" si="155"/>
        <v>Female</v>
      </c>
      <c r="F423">
        <v>47</v>
      </c>
      <c r="G423" t="s">
        <v>83</v>
      </c>
      <c r="H423" t="s">
        <v>84</v>
      </c>
      <c r="I423" t="s">
        <v>68</v>
      </c>
      <c r="J423">
        <v>22</v>
      </c>
      <c r="K423" t="str" cm="1">
        <f t="array" ref="K423">_xlfn.IFS( J423&lt;=5,"0-5", J423&lt;=10,"6-10",J423&lt;=15,"11-15",J423&lt;=20,"16-20",J423&gt;20,"20+")</f>
        <v>20+</v>
      </c>
      <c r="M423"/>
      <c r="N423">
        <v>1.4</v>
      </c>
      <c r="O423" t="s">
        <v>58</v>
      </c>
      <c r="Q423" s="1">
        <v>0.72</v>
      </c>
      <c r="R423" s="1">
        <f t="shared" si="165"/>
        <v>0.72</v>
      </c>
    </row>
    <row r="424" spans="1:18" x14ac:dyDescent="0.2">
      <c r="A424" t="s">
        <v>917</v>
      </c>
      <c r="B424" t="s">
        <v>918</v>
      </c>
      <c r="C424" t="str">
        <f t="shared" si="154"/>
        <v>Morgan Ford</v>
      </c>
      <c r="D424" t="s">
        <v>29</v>
      </c>
      <c r="E424" t="str">
        <f t="shared" si="155"/>
        <v>Female</v>
      </c>
      <c r="F424">
        <v>60</v>
      </c>
      <c r="G424" t="s">
        <v>169</v>
      </c>
      <c r="H424" t="s">
        <v>62</v>
      </c>
      <c r="I424" t="s">
        <v>63</v>
      </c>
      <c r="J424">
        <v>34</v>
      </c>
      <c r="K424" t="str" cm="1">
        <f t="array" ref="K424">_xlfn.IFS( J424&lt;=5,"0-5", J424&lt;=10,"6-10",J424&lt;=15,"11-15",J424&lt;=20,"16-20",J424&gt;20,"20+")</f>
        <v>20+</v>
      </c>
      <c r="L424" t="s">
        <v>219</v>
      </c>
      <c r="M424" t="str">
        <f>SUBSTITUTE(L424,"$"," ")</f>
        <v xml:space="preserve"> 100</v>
      </c>
      <c r="N424">
        <v>0</v>
      </c>
      <c r="O424" t="b">
        <v>1</v>
      </c>
      <c r="Q424" s="1">
        <v>0.74</v>
      </c>
      <c r="R424" s="1">
        <f t="shared" si="165"/>
        <v>0.74</v>
      </c>
    </row>
    <row r="425" spans="1:18" x14ac:dyDescent="0.2">
      <c r="A425" t="s">
        <v>919</v>
      </c>
      <c r="B425" t="s">
        <v>920</v>
      </c>
      <c r="C425" t="str">
        <f t="shared" si="154"/>
        <v>Linda Schultz</v>
      </c>
      <c r="D425" t="s">
        <v>10</v>
      </c>
      <c r="E425" t="str">
        <f t="shared" si="155"/>
        <v>Female</v>
      </c>
      <c r="F425">
        <v>48</v>
      </c>
      <c r="G425" t="s">
        <v>61</v>
      </c>
      <c r="H425" t="s">
        <v>62</v>
      </c>
      <c r="I425" t="s">
        <v>13</v>
      </c>
      <c r="J425">
        <v>5</v>
      </c>
      <c r="K425" t="str" cm="1">
        <f t="array" ref="K425">_xlfn.IFS( J425&lt;=5,"0-5", J425&lt;=10,"6-10",J425&lt;=15,"11-15",J425&lt;=20,"16-20",J425&gt;20,"20+")</f>
        <v>0-5</v>
      </c>
      <c r="L425">
        <v>30</v>
      </c>
      <c r="M425" s="2">
        <f t="shared" ref="M425:M428" si="167">L425</f>
        <v>30</v>
      </c>
      <c r="N425">
        <v>1.5</v>
      </c>
      <c r="O425" t="s">
        <v>21</v>
      </c>
      <c r="P425" t="s">
        <v>2074</v>
      </c>
    </row>
    <row r="426" spans="1:18" x14ac:dyDescent="0.2">
      <c r="A426" t="s">
        <v>921</v>
      </c>
      <c r="B426" t="s">
        <v>922</v>
      </c>
      <c r="C426" t="str">
        <f t="shared" si="154"/>
        <v>Regina Daniel</v>
      </c>
      <c r="D426" t="s">
        <v>24</v>
      </c>
      <c r="E426" t="str">
        <f t="shared" si="155"/>
        <v>Female</v>
      </c>
      <c r="F426">
        <v>24</v>
      </c>
      <c r="G426" t="s">
        <v>83</v>
      </c>
      <c r="H426" t="s">
        <v>84</v>
      </c>
      <c r="I426" t="s">
        <v>34</v>
      </c>
      <c r="J426">
        <v>3</v>
      </c>
      <c r="K426" t="str" cm="1">
        <f t="array" ref="K426">_xlfn.IFS( J426&lt;=5,"0-5", J426&lt;=10,"6-10",J426&lt;=15,"11-15",J426&lt;=20,"16-20",J426&gt;20,"20+")</f>
        <v>0-5</v>
      </c>
      <c r="L426">
        <v>20</v>
      </c>
      <c r="M426" s="2">
        <f t="shared" si="167"/>
        <v>20</v>
      </c>
      <c r="N426">
        <v>0</v>
      </c>
      <c r="O426">
        <v>1</v>
      </c>
      <c r="P426" t="s">
        <v>2075</v>
      </c>
    </row>
    <row r="427" spans="1:18" x14ac:dyDescent="0.2">
      <c r="A427" t="s">
        <v>923</v>
      </c>
      <c r="B427" t="s">
        <v>924</v>
      </c>
      <c r="C427" t="str">
        <f t="shared" si="154"/>
        <v>Allison Perkins</v>
      </c>
      <c r="D427" t="s">
        <v>10</v>
      </c>
      <c r="E427" t="str">
        <f t="shared" si="155"/>
        <v>Female</v>
      </c>
      <c r="F427">
        <v>35</v>
      </c>
      <c r="G427" t="s">
        <v>32</v>
      </c>
      <c r="H427" t="s">
        <v>33</v>
      </c>
      <c r="I427" t="s">
        <v>104</v>
      </c>
      <c r="J427">
        <v>10</v>
      </c>
      <c r="K427" t="str" cm="1">
        <f t="array" ref="K427">_xlfn.IFS( J427&lt;=5,"0-5", J427&lt;=10,"6-10",J427&lt;=15,"11-15",J427&lt;=20,"16-20",J427&gt;20,"20+")</f>
        <v>6-10</v>
      </c>
      <c r="L427">
        <v>75</v>
      </c>
      <c r="M427" s="2">
        <f t="shared" si="167"/>
        <v>75</v>
      </c>
      <c r="N427">
        <v>0</v>
      </c>
      <c r="Q427" s="1">
        <v>0.74</v>
      </c>
      <c r="R427" s="1">
        <f t="shared" ref="R427:R432" si="168">Q427</f>
        <v>0.74</v>
      </c>
    </row>
    <row r="428" spans="1:18" x14ac:dyDescent="0.2">
      <c r="A428" t="s">
        <v>925</v>
      </c>
      <c r="B428" t="s">
        <v>926</v>
      </c>
      <c r="C428" t="str">
        <f t="shared" si="154"/>
        <v>Bradley Weaver</v>
      </c>
      <c r="D428" t="s">
        <v>51</v>
      </c>
      <c r="E428" t="str">
        <f t="shared" si="155"/>
        <v>Male</v>
      </c>
      <c r="F428">
        <v>35</v>
      </c>
      <c r="G428" t="s">
        <v>48</v>
      </c>
      <c r="H428" t="s">
        <v>12</v>
      </c>
      <c r="I428" t="s">
        <v>79</v>
      </c>
      <c r="K428" t="str" cm="1">
        <f t="array" ref="K428">_xlfn.IFS( J428&lt;=5,"0-5", J428&lt;=10,"6-10",J428&lt;=15,"11-15",J428&lt;=20,"16-20",J428&gt;20,"20+")</f>
        <v>0-5</v>
      </c>
      <c r="L428">
        <v>100</v>
      </c>
      <c r="M428" s="2">
        <f t="shared" si="167"/>
        <v>100</v>
      </c>
      <c r="N428">
        <v>3.5</v>
      </c>
      <c r="O428" t="s">
        <v>64</v>
      </c>
      <c r="P428" t="s">
        <v>2075</v>
      </c>
      <c r="Q428" s="1">
        <v>0.71</v>
      </c>
      <c r="R428" s="1">
        <f t="shared" si="168"/>
        <v>0.71</v>
      </c>
    </row>
    <row r="429" spans="1:18" x14ac:dyDescent="0.2">
      <c r="A429" t="s">
        <v>927</v>
      </c>
      <c r="B429" t="s">
        <v>928</v>
      </c>
      <c r="C429" t="str">
        <f t="shared" si="154"/>
        <v>Sarah Hall</v>
      </c>
      <c r="D429" t="s">
        <v>67</v>
      </c>
      <c r="E429" t="str">
        <f t="shared" si="155"/>
        <v>Female</v>
      </c>
      <c r="F429">
        <v>29</v>
      </c>
      <c r="G429" t="s">
        <v>32</v>
      </c>
      <c r="H429" t="s">
        <v>33</v>
      </c>
      <c r="I429" t="s">
        <v>63</v>
      </c>
      <c r="J429">
        <v>6</v>
      </c>
      <c r="K429" t="str" cm="1">
        <f t="array" ref="K429">_xlfn.IFS( J429&lt;=5,"0-5", J429&lt;=10,"6-10",J429&lt;=15,"11-15",J429&lt;=20,"16-20",J429&gt;20,"20+")</f>
        <v>6-10</v>
      </c>
      <c r="M429"/>
      <c r="N429">
        <v>4.8</v>
      </c>
      <c r="O429" t="s">
        <v>21</v>
      </c>
      <c r="Q429" s="1">
        <v>0.83</v>
      </c>
      <c r="R429" s="1">
        <f t="shared" si="168"/>
        <v>0.83</v>
      </c>
    </row>
    <row r="430" spans="1:18" x14ac:dyDescent="0.2">
      <c r="A430" t="s">
        <v>929</v>
      </c>
      <c r="B430" t="s">
        <v>930</v>
      </c>
      <c r="C430" t="str">
        <f t="shared" si="154"/>
        <v>Diana Walton</v>
      </c>
      <c r="D430" t="s">
        <v>67</v>
      </c>
      <c r="E430" t="str">
        <f t="shared" si="155"/>
        <v>Female</v>
      </c>
      <c r="F430">
        <v>36</v>
      </c>
      <c r="G430" t="s">
        <v>5</v>
      </c>
      <c r="H430" t="s">
        <v>6</v>
      </c>
      <c r="I430" t="s">
        <v>104</v>
      </c>
      <c r="J430">
        <v>1</v>
      </c>
      <c r="K430" t="str" cm="1">
        <f t="array" ref="K430">_xlfn.IFS( J430&lt;=5,"0-5", J430&lt;=10,"6-10",J430&lt;=15,"11-15",J430&lt;=20,"16-20",J430&gt;20,"20+")</f>
        <v>0-5</v>
      </c>
      <c r="L430" t="s">
        <v>160</v>
      </c>
      <c r="M430" t="str">
        <f>SUBSTITUTE(L430,"$"," ")</f>
        <v xml:space="preserve"> 75</v>
      </c>
      <c r="Q430" s="1">
        <v>0.63</v>
      </c>
      <c r="R430" s="1">
        <f t="shared" si="168"/>
        <v>0.63</v>
      </c>
    </row>
    <row r="431" spans="1:18" x14ac:dyDescent="0.2">
      <c r="A431" t="s">
        <v>931</v>
      </c>
      <c r="B431" t="s">
        <v>932</v>
      </c>
      <c r="C431" t="str">
        <f t="shared" si="154"/>
        <v>Donna Davis</v>
      </c>
      <c r="D431" t="s">
        <v>10</v>
      </c>
      <c r="E431" t="str">
        <f t="shared" si="155"/>
        <v>Female</v>
      </c>
      <c r="F431">
        <v>44</v>
      </c>
      <c r="G431" t="s">
        <v>118</v>
      </c>
      <c r="H431" t="s">
        <v>12</v>
      </c>
      <c r="I431" t="s">
        <v>34</v>
      </c>
      <c r="J431">
        <v>0</v>
      </c>
      <c r="K431" t="str" cm="1">
        <f t="array" ref="K431">_xlfn.IFS( J431&lt;=5,"0-5", J431&lt;=10,"6-10",J431&lt;=15,"11-15",J431&lt;=20,"16-20",J431&gt;20,"20+")</f>
        <v>0-5</v>
      </c>
      <c r="M431"/>
      <c r="N431">
        <v>4.8</v>
      </c>
      <c r="Q431" s="1">
        <v>0.84</v>
      </c>
      <c r="R431" s="1">
        <f t="shared" si="168"/>
        <v>0.84</v>
      </c>
    </row>
    <row r="432" spans="1:18" x14ac:dyDescent="0.2">
      <c r="A432" t="s">
        <v>933</v>
      </c>
      <c r="B432" t="s">
        <v>934</v>
      </c>
      <c r="C432" t="str">
        <f t="shared" si="154"/>
        <v>Christopher Mcclain</v>
      </c>
      <c r="D432" t="s">
        <v>51</v>
      </c>
      <c r="E432" t="str">
        <f t="shared" si="155"/>
        <v>Male</v>
      </c>
      <c r="F432">
        <v>44</v>
      </c>
      <c r="G432" t="s">
        <v>143</v>
      </c>
      <c r="H432" t="s">
        <v>144</v>
      </c>
      <c r="I432" t="s">
        <v>25</v>
      </c>
      <c r="K432" t="str" cm="1">
        <f t="array" ref="K432">_xlfn.IFS( J432&lt;=5,"0-5", J432&lt;=10,"6-10",J432&lt;=15,"11-15",J432&lt;=20,"16-20",J432&gt;20,"20+")</f>
        <v>0-5</v>
      </c>
      <c r="M432"/>
      <c r="N432">
        <v>1.4</v>
      </c>
      <c r="O432">
        <v>0</v>
      </c>
      <c r="Q432" s="1">
        <v>0.93</v>
      </c>
      <c r="R432" s="1">
        <f t="shared" si="168"/>
        <v>0.93</v>
      </c>
    </row>
    <row r="433" spans="1:18" x14ac:dyDescent="0.2">
      <c r="A433" t="s">
        <v>935</v>
      </c>
      <c r="B433" t="s">
        <v>936</v>
      </c>
      <c r="C433" t="str">
        <f>_xlfn.TEXTAFTER(B433,".",)</f>
        <v xml:space="preserve"> Paul Williamson</v>
      </c>
      <c r="D433" t="s">
        <v>38</v>
      </c>
      <c r="F433">
        <v>40</v>
      </c>
      <c r="G433" t="s">
        <v>83</v>
      </c>
      <c r="H433" t="s">
        <v>84</v>
      </c>
      <c r="I433" t="s">
        <v>34</v>
      </c>
      <c r="J433">
        <v>13</v>
      </c>
      <c r="K433" t="str" cm="1">
        <f t="array" ref="K433">_xlfn.IFS( J433&lt;=5,"0-5", J433&lt;=10,"6-10",J433&lt;=15,"11-15",J433&lt;=20,"16-20",J433&gt;20,"20+")</f>
        <v>11-15</v>
      </c>
      <c r="L433" t="s">
        <v>14</v>
      </c>
      <c r="M433" t="str">
        <f>_xlfn.TEXTAFTER(L433, " ")</f>
        <v>100</v>
      </c>
      <c r="N433">
        <v>1.1000000000000001</v>
      </c>
      <c r="O433">
        <v>1</v>
      </c>
    </row>
    <row r="434" spans="1:18" x14ac:dyDescent="0.2">
      <c r="A434" t="s">
        <v>937</v>
      </c>
      <c r="B434" t="s">
        <v>938</v>
      </c>
      <c r="C434" t="str">
        <f t="shared" ref="C434:C453" si="169">B434</f>
        <v>Barbara Brown</v>
      </c>
      <c r="D434" t="s">
        <v>24</v>
      </c>
      <c r="E434" t="str">
        <f t="shared" ref="E434:E453" si="170">IF(LOWER(LEFT(D434,1)) ="f", "Female", "Male")</f>
        <v>Female</v>
      </c>
      <c r="F434">
        <v>53</v>
      </c>
      <c r="G434" t="s">
        <v>32</v>
      </c>
      <c r="H434" t="s">
        <v>33</v>
      </c>
      <c r="I434" t="s">
        <v>104</v>
      </c>
      <c r="J434">
        <v>13</v>
      </c>
      <c r="K434" t="str" cm="1">
        <f t="array" ref="K434">_xlfn.IFS( J434&lt;=5,"0-5", J434&lt;=10,"6-10",J434&lt;=15,"11-15",J434&lt;=20,"16-20",J434&gt;20,"20+")</f>
        <v>11-15</v>
      </c>
      <c r="L434" t="s">
        <v>54</v>
      </c>
      <c r="M434" t="str">
        <f>SUBSTITUTE(L434,"$"," ")</f>
        <v xml:space="preserve"> 50</v>
      </c>
      <c r="N434">
        <v>3.3</v>
      </c>
      <c r="O434" t="s">
        <v>64</v>
      </c>
      <c r="Q434" s="1">
        <v>0.93</v>
      </c>
      <c r="R434" s="1">
        <f t="shared" ref="R434:R443" si="171">Q434</f>
        <v>0.93</v>
      </c>
    </row>
    <row r="435" spans="1:18" x14ac:dyDescent="0.2">
      <c r="A435" t="s">
        <v>939</v>
      </c>
      <c r="B435" t="s">
        <v>940</v>
      </c>
      <c r="C435" t="str">
        <f t="shared" si="169"/>
        <v>Kimberly Allen</v>
      </c>
      <c r="D435" t="s">
        <v>4</v>
      </c>
      <c r="E435" t="str">
        <f t="shared" si="170"/>
        <v>Female</v>
      </c>
      <c r="F435">
        <v>35</v>
      </c>
      <c r="G435" t="s">
        <v>18</v>
      </c>
      <c r="H435" t="s">
        <v>19</v>
      </c>
      <c r="I435" t="s">
        <v>7</v>
      </c>
      <c r="J435">
        <v>0</v>
      </c>
      <c r="K435" t="str" cm="1">
        <f t="array" ref="K435">_xlfn.IFS( J435&lt;=5,"0-5", J435&lt;=10,"6-10",J435&lt;=15,"11-15",J435&lt;=20,"16-20",J435&gt;20,"20+")</f>
        <v>0-5</v>
      </c>
      <c r="L435" t="s">
        <v>99</v>
      </c>
      <c r="M435" t="str">
        <f t="shared" ref="M435:M436" si="172">_xlfn.TEXTAFTER(L435, " ")</f>
        <v>30</v>
      </c>
      <c r="N435">
        <v>4.5999999999999996</v>
      </c>
      <c r="Q435" s="1">
        <v>0.97</v>
      </c>
      <c r="R435" s="1">
        <f t="shared" si="171"/>
        <v>0.97</v>
      </c>
    </row>
    <row r="436" spans="1:18" x14ac:dyDescent="0.2">
      <c r="A436" t="s">
        <v>941</v>
      </c>
      <c r="B436" t="s">
        <v>942</v>
      </c>
      <c r="C436" t="str">
        <f t="shared" si="169"/>
        <v>Elizabeth Edwards</v>
      </c>
      <c r="D436" t="s">
        <v>10</v>
      </c>
      <c r="E436" t="str">
        <f t="shared" si="170"/>
        <v>Female</v>
      </c>
      <c r="F436">
        <v>27</v>
      </c>
      <c r="G436" t="s">
        <v>61</v>
      </c>
      <c r="H436" t="s">
        <v>62</v>
      </c>
      <c r="I436" t="s">
        <v>104</v>
      </c>
      <c r="J436">
        <v>7</v>
      </c>
      <c r="K436" t="str" cm="1">
        <f t="array" ref="K436">_xlfn.IFS( J436&lt;=5,"0-5", J436&lt;=10,"6-10",J436&lt;=15,"11-15",J436&lt;=20,"16-20",J436&gt;20,"20+")</f>
        <v>6-10</v>
      </c>
      <c r="L436" t="s">
        <v>42</v>
      </c>
      <c r="M436" t="str">
        <f t="shared" si="172"/>
        <v>75</v>
      </c>
      <c r="N436">
        <v>2.8</v>
      </c>
      <c r="O436">
        <v>1</v>
      </c>
      <c r="Q436" s="1">
        <v>0.92</v>
      </c>
      <c r="R436" s="1">
        <f t="shared" si="171"/>
        <v>0.92</v>
      </c>
    </row>
    <row r="437" spans="1:18" x14ac:dyDescent="0.2">
      <c r="A437" t="s">
        <v>943</v>
      </c>
      <c r="B437" t="s">
        <v>944</v>
      </c>
      <c r="C437" t="str">
        <f t="shared" si="169"/>
        <v>Anthony Downs</v>
      </c>
      <c r="D437" t="s">
        <v>51</v>
      </c>
      <c r="E437" t="str">
        <f t="shared" si="170"/>
        <v>Male</v>
      </c>
      <c r="F437">
        <v>34</v>
      </c>
      <c r="G437" t="s">
        <v>11</v>
      </c>
      <c r="H437" t="s">
        <v>12</v>
      </c>
      <c r="I437" t="s">
        <v>79</v>
      </c>
      <c r="J437">
        <v>6</v>
      </c>
      <c r="K437" t="str" cm="1">
        <f t="array" ref="K437">_xlfn.IFS( J437&lt;=5,"0-5", J437&lt;=10,"6-10",J437&lt;=15,"11-15",J437&lt;=20,"16-20",J437&gt;20,"20+")</f>
        <v>6-10</v>
      </c>
      <c r="L437">
        <v>50</v>
      </c>
      <c r="M437" s="2">
        <f t="shared" ref="M437:M439" si="173">L437</f>
        <v>50</v>
      </c>
      <c r="N437">
        <v>5</v>
      </c>
      <c r="O437" t="s">
        <v>64</v>
      </c>
      <c r="P437" t="s">
        <v>2075</v>
      </c>
      <c r="Q437" s="1">
        <v>0.92</v>
      </c>
      <c r="R437" s="1">
        <f t="shared" si="171"/>
        <v>0.92</v>
      </c>
    </row>
    <row r="438" spans="1:18" x14ac:dyDescent="0.2">
      <c r="A438" t="s">
        <v>945</v>
      </c>
      <c r="B438" t="s">
        <v>946</v>
      </c>
      <c r="C438" t="str">
        <f t="shared" si="169"/>
        <v>Jack Ortega</v>
      </c>
      <c r="D438" t="s">
        <v>17</v>
      </c>
      <c r="E438" t="str">
        <f t="shared" si="170"/>
        <v>Male</v>
      </c>
      <c r="F438">
        <v>24</v>
      </c>
      <c r="G438" t="s">
        <v>83</v>
      </c>
      <c r="H438" t="s">
        <v>84</v>
      </c>
      <c r="I438" t="s">
        <v>68</v>
      </c>
      <c r="J438">
        <v>2</v>
      </c>
      <c r="K438" t="str" cm="1">
        <f t="array" ref="K438">_xlfn.IFS( J438&lt;=5,"0-5", J438&lt;=10,"6-10",J438&lt;=15,"11-15",J438&lt;=20,"16-20",J438&gt;20,"20+")</f>
        <v>0-5</v>
      </c>
      <c r="L438">
        <v>75</v>
      </c>
      <c r="M438" s="2">
        <f t="shared" si="173"/>
        <v>75</v>
      </c>
      <c r="N438">
        <v>4.7</v>
      </c>
      <c r="O438" t="s">
        <v>149</v>
      </c>
      <c r="P438" t="s">
        <v>2074</v>
      </c>
      <c r="Q438" s="1">
        <v>0.68</v>
      </c>
      <c r="R438" s="1">
        <f t="shared" si="171"/>
        <v>0.68</v>
      </c>
    </row>
    <row r="439" spans="1:18" x14ac:dyDescent="0.2">
      <c r="A439" t="s">
        <v>947</v>
      </c>
      <c r="B439" t="s">
        <v>948</v>
      </c>
      <c r="C439" t="str">
        <f t="shared" si="169"/>
        <v>Marvin Moore</v>
      </c>
      <c r="D439" t="s">
        <v>17</v>
      </c>
      <c r="E439" t="str">
        <f t="shared" si="170"/>
        <v>Male</v>
      </c>
      <c r="F439">
        <v>57</v>
      </c>
      <c r="G439" t="s">
        <v>48</v>
      </c>
      <c r="H439" t="s">
        <v>12</v>
      </c>
      <c r="I439" t="s">
        <v>63</v>
      </c>
      <c r="J439">
        <v>13</v>
      </c>
      <c r="K439" t="str" cm="1">
        <f t="array" ref="K439">_xlfn.IFS( J439&lt;=5,"0-5", J439&lt;=10,"6-10",J439&lt;=15,"11-15",J439&lt;=20,"16-20",J439&gt;20,"20+")</f>
        <v>11-15</v>
      </c>
      <c r="L439">
        <v>100</v>
      </c>
      <c r="M439" s="2">
        <f t="shared" si="173"/>
        <v>100</v>
      </c>
      <c r="N439">
        <v>3.5</v>
      </c>
      <c r="O439" t="s">
        <v>149</v>
      </c>
      <c r="P439" t="s">
        <v>2074</v>
      </c>
      <c r="Q439" s="1">
        <v>0.95</v>
      </c>
      <c r="R439" s="1">
        <f t="shared" si="171"/>
        <v>0.95</v>
      </c>
    </row>
    <row r="440" spans="1:18" x14ac:dyDescent="0.2">
      <c r="A440" t="s">
        <v>949</v>
      </c>
      <c r="B440" t="s">
        <v>950</v>
      </c>
      <c r="C440" t="str">
        <f t="shared" si="169"/>
        <v>Tony French</v>
      </c>
      <c r="D440" t="s">
        <v>38</v>
      </c>
      <c r="E440" t="str">
        <f t="shared" si="170"/>
        <v>Male</v>
      </c>
      <c r="F440">
        <v>28</v>
      </c>
      <c r="G440" t="s">
        <v>102</v>
      </c>
      <c r="H440" t="s">
        <v>103</v>
      </c>
      <c r="I440" t="s">
        <v>63</v>
      </c>
      <c r="J440">
        <v>7</v>
      </c>
      <c r="K440" t="str" cm="1">
        <f t="array" ref="K440">_xlfn.IFS( J440&lt;=5,"0-5", J440&lt;=10,"6-10",J440&lt;=15,"11-15",J440&lt;=20,"16-20",J440&gt;20,"20+")</f>
        <v>6-10</v>
      </c>
      <c r="L440" t="s">
        <v>219</v>
      </c>
      <c r="M440" t="str">
        <f>SUBSTITUTE(L440,"$"," ")</f>
        <v xml:space="preserve"> 100</v>
      </c>
      <c r="N440">
        <v>4.3</v>
      </c>
      <c r="O440" t="b">
        <v>0</v>
      </c>
      <c r="Q440" s="1">
        <v>0.76</v>
      </c>
      <c r="R440" s="1">
        <f t="shared" si="171"/>
        <v>0.76</v>
      </c>
    </row>
    <row r="441" spans="1:18" x14ac:dyDescent="0.2">
      <c r="A441" t="s">
        <v>951</v>
      </c>
      <c r="B441" t="s">
        <v>952</v>
      </c>
      <c r="C441" t="str">
        <f t="shared" si="169"/>
        <v>Stacy Hudson</v>
      </c>
      <c r="D441" t="s">
        <v>24</v>
      </c>
      <c r="E441" t="str">
        <f t="shared" si="170"/>
        <v>Female</v>
      </c>
      <c r="F441">
        <v>26</v>
      </c>
      <c r="G441" t="s">
        <v>5</v>
      </c>
      <c r="H441" t="s">
        <v>6</v>
      </c>
      <c r="I441" t="s">
        <v>79</v>
      </c>
      <c r="J441">
        <v>7</v>
      </c>
      <c r="K441" t="str" cm="1">
        <f t="array" ref="K441">_xlfn.IFS( J441&lt;=5,"0-5", J441&lt;=10,"6-10",J441&lt;=15,"11-15",J441&lt;=20,"16-20",J441&gt;20,"20+")</f>
        <v>6-10</v>
      </c>
      <c r="L441" t="s">
        <v>14</v>
      </c>
      <c r="M441" t="str">
        <f>_xlfn.TEXTAFTER(L441, " ")</f>
        <v>100</v>
      </c>
      <c r="N441">
        <v>3.3</v>
      </c>
      <c r="O441" t="s">
        <v>58</v>
      </c>
      <c r="Q441" s="1">
        <v>0.66</v>
      </c>
      <c r="R441" s="1">
        <f t="shared" si="171"/>
        <v>0.66</v>
      </c>
    </row>
    <row r="442" spans="1:18" x14ac:dyDescent="0.2">
      <c r="A442" t="s">
        <v>953</v>
      </c>
      <c r="B442" t="s">
        <v>954</v>
      </c>
      <c r="C442" t="str">
        <f t="shared" si="169"/>
        <v>Scott Washington</v>
      </c>
      <c r="D442" t="s">
        <v>87</v>
      </c>
      <c r="E442" t="str">
        <f t="shared" si="170"/>
        <v>Male</v>
      </c>
      <c r="F442">
        <v>34</v>
      </c>
      <c r="G442" t="s">
        <v>61</v>
      </c>
      <c r="H442" t="s">
        <v>62</v>
      </c>
      <c r="I442" t="s">
        <v>13</v>
      </c>
      <c r="J442">
        <v>15</v>
      </c>
      <c r="K442" t="str" cm="1">
        <f t="array" ref="K442">_xlfn.IFS( J442&lt;=5,"0-5", J442&lt;=10,"6-10",J442&lt;=15,"11-15",J442&lt;=20,"16-20",J442&gt;20,"20+")</f>
        <v>11-15</v>
      </c>
      <c r="L442">
        <v>75</v>
      </c>
      <c r="M442" s="2">
        <f>L442</f>
        <v>75</v>
      </c>
      <c r="O442">
        <v>0</v>
      </c>
      <c r="P442" t="s">
        <v>2074</v>
      </c>
      <c r="Q442" s="1">
        <v>0.73</v>
      </c>
      <c r="R442" s="1">
        <f t="shared" si="171"/>
        <v>0.73</v>
      </c>
    </row>
    <row r="443" spans="1:18" x14ac:dyDescent="0.2">
      <c r="A443" t="s">
        <v>955</v>
      </c>
      <c r="B443" t="s">
        <v>956</v>
      </c>
      <c r="C443" t="str">
        <f t="shared" si="169"/>
        <v>Timothy Wright</v>
      </c>
      <c r="D443" t="s">
        <v>87</v>
      </c>
      <c r="E443" t="str">
        <f t="shared" si="170"/>
        <v>Male</v>
      </c>
      <c r="F443">
        <v>43</v>
      </c>
      <c r="G443" t="s">
        <v>75</v>
      </c>
      <c r="H443" t="s">
        <v>76</v>
      </c>
      <c r="I443" t="s">
        <v>34</v>
      </c>
      <c r="K443" t="str" cm="1">
        <f t="array" ref="K443">_xlfn.IFS( J443&lt;=5,"0-5", J443&lt;=10,"6-10",J443&lt;=15,"11-15",J443&lt;=20,"16-20",J443&gt;20,"20+")</f>
        <v>0-5</v>
      </c>
      <c r="L443" t="s">
        <v>304</v>
      </c>
      <c r="M443" t="str">
        <f>_xlfn.TEXTAFTER(L443, " ")</f>
        <v>20</v>
      </c>
      <c r="N443">
        <v>2.8</v>
      </c>
      <c r="Q443" s="1">
        <v>0.99</v>
      </c>
      <c r="R443" s="1">
        <f t="shared" si="171"/>
        <v>0.99</v>
      </c>
    </row>
    <row r="444" spans="1:18" x14ac:dyDescent="0.2">
      <c r="A444" t="s">
        <v>957</v>
      </c>
      <c r="B444" t="s">
        <v>958</v>
      </c>
      <c r="C444" t="str">
        <f t="shared" si="169"/>
        <v>Joseph Gonzalez</v>
      </c>
      <c r="D444" t="s">
        <v>82</v>
      </c>
      <c r="E444" t="str">
        <f t="shared" si="170"/>
        <v>Male</v>
      </c>
      <c r="F444">
        <v>31</v>
      </c>
      <c r="G444" t="s">
        <v>165</v>
      </c>
      <c r="H444" t="s">
        <v>166</v>
      </c>
      <c r="I444" t="s">
        <v>20</v>
      </c>
      <c r="J444">
        <v>5</v>
      </c>
      <c r="K444" t="str" cm="1">
        <f t="array" ref="K444">_xlfn.IFS( J444&lt;=5,"0-5", J444&lt;=10,"6-10",J444&lt;=15,"11-15",J444&lt;=20,"16-20",J444&gt;20,"20+")</f>
        <v>0-5</v>
      </c>
      <c r="M444"/>
      <c r="N444">
        <v>2.7</v>
      </c>
      <c r="O444">
        <v>1</v>
      </c>
      <c r="Q444">
        <v>94</v>
      </c>
      <c r="R444" s="3">
        <f t="shared" ref="R444:R445" si="174">Q444/100</f>
        <v>0.94</v>
      </c>
    </row>
    <row r="445" spans="1:18" x14ac:dyDescent="0.2">
      <c r="A445" t="s">
        <v>959</v>
      </c>
      <c r="B445" t="s">
        <v>960</v>
      </c>
      <c r="C445" t="str">
        <f t="shared" si="169"/>
        <v>Andrea Perez</v>
      </c>
      <c r="D445" t="s">
        <v>10</v>
      </c>
      <c r="E445" t="str">
        <f t="shared" si="170"/>
        <v>Female</v>
      </c>
      <c r="F445">
        <v>34</v>
      </c>
      <c r="G445" t="s">
        <v>165</v>
      </c>
      <c r="H445" t="s">
        <v>166</v>
      </c>
      <c r="I445" t="s">
        <v>7</v>
      </c>
      <c r="K445" t="str" cm="1">
        <f t="array" ref="K445">_xlfn.IFS( J445&lt;=5,"0-5", J445&lt;=10,"6-10",J445&lt;=15,"11-15",J445&lt;=20,"16-20",J445&gt;20,"20+")</f>
        <v>0-5</v>
      </c>
      <c r="L445" t="s">
        <v>54</v>
      </c>
      <c r="M445" t="str">
        <f t="shared" ref="M445:M447" si="175">SUBSTITUTE(L445,"$"," ")</f>
        <v xml:space="preserve"> 50</v>
      </c>
      <c r="N445">
        <v>0</v>
      </c>
      <c r="O445" t="b">
        <v>0</v>
      </c>
      <c r="Q445">
        <v>84</v>
      </c>
      <c r="R445" s="3">
        <f t="shared" si="174"/>
        <v>0.84</v>
      </c>
    </row>
    <row r="446" spans="1:18" x14ac:dyDescent="0.2">
      <c r="A446" t="s">
        <v>961</v>
      </c>
      <c r="B446" t="s">
        <v>962</v>
      </c>
      <c r="C446" t="str">
        <f t="shared" si="169"/>
        <v>Angel Collins</v>
      </c>
      <c r="D446" t="s">
        <v>24</v>
      </c>
      <c r="E446" t="str">
        <f t="shared" si="170"/>
        <v>Female</v>
      </c>
      <c r="F446">
        <v>32</v>
      </c>
      <c r="G446" t="s">
        <v>114</v>
      </c>
      <c r="H446" t="s">
        <v>115</v>
      </c>
      <c r="I446" t="s">
        <v>68</v>
      </c>
      <c r="J446">
        <v>10</v>
      </c>
      <c r="K446" t="str" cm="1">
        <f t="array" ref="K446">_xlfn.IFS( J446&lt;=5,"0-5", J446&lt;=10,"6-10",J446&lt;=15,"11-15",J446&lt;=20,"16-20",J446&gt;20,"20+")</f>
        <v>6-10</v>
      </c>
      <c r="L446" t="s">
        <v>111</v>
      </c>
      <c r="M446" t="str">
        <f t="shared" si="175"/>
        <v xml:space="preserve"> 20</v>
      </c>
      <c r="O446" t="s">
        <v>64</v>
      </c>
      <c r="Q446" s="1">
        <v>0.92</v>
      </c>
      <c r="R446" s="1">
        <f>Q446</f>
        <v>0.92</v>
      </c>
    </row>
    <row r="447" spans="1:18" x14ac:dyDescent="0.2">
      <c r="A447" t="s">
        <v>963</v>
      </c>
      <c r="B447" t="s">
        <v>964</v>
      </c>
      <c r="C447" t="str">
        <f t="shared" si="169"/>
        <v>Daniel Terry</v>
      </c>
      <c r="D447" t="s">
        <v>38</v>
      </c>
      <c r="E447" t="str">
        <f t="shared" si="170"/>
        <v>Male</v>
      </c>
      <c r="F447">
        <v>24</v>
      </c>
      <c r="G447" t="s">
        <v>129</v>
      </c>
      <c r="H447" t="s">
        <v>130</v>
      </c>
      <c r="I447" t="s">
        <v>79</v>
      </c>
      <c r="J447">
        <v>6</v>
      </c>
      <c r="K447" t="str" cm="1">
        <f t="array" ref="K447">_xlfn.IFS( J447&lt;=5,"0-5", J447&lt;=10,"6-10",J447&lt;=15,"11-15",J447&lt;=20,"16-20",J447&gt;20,"20+")</f>
        <v>6-10</v>
      </c>
      <c r="L447" t="s">
        <v>160</v>
      </c>
      <c r="M447" t="str">
        <f t="shared" si="175"/>
        <v xml:space="preserve"> 75</v>
      </c>
      <c r="N447">
        <v>4.3</v>
      </c>
      <c r="O447" t="s">
        <v>58</v>
      </c>
    </row>
    <row r="448" spans="1:18" x14ac:dyDescent="0.2">
      <c r="A448" t="s">
        <v>965</v>
      </c>
      <c r="B448" t="s">
        <v>966</v>
      </c>
      <c r="C448" t="str">
        <f t="shared" si="169"/>
        <v>Steven Whitaker</v>
      </c>
      <c r="D448" t="s">
        <v>17</v>
      </c>
      <c r="E448" t="str">
        <f t="shared" si="170"/>
        <v>Male</v>
      </c>
      <c r="F448">
        <v>35</v>
      </c>
      <c r="G448" t="s">
        <v>57</v>
      </c>
      <c r="H448" t="s">
        <v>12</v>
      </c>
      <c r="I448" t="s">
        <v>34</v>
      </c>
      <c r="J448">
        <v>8</v>
      </c>
      <c r="K448" t="str" cm="1">
        <f t="array" ref="K448">_xlfn.IFS( J448&lt;=5,"0-5", J448&lt;=10,"6-10",J448&lt;=15,"11-15",J448&lt;=20,"16-20",J448&gt;20,"20+")</f>
        <v>6-10</v>
      </c>
      <c r="L448" t="s">
        <v>88</v>
      </c>
      <c r="M448" t="str">
        <f>_xlfn.TEXTAFTER(L448, " ")</f>
        <v>50</v>
      </c>
      <c r="O448" t="s">
        <v>149</v>
      </c>
      <c r="Q448">
        <v>90</v>
      </c>
      <c r="R448" s="3">
        <f>Q448/100</f>
        <v>0.9</v>
      </c>
    </row>
    <row r="449" spans="1:18" x14ac:dyDescent="0.2">
      <c r="A449" t="s">
        <v>967</v>
      </c>
      <c r="B449" t="s">
        <v>968</v>
      </c>
      <c r="C449" t="str">
        <f t="shared" si="169"/>
        <v>Denise Neal</v>
      </c>
      <c r="D449" t="s">
        <v>10</v>
      </c>
      <c r="E449" t="str">
        <f t="shared" si="170"/>
        <v>Female</v>
      </c>
      <c r="F449">
        <v>22</v>
      </c>
      <c r="G449" t="s">
        <v>11</v>
      </c>
      <c r="H449" t="s">
        <v>12</v>
      </c>
      <c r="I449" t="s">
        <v>13</v>
      </c>
      <c r="J449">
        <v>4</v>
      </c>
      <c r="K449" t="str" cm="1">
        <f t="array" ref="K449">_xlfn.IFS( J449&lt;=5,"0-5", J449&lt;=10,"6-10",J449&lt;=15,"11-15",J449&lt;=20,"16-20",J449&gt;20,"20+")</f>
        <v>0-5</v>
      </c>
      <c r="L449">
        <v>20</v>
      </c>
      <c r="M449" s="2">
        <f t="shared" ref="M449:M451" si="176">L449</f>
        <v>20</v>
      </c>
      <c r="O449">
        <v>0</v>
      </c>
      <c r="P449" t="s">
        <v>2074</v>
      </c>
      <c r="Q449" s="1">
        <v>0.73</v>
      </c>
      <c r="R449" s="1">
        <f t="shared" ref="R449:R453" si="177">Q449</f>
        <v>0.73</v>
      </c>
    </row>
    <row r="450" spans="1:18" x14ac:dyDescent="0.2">
      <c r="A450" t="s">
        <v>969</v>
      </c>
      <c r="B450" t="s">
        <v>970</v>
      </c>
      <c r="C450" t="str">
        <f t="shared" si="169"/>
        <v>Amanda Jacobs</v>
      </c>
      <c r="D450" t="s">
        <v>24</v>
      </c>
      <c r="E450" t="str">
        <f t="shared" si="170"/>
        <v>Female</v>
      </c>
      <c r="F450">
        <v>55</v>
      </c>
      <c r="G450" t="s">
        <v>129</v>
      </c>
      <c r="H450" t="s">
        <v>130</v>
      </c>
      <c r="I450" t="s">
        <v>34</v>
      </c>
      <c r="J450">
        <v>3</v>
      </c>
      <c r="K450" t="str" cm="1">
        <f t="array" ref="K450">_xlfn.IFS( J450&lt;=5,"0-5", J450&lt;=10,"6-10",J450&lt;=15,"11-15",J450&lt;=20,"16-20",J450&gt;20,"20+")</f>
        <v>0-5</v>
      </c>
      <c r="L450">
        <v>100</v>
      </c>
      <c r="M450" s="2">
        <f t="shared" si="176"/>
        <v>100</v>
      </c>
      <c r="O450">
        <v>1</v>
      </c>
      <c r="P450" t="s">
        <v>2075</v>
      </c>
      <c r="Q450" s="1">
        <v>0.73</v>
      </c>
      <c r="R450" s="1">
        <f t="shared" si="177"/>
        <v>0.73</v>
      </c>
    </row>
    <row r="451" spans="1:18" x14ac:dyDescent="0.2">
      <c r="A451" t="s">
        <v>971</v>
      </c>
      <c r="B451" t="s">
        <v>972</v>
      </c>
      <c r="C451" t="str">
        <f t="shared" si="169"/>
        <v>Karen Mercer</v>
      </c>
      <c r="D451" t="s">
        <v>29</v>
      </c>
      <c r="E451" t="str">
        <f t="shared" si="170"/>
        <v>Female</v>
      </c>
      <c r="F451">
        <v>54</v>
      </c>
      <c r="G451" t="s">
        <v>61</v>
      </c>
      <c r="H451" t="s">
        <v>62</v>
      </c>
      <c r="I451" t="s">
        <v>104</v>
      </c>
      <c r="K451" t="str" cm="1">
        <f t="array" ref="K451">_xlfn.IFS( J451&lt;=5,"0-5", J451&lt;=10,"6-10",J451&lt;=15,"11-15",J451&lt;=20,"16-20",J451&gt;20,"20+")</f>
        <v>0-5</v>
      </c>
      <c r="L451">
        <v>30</v>
      </c>
      <c r="M451" s="2">
        <f t="shared" si="176"/>
        <v>30</v>
      </c>
      <c r="N451">
        <v>2.9</v>
      </c>
      <c r="O451" t="b">
        <v>1</v>
      </c>
      <c r="P451" t="s">
        <v>2075</v>
      </c>
      <c r="Q451" s="1">
        <v>0.78</v>
      </c>
      <c r="R451" s="1">
        <f t="shared" si="177"/>
        <v>0.78</v>
      </c>
    </row>
    <row r="452" spans="1:18" x14ac:dyDescent="0.2">
      <c r="A452" t="s">
        <v>973</v>
      </c>
      <c r="B452" t="s">
        <v>974</v>
      </c>
      <c r="C452" t="str">
        <f t="shared" si="169"/>
        <v>Lindsay Hudson</v>
      </c>
      <c r="D452" t="s">
        <v>4</v>
      </c>
      <c r="E452" t="str">
        <f t="shared" si="170"/>
        <v>Female</v>
      </c>
      <c r="F452">
        <v>36</v>
      </c>
      <c r="G452" t="s">
        <v>32</v>
      </c>
      <c r="H452" t="s">
        <v>33</v>
      </c>
      <c r="I452" t="s">
        <v>68</v>
      </c>
      <c r="J452">
        <v>11</v>
      </c>
      <c r="K452" t="str" cm="1">
        <f t="array" ref="K452">_xlfn.IFS( J452&lt;=5,"0-5", J452&lt;=10,"6-10",J452&lt;=15,"11-15",J452&lt;=20,"16-20",J452&gt;20,"20+")</f>
        <v>11-15</v>
      </c>
      <c r="L452" t="s">
        <v>35</v>
      </c>
      <c r="M452" t="str">
        <f>SUBSTITUTE(L452,"$"," ")</f>
        <v xml:space="preserve"> 30</v>
      </c>
      <c r="N452">
        <v>0</v>
      </c>
      <c r="O452" t="b">
        <v>1</v>
      </c>
      <c r="Q452" s="1">
        <v>0.63</v>
      </c>
      <c r="R452" s="1">
        <f t="shared" si="177"/>
        <v>0.63</v>
      </c>
    </row>
    <row r="453" spans="1:18" x14ac:dyDescent="0.2">
      <c r="A453" t="s">
        <v>975</v>
      </c>
      <c r="B453" t="s">
        <v>976</v>
      </c>
      <c r="C453" t="str">
        <f t="shared" si="169"/>
        <v>Stephanie Armstrong</v>
      </c>
      <c r="D453" t="s">
        <v>29</v>
      </c>
      <c r="E453" t="str">
        <f t="shared" si="170"/>
        <v>Female</v>
      </c>
      <c r="F453">
        <v>36</v>
      </c>
      <c r="G453" t="s">
        <v>32</v>
      </c>
      <c r="H453" t="s">
        <v>33</v>
      </c>
      <c r="I453" t="s">
        <v>34</v>
      </c>
      <c r="J453">
        <v>17</v>
      </c>
      <c r="K453" t="str" cm="1">
        <f t="array" ref="K453">_xlfn.IFS( J453&lt;=5,"0-5", J453&lt;=10,"6-10",J453&lt;=15,"11-15",J453&lt;=20,"16-20",J453&gt;20,"20+")</f>
        <v>16-20</v>
      </c>
      <c r="L453">
        <v>50</v>
      </c>
      <c r="M453" s="2">
        <f t="shared" ref="M453:M455" si="178">L453</f>
        <v>50</v>
      </c>
      <c r="N453">
        <v>1.3</v>
      </c>
      <c r="Q453" s="1">
        <v>0.64</v>
      </c>
      <c r="R453" s="1">
        <f t="shared" si="177"/>
        <v>0.64</v>
      </c>
    </row>
    <row r="454" spans="1:18" x14ac:dyDescent="0.2">
      <c r="A454" t="s">
        <v>977</v>
      </c>
      <c r="B454" t="s">
        <v>978</v>
      </c>
      <c r="C454" t="str">
        <f>_xlfn.TEXTAFTER(B454,".",)</f>
        <v xml:space="preserve"> Jessica Campbell</v>
      </c>
      <c r="D454" t="s">
        <v>4</v>
      </c>
      <c r="F454">
        <v>25</v>
      </c>
      <c r="G454" t="s">
        <v>61</v>
      </c>
      <c r="H454" t="s">
        <v>62</v>
      </c>
      <c r="I454" t="s">
        <v>25</v>
      </c>
      <c r="J454">
        <v>1</v>
      </c>
      <c r="K454" t="str" cm="1">
        <f t="array" ref="K454">_xlfn.IFS( J454&lt;=5,"0-5", J454&lt;=10,"6-10",J454&lt;=15,"11-15",J454&lt;=20,"16-20",J454&gt;20,"20+")</f>
        <v>0-5</v>
      </c>
      <c r="L454">
        <v>75</v>
      </c>
      <c r="M454" s="2">
        <f t="shared" si="178"/>
        <v>75</v>
      </c>
      <c r="N454">
        <v>0</v>
      </c>
      <c r="O454">
        <v>1</v>
      </c>
      <c r="P454" t="s">
        <v>2075</v>
      </c>
    </row>
    <row r="455" spans="1:18" x14ac:dyDescent="0.2">
      <c r="A455" t="s">
        <v>979</v>
      </c>
      <c r="B455" t="s">
        <v>980</v>
      </c>
      <c r="C455" t="str">
        <f t="shared" ref="C455:C462" si="179">B455</f>
        <v>Curtis Maxwell</v>
      </c>
      <c r="D455" t="s">
        <v>87</v>
      </c>
      <c r="E455" t="str">
        <f t="shared" ref="E455:E462" si="180">IF(LOWER(LEFT(D455,1)) ="f", "Female", "Male")</f>
        <v>Male</v>
      </c>
      <c r="F455">
        <v>46</v>
      </c>
      <c r="G455" t="s">
        <v>39</v>
      </c>
      <c r="H455" t="s">
        <v>40</v>
      </c>
      <c r="I455" t="s">
        <v>34</v>
      </c>
      <c r="J455">
        <v>16</v>
      </c>
      <c r="K455" t="str" cm="1">
        <f t="array" ref="K455">_xlfn.IFS( J455&lt;=5,"0-5", J455&lt;=10,"6-10",J455&lt;=15,"11-15",J455&lt;=20,"16-20",J455&gt;20,"20+")</f>
        <v>16-20</v>
      </c>
      <c r="L455">
        <v>20</v>
      </c>
      <c r="M455" s="2">
        <f t="shared" si="178"/>
        <v>20</v>
      </c>
      <c r="N455">
        <v>4.8</v>
      </c>
      <c r="O455">
        <v>1</v>
      </c>
      <c r="P455" t="s">
        <v>2075</v>
      </c>
      <c r="Q455" s="1">
        <v>0.86</v>
      </c>
      <c r="R455" s="1">
        <f>Q455</f>
        <v>0.86</v>
      </c>
    </row>
    <row r="456" spans="1:18" x14ac:dyDescent="0.2">
      <c r="A456" t="s">
        <v>981</v>
      </c>
      <c r="B456" t="s">
        <v>982</v>
      </c>
      <c r="C456" t="str">
        <f t="shared" si="179"/>
        <v>Adam Kelly PhD</v>
      </c>
      <c r="D456" t="s">
        <v>82</v>
      </c>
      <c r="E456" t="str">
        <f t="shared" si="180"/>
        <v>Male</v>
      </c>
      <c r="F456">
        <v>41</v>
      </c>
      <c r="G456" t="s">
        <v>61</v>
      </c>
      <c r="H456" t="s">
        <v>62</v>
      </c>
      <c r="I456" t="s">
        <v>104</v>
      </c>
      <c r="J456">
        <v>11</v>
      </c>
      <c r="K456" t="str" cm="1">
        <f t="array" ref="K456">_xlfn.IFS( J456&lt;=5,"0-5", J456&lt;=10,"6-10",J456&lt;=15,"11-15",J456&lt;=20,"16-20",J456&gt;20,"20+")</f>
        <v>11-15</v>
      </c>
      <c r="L456" t="s">
        <v>26</v>
      </c>
      <c r="M456" t="str">
        <f t="shared" ref="M456:M459" si="181">SUBSTITUTE(L456,"$"," ")</f>
        <v xml:space="preserve"> 40</v>
      </c>
      <c r="N456">
        <v>2.4</v>
      </c>
      <c r="O456" t="b">
        <v>0</v>
      </c>
    </row>
    <row r="457" spans="1:18" x14ac:dyDescent="0.2">
      <c r="A457" t="s">
        <v>983</v>
      </c>
      <c r="B457" t="s">
        <v>984</v>
      </c>
      <c r="C457" t="str">
        <f t="shared" si="179"/>
        <v>Julie Becker</v>
      </c>
      <c r="D457" t="s">
        <v>10</v>
      </c>
      <c r="E457" t="str">
        <f t="shared" si="180"/>
        <v>Female</v>
      </c>
      <c r="F457">
        <v>21</v>
      </c>
      <c r="G457" t="s">
        <v>114</v>
      </c>
      <c r="H457" t="s">
        <v>115</v>
      </c>
      <c r="I457" t="s">
        <v>13</v>
      </c>
      <c r="J457">
        <v>3</v>
      </c>
      <c r="K457" t="str" cm="1">
        <f t="array" ref="K457">_xlfn.IFS( J457&lt;=5,"0-5", J457&lt;=10,"6-10",J457&lt;=15,"11-15",J457&lt;=20,"16-20",J457&gt;20,"20+")</f>
        <v>0-5</v>
      </c>
      <c r="L457" t="s">
        <v>219</v>
      </c>
      <c r="M457" t="str">
        <f t="shared" si="181"/>
        <v xml:space="preserve"> 100</v>
      </c>
      <c r="N457">
        <v>4.7</v>
      </c>
      <c r="O457" t="s">
        <v>21</v>
      </c>
      <c r="Q457" s="1">
        <v>0.96</v>
      </c>
      <c r="R457" s="1">
        <f>Q457</f>
        <v>0.96</v>
      </c>
    </row>
    <row r="458" spans="1:18" x14ac:dyDescent="0.2">
      <c r="A458" t="s">
        <v>985</v>
      </c>
      <c r="B458" t="s">
        <v>986</v>
      </c>
      <c r="C458" t="str">
        <f t="shared" si="179"/>
        <v>James Moore</v>
      </c>
      <c r="D458" t="s">
        <v>87</v>
      </c>
      <c r="E458" t="str">
        <f t="shared" si="180"/>
        <v>Male</v>
      </c>
      <c r="F458">
        <v>29</v>
      </c>
      <c r="G458" t="s">
        <v>48</v>
      </c>
      <c r="H458" t="s">
        <v>12</v>
      </c>
      <c r="I458" t="s">
        <v>20</v>
      </c>
      <c r="K458" t="str" cm="1">
        <f t="array" ref="K458">_xlfn.IFS( J458&lt;=5,"0-5", J458&lt;=10,"6-10",J458&lt;=15,"11-15",J458&lt;=20,"16-20",J458&gt;20,"20+")</f>
        <v>0-5</v>
      </c>
      <c r="L458" t="s">
        <v>160</v>
      </c>
      <c r="M458" t="str">
        <f t="shared" si="181"/>
        <v xml:space="preserve"> 75</v>
      </c>
      <c r="N458">
        <v>2</v>
      </c>
      <c r="O458">
        <v>0</v>
      </c>
    </row>
    <row r="459" spans="1:18" x14ac:dyDescent="0.2">
      <c r="A459" t="s">
        <v>987</v>
      </c>
      <c r="B459" t="s">
        <v>988</v>
      </c>
      <c r="C459" t="str">
        <f t="shared" si="179"/>
        <v>Danielle Barrera</v>
      </c>
      <c r="D459" t="s">
        <v>24</v>
      </c>
      <c r="E459" t="str">
        <f t="shared" si="180"/>
        <v>Female</v>
      </c>
      <c r="F459">
        <v>44</v>
      </c>
      <c r="G459" t="s">
        <v>48</v>
      </c>
      <c r="H459" t="s">
        <v>12</v>
      </c>
      <c r="I459" t="s">
        <v>13</v>
      </c>
      <c r="J459">
        <v>3</v>
      </c>
      <c r="K459" t="str" cm="1">
        <f t="array" ref="K459">_xlfn.IFS( J459&lt;=5,"0-5", J459&lt;=10,"6-10",J459&lt;=15,"11-15",J459&lt;=20,"16-20",J459&gt;20,"20+")</f>
        <v>0-5</v>
      </c>
      <c r="L459" t="s">
        <v>54</v>
      </c>
      <c r="M459" t="str">
        <f t="shared" si="181"/>
        <v xml:space="preserve"> 50</v>
      </c>
      <c r="N459">
        <v>2.2000000000000002</v>
      </c>
      <c r="O459">
        <v>0</v>
      </c>
      <c r="Q459" s="1">
        <v>0.77</v>
      </c>
      <c r="R459" s="1">
        <f>Q459</f>
        <v>0.77</v>
      </c>
    </row>
    <row r="460" spans="1:18" x14ac:dyDescent="0.2">
      <c r="A460" t="s">
        <v>989</v>
      </c>
      <c r="B460" t="s">
        <v>990</v>
      </c>
      <c r="C460" t="str">
        <f t="shared" si="179"/>
        <v>David Sanchez</v>
      </c>
      <c r="D460" t="s">
        <v>87</v>
      </c>
      <c r="E460" t="str">
        <f t="shared" si="180"/>
        <v>Male</v>
      </c>
      <c r="F460">
        <v>40</v>
      </c>
      <c r="G460" t="s">
        <v>118</v>
      </c>
      <c r="H460" t="s">
        <v>12</v>
      </c>
      <c r="I460" t="s">
        <v>104</v>
      </c>
      <c r="J460">
        <v>1</v>
      </c>
      <c r="K460" t="str" cm="1">
        <f t="array" ref="K460">_xlfn.IFS( J460&lt;=5,"0-5", J460&lt;=10,"6-10",J460&lt;=15,"11-15",J460&lt;=20,"16-20",J460&gt;20,"20+")</f>
        <v>0-5</v>
      </c>
      <c r="L460">
        <v>100</v>
      </c>
      <c r="M460" s="2">
        <f t="shared" ref="M460:M461" si="182">L460</f>
        <v>100</v>
      </c>
      <c r="N460">
        <v>2.1</v>
      </c>
      <c r="O460">
        <v>1</v>
      </c>
      <c r="P460" t="s">
        <v>2075</v>
      </c>
    </row>
    <row r="461" spans="1:18" x14ac:dyDescent="0.2">
      <c r="A461" t="s">
        <v>991</v>
      </c>
      <c r="B461" t="s">
        <v>992</v>
      </c>
      <c r="C461" t="str">
        <f t="shared" si="179"/>
        <v>Tiffany Bowman</v>
      </c>
      <c r="D461" t="s">
        <v>29</v>
      </c>
      <c r="E461" t="str">
        <f t="shared" si="180"/>
        <v>Female</v>
      </c>
      <c r="F461">
        <v>27</v>
      </c>
      <c r="G461" t="s">
        <v>129</v>
      </c>
      <c r="H461" t="s">
        <v>130</v>
      </c>
      <c r="I461" t="s">
        <v>41</v>
      </c>
      <c r="J461">
        <v>1</v>
      </c>
      <c r="K461" t="str" cm="1">
        <f t="array" ref="K461">_xlfn.IFS( J461&lt;=5,"0-5", J461&lt;=10,"6-10",J461&lt;=15,"11-15",J461&lt;=20,"16-20",J461&gt;20,"20+")</f>
        <v>0-5</v>
      </c>
      <c r="L461">
        <v>30</v>
      </c>
      <c r="M461" s="2">
        <f t="shared" si="182"/>
        <v>30</v>
      </c>
      <c r="N461">
        <v>1.7</v>
      </c>
      <c r="O461" t="b">
        <v>0</v>
      </c>
      <c r="P461" t="s">
        <v>2074</v>
      </c>
      <c r="Q461" s="1">
        <v>0.65</v>
      </c>
      <c r="R461" s="1">
        <f t="shared" ref="R461:R465" si="183">Q461</f>
        <v>0.65</v>
      </c>
    </row>
    <row r="462" spans="1:18" x14ac:dyDescent="0.2">
      <c r="A462" t="s">
        <v>993</v>
      </c>
      <c r="B462" t="s">
        <v>994</v>
      </c>
      <c r="C462" t="str">
        <f t="shared" si="179"/>
        <v>Jesus Quinn</v>
      </c>
      <c r="D462" t="s">
        <v>51</v>
      </c>
      <c r="E462" t="str">
        <f t="shared" si="180"/>
        <v>Male</v>
      </c>
      <c r="F462">
        <v>53</v>
      </c>
      <c r="G462" t="s">
        <v>125</v>
      </c>
      <c r="H462" t="s">
        <v>126</v>
      </c>
      <c r="I462" t="s">
        <v>13</v>
      </c>
      <c r="J462">
        <v>35</v>
      </c>
      <c r="K462" t="str" cm="1">
        <f t="array" ref="K462">_xlfn.IFS( J462&lt;=5,"0-5", J462&lt;=10,"6-10",J462&lt;=15,"11-15",J462&lt;=20,"16-20",J462&gt;20,"20+")</f>
        <v>20+</v>
      </c>
      <c r="M462"/>
      <c r="N462">
        <v>5</v>
      </c>
      <c r="O462">
        <v>1</v>
      </c>
      <c r="Q462" s="1">
        <v>0.62</v>
      </c>
      <c r="R462" s="1">
        <f t="shared" si="183"/>
        <v>0.62</v>
      </c>
    </row>
    <row r="463" spans="1:18" x14ac:dyDescent="0.2">
      <c r="A463" t="s">
        <v>995</v>
      </c>
      <c r="B463" t="s">
        <v>996</v>
      </c>
      <c r="C463" t="str">
        <f>_xlfn.TEXTAFTER(B463,".",)</f>
        <v xml:space="preserve"> Danny Morris DDS</v>
      </c>
      <c r="D463" t="s">
        <v>17</v>
      </c>
      <c r="F463">
        <v>20</v>
      </c>
      <c r="G463" t="s">
        <v>52</v>
      </c>
      <c r="H463" t="s">
        <v>53</v>
      </c>
      <c r="I463" t="s">
        <v>41</v>
      </c>
      <c r="J463">
        <v>1</v>
      </c>
      <c r="K463" t="str" cm="1">
        <f t="array" ref="K463">_xlfn.IFS( J463&lt;=5,"0-5", J463&lt;=10,"6-10",J463&lt;=15,"11-15",J463&lt;=20,"16-20",J463&gt;20,"20+")</f>
        <v>0-5</v>
      </c>
      <c r="L463">
        <v>50</v>
      </c>
      <c r="M463" s="2">
        <f>L463</f>
        <v>50</v>
      </c>
      <c r="N463">
        <v>2.9</v>
      </c>
      <c r="O463" t="s">
        <v>149</v>
      </c>
      <c r="P463" t="s">
        <v>2074</v>
      </c>
      <c r="Q463" s="1">
        <v>0.81</v>
      </c>
      <c r="R463" s="1">
        <f t="shared" si="183"/>
        <v>0.81</v>
      </c>
    </row>
    <row r="464" spans="1:18" x14ac:dyDescent="0.2">
      <c r="A464" t="s">
        <v>997</v>
      </c>
      <c r="B464" t="s">
        <v>998</v>
      </c>
      <c r="C464" t="str">
        <f t="shared" ref="C464:C527" si="184">B464</f>
        <v>Nicole York</v>
      </c>
      <c r="D464" t="s">
        <v>29</v>
      </c>
      <c r="E464" t="str">
        <f t="shared" ref="E464:E527" si="185">IF(LOWER(LEFT(D464,1)) ="f", "Female", "Male")</f>
        <v>Female</v>
      </c>
      <c r="G464" t="s">
        <v>75</v>
      </c>
      <c r="H464" t="s">
        <v>76</v>
      </c>
      <c r="I464" t="s">
        <v>79</v>
      </c>
      <c r="J464">
        <v>12</v>
      </c>
      <c r="K464" t="str" cm="1">
        <f t="array" ref="K464">_xlfn.IFS( J464&lt;=5,"0-5", J464&lt;=10,"6-10",J464&lt;=15,"11-15",J464&lt;=20,"16-20",J464&gt;20,"20+")</f>
        <v>11-15</v>
      </c>
      <c r="L464" t="s">
        <v>54</v>
      </c>
      <c r="M464" t="str">
        <f>SUBSTITUTE(L464,"$"," ")</f>
        <v xml:space="preserve"> 50</v>
      </c>
      <c r="N464">
        <v>4.0999999999999996</v>
      </c>
      <c r="O464" t="s">
        <v>64</v>
      </c>
      <c r="Q464" s="1">
        <v>0.62</v>
      </c>
      <c r="R464" s="1">
        <f t="shared" si="183"/>
        <v>0.62</v>
      </c>
    </row>
    <row r="465" spans="1:18" x14ac:dyDescent="0.2">
      <c r="A465" t="s">
        <v>999</v>
      </c>
      <c r="B465" t="s">
        <v>1000</v>
      </c>
      <c r="C465" t="str">
        <f t="shared" si="184"/>
        <v>John Mathis</v>
      </c>
      <c r="D465" t="s">
        <v>17</v>
      </c>
      <c r="E465" t="str">
        <f t="shared" si="185"/>
        <v>Male</v>
      </c>
      <c r="F465">
        <v>26</v>
      </c>
      <c r="G465" t="s">
        <v>169</v>
      </c>
      <c r="H465" t="s">
        <v>62</v>
      </c>
      <c r="I465" t="s">
        <v>25</v>
      </c>
      <c r="J465">
        <v>8</v>
      </c>
      <c r="K465" t="str" cm="1">
        <f t="array" ref="K465">_xlfn.IFS( J465&lt;=5,"0-5", J465&lt;=10,"6-10",J465&lt;=15,"11-15",J465&lt;=20,"16-20",J465&gt;20,"20+")</f>
        <v>6-10</v>
      </c>
      <c r="L465">
        <v>40</v>
      </c>
      <c r="M465" s="2">
        <f>L465</f>
        <v>40</v>
      </c>
      <c r="N465">
        <v>4.9000000000000004</v>
      </c>
      <c r="O465" t="s">
        <v>21</v>
      </c>
      <c r="P465" t="s">
        <v>2074</v>
      </c>
      <c r="Q465" s="1">
        <v>0.87</v>
      </c>
      <c r="R465" s="1">
        <f t="shared" si="183"/>
        <v>0.87</v>
      </c>
    </row>
    <row r="466" spans="1:18" x14ac:dyDescent="0.2">
      <c r="A466" t="s">
        <v>1001</v>
      </c>
      <c r="B466" t="s">
        <v>1002</v>
      </c>
      <c r="C466" t="str">
        <f t="shared" si="184"/>
        <v>Julie Barnett</v>
      </c>
      <c r="D466" t="s">
        <v>29</v>
      </c>
      <c r="E466" t="str">
        <f t="shared" si="185"/>
        <v>Female</v>
      </c>
      <c r="F466">
        <v>49</v>
      </c>
      <c r="G466" t="s">
        <v>97</v>
      </c>
      <c r="H466" t="s">
        <v>98</v>
      </c>
      <c r="I466" t="s">
        <v>104</v>
      </c>
      <c r="J466">
        <v>13</v>
      </c>
      <c r="K466" t="str" cm="1">
        <f t="array" ref="K466">_xlfn.IFS( J466&lt;=5,"0-5", J466&lt;=10,"6-10",J466&lt;=15,"11-15",J466&lt;=20,"16-20",J466&gt;20,"20+")</f>
        <v>11-15</v>
      </c>
      <c r="L466" t="s">
        <v>219</v>
      </c>
      <c r="M466" t="str">
        <f>SUBSTITUTE(L466,"$"," ")</f>
        <v xml:space="preserve"> 100</v>
      </c>
      <c r="N466">
        <v>2.5</v>
      </c>
      <c r="O466" t="b">
        <v>0</v>
      </c>
    </row>
    <row r="467" spans="1:18" x14ac:dyDescent="0.2">
      <c r="A467" t="s">
        <v>1003</v>
      </c>
      <c r="B467" t="s">
        <v>1004</v>
      </c>
      <c r="C467" t="str">
        <f t="shared" si="184"/>
        <v>Jasmine Harris</v>
      </c>
      <c r="D467" t="s">
        <v>24</v>
      </c>
      <c r="E467" t="str">
        <f t="shared" si="185"/>
        <v>Female</v>
      </c>
      <c r="F467">
        <v>20</v>
      </c>
      <c r="G467" t="s">
        <v>129</v>
      </c>
      <c r="H467" t="s">
        <v>130</v>
      </c>
      <c r="I467" t="s">
        <v>41</v>
      </c>
      <c r="J467">
        <v>0</v>
      </c>
      <c r="K467" t="str" cm="1">
        <f t="array" ref="K467">_xlfn.IFS( J467&lt;=5,"0-5", J467&lt;=10,"6-10",J467&lt;=15,"11-15",J467&lt;=20,"16-20",J467&gt;20,"20+")</f>
        <v>0-5</v>
      </c>
      <c r="L467" t="s">
        <v>99</v>
      </c>
      <c r="M467" t="str">
        <f>_xlfn.TEXTAFTER(L467, " ")</f>
        <v>30</v>
      </c>
      <c r="N467">
        <v>0</v>
      </c>
      <c r="O467">
        <v>1</v>
      </c>
      <c r="Q467">
        <v>76</v>
      </c>
      <c r="R467" s="3">
        <f t="shared" ref="R467:R468" si="186">Q467/100</f>
        <v>0.76</v>
      </c>
    </row>
    <row r="468" spans="1:18" x14ac:dyDescent="0.2">
      <c r="A468" t="s">
        <v>1005</v>
      </c>
      <c r="B468" t="s">
        <v>1006</v>
      </c>
      <c r="C468" t="str">
        <f t="shared" si="184"/>
        <v>Mary Henry</v>
      </c>
      <c r="D468" t="s">
        <v>29</v>
      </c>
      <c r="E468" t="str">
        <f t="shared" si="185"/>
        <v>Female</v>
      </c>
      <c r="F468">
        <v>39</v>
      </c>
      <c r="G468" t="s">
        <v>165</v>
      </c>
      <c r="H468" t="s">
        <v>166</v>
      </c>
      <c r="I468" t="s">
        <v>7</v>
      </c>
      <c r="J468">
        <v>11</v>
      </c>
      <c r="K468" t="str" cm="1">
        <f t="array" ref="K468">_xlfn.IFS( J468&lt;=5,"0-5", J468&lt;=10,"6-10",J468&lt;=15,"11-15",J468&lt;=20,"16-20",J468&gt;20,"20+")</f>
        <v>11-15</v>
      </c>
      <c r="L468">
        <v>100</v>
      </c>
      <c r="M468" s="2">
        <f t="shared" ref="M468:M469" si="187">L468</f>
        <v>100</v>
      </c>
      <c r="N468">
        <v>2.8</v>
      </c>
      <c r="Q468">
        <v>70</v>
      </c>
      <c r="R468" s="3">
        <f t="shared" si="186"/>
        <v>0.7</v>
      </c>
    </row>
    <row r="469" spans="1:18" x14ac:dyDescent="0.2">
      <c r="A469" t="s">
        <v>1007</v>
      </c>
      <c r="B469" t="s">
        <v>1008</v>
      </c>
      <c r="C469" t="str">
        <f t="shared" si="184"/>
        <v>Judith Riggs</v>
      </c>
      <c r="D469" t="s">
        <v>24</v>
      </c>
      <c r="E469" t="str">
        <f t="shared" si="185"/>
        <v>Female</v>
      </c>
      <c r="F469">
        <v>41</v>
      </c>
      <c r="G469" t="s">
        <v>165</v>
      </c>
      <c r="H469" t="s">
        <v>166</v>
      </c>
      <c r="I469" t="s">
        <v>104</v>
      </c>
      <c r="J469">
        <v>19</v>
      </c>
      <c r="K469" t="str" cm="1">
        <f t="array" ref="K469">_xlfn.IFS( J469&lt;=5,"0-5", J469&lt;=10,"6-10",J469&lt;=15,"11-15",J469&lt;=20,"16-20",J469&gt;20,"20+")</f>
        <v>16-20</v>
      </c>
      <c r="L469">
        <v>100</v>
      </c>
      <c r="M469" s="2">
        <f t="shared" si="187"/>
        <v>100</v>
      </c>
      <c r="N469">
        <v>3.8</v>
      </c>
      <c r="O469" t="s">
        <v>58</v>
      </c>
      <c r="P469" t="s">
        <v>2075</v>
      </c>
      <c r="Q469" s="1">
        <v>0.71</v>
      </c>
      <c r="R469" s="1">
        <f t="shared" ref="R469:R470" si="188">Q469</f>
        <v>0.71</v>
      </c>
    </row>
    <row r="470" spans="1:18" x14ac:dyDescent="0.2">
      <c r="A470" t="s">
        <v>1009</v>
      </c>
      <c r="B470" t="s">
        <v>1010</v>
      </c>
      <c r="C470" t="str">
        <f t="shared" si="184"/>
        <v>Justin Ruiz</v>
      </c>
      <c r="D470" t="s">
        <v>87</v>
      </c>
      <c r="E470" t="str">
        <f t="shared" si="185"/>
        <v>Male</v>
      </c>
      <c r="F470">
        <v>59</v>
      </c>
      <c r="G470" t="s">
        <v>118</v>
      </c>
      <c r="H470" t="s">
        <v>12</v>
      </c>
      <c r="I470" t="s">
        <v>13</v>
      </c>
      <c r="J470">
        <v>30</v>
      </c>
      <c r="K470" t="str" cm="1">
        <f t="array" ref="K470">_xlfn.IFS( J470&lt;=5,"0-5", J470&lt;=10,"6-10",J470&lt;=15,"11-15",J470&lt;=20,"16-20",J470&gt;20,"20+")</f>
        <v>20+</v>
      </c>
      <c r="L470" t="s">
        <v>99</v>
      </c>
      <c r="M470" t="str">
        <f>_xlfn.TEXTAFTER(L470, " ")</f>
        <v>30</v>
      </c>
      <c r="N470">
        <v>4.3</v>
      </c>
      <c r="O470">
        <v>1</v>
      </c>
      <c r="Q470" s="1">
        <v>0.83</v>
      </c>
      <c r="R470" s="1">
        <f t="shared" si="188"/>
        <v>0.83</v>
      </c>
    </row>
    <row r="471" spans="1:18" x14ac:dyDescent="0.2">
      <c r="A471" t="s">
        <v>1011</v>
      </c>
      <c r="B471" t="s">
        <v>1012</v>
      </c>
      <c r="C471" t="str">
        <f t="shared" si="184"/>
        <v>Jennifer Sullivan</v>
      </c>
      <c r="D471" t="s">
        <v>67</v>
      </c>
      <c r="E471" t="str">
        <f t="shared" si="185"/>
        <v>Female</v>
      </c>
      <c r="F471">
        <v>45</v>
      </c>
      <c r="G471" t="s">
        <v>11</v>
      </c>
      <c r="H471" t="s">
        <v>12</v>
      </c>
      <c r="I471" t="s">
        <v>7</v>
      </c>
      <c r="J471">
        <v>8</v>
      </c>
      <c r="K471" t="str" cm="1">
        <f t="array" ref="K471">_xlfn.IFS( J471&lt;=5,"0-5", J471&lt;=10,"6-10",J471&lt;=15,"11-15",J471&lt;=20,"16-20",J471&gt;20,"20+")</f>
        <v>6-10</v>
      </c>
      <c r="L471">
        <v>40</v>
      </c>
      <c r="M471" s="2">
        <f t="shared" ref="M471:M473" si="189">L471</f>
        <v>40</v>
      </c>
      <c r="N471">
        <v>0</v>
      </c>
      <c r="O471">
        <v>0</v>
      </c>
      <c r="P471" t="s">
        <v>2074</v>
      </c>
      <c r="Q471">
        <v>78</v>
      </c>
      <c r="R471" s="3">
        <f>Q471/100</f>
        <v>0.78</v>
      </c>
    </row>
    <row r="472" spans="1:18" x14ac:dyDescent="0.2">
      <c r="A472" t="s">
        <v>1013</v>
      </c>
      <c r="B472" t="s">
        <v>1014</v>
      </c>
      <c r="C472" t="str">
        <f t="shared" si="184"/>
        <v>Jesse Moran</v>
      </c>
      <c r="D472" t="s">
        <v>51</v>
      </c>
      <c r="E472" t="str">
        <f t="shared" si="185"/>
        <v>Male</v>
      </c>
      <c r="F472">
        <v>22</v>
      </c>
      <c r="G472" t="s">
        <v>39</v>
      </c>
      <c r="H472" t="s">
        <v>40</v>
      </c>
      <c r="I472" t="s">
        <v>68</v>
      </c>
      <c r="J472">
        <v>0</v>
      </c>
      <c r="K472" t="str" cm="1">
        <f t="array" ref="K472">_xlfn.IFS( J472&lt;=5,"0-5", J472&lt;=10,"6-10",J472&lt;=15,"11-15",J472&lt;=20,"16-20",J472&gt;20,"20+")</f>
        <v>0-5</v>
      </c>
      <c r="L472">
        <v>40</v>
      </c>
      <c r="M472" s="2">
        <f t="shared" si="189"/>
        <v>40</v>
      </c>
      <c r="N472">
        <v>1.3</v>
      </c>
      <c r="O472">
        <v>1</v>
      </c>
      <c r="P472" t="s">
        <v>2075</v>
      </c>
      <c r="Q472" s="1">
        <v>0.78</v>
      </c>
      <c r="R472" s="1">
        <f t="shared" ref="R472:R473" si="190">Q472</f>
        <v>0.78</v>
      </c>
    </row>
    <row r="473" spans="1:18" x14ac:dyDescent="0.2">
      <c r="A473" t="s">
        <v>1015</v>
      </c>
      <c r="B473" t="s">
        <v>1016</v>
      </c>
      <c r="C473" t="str">
        <f t="shared" si="184"/>
        <v>Monica Smith</v>
      </c>
      <c r="D473" t="s">
        <v>4</v>
      </c>
      <c r="E473" t="str">
        <f t="shared" si="185"/>
        <v>Female</v>
      </c>
      <c r="F473">
        <v>48</v>
      </c>
      <c r="G473" t="s">
        <v>83</v>
      </c>
      <c r="H473" t="s">
        <v>84</v>
      </c>
      <c r="I473" t="s">
        <v>13</v>
      </c>
      <c r="J473">
        <v>7</v>
      </c>
      <c r="K473" t="str" cm="1">
        <f t="array" ref="K473">_xlfn.IFS( J473&lt;=5,"0-5", J473&lt;=10,"6-10",J473&lt;=15,"11-15",J473&lt;=20,"16-20",J473&gt;20,"20+")</f>
        <v>6-10</v>
      </c>
      <c r="L473">
        <v>50</v>
      </c>
      <c r="M473" s="2">
        <f t="shared" si="189"/>
        <v>50</v>
      </c>
      <c r="N473">
        <v>4.7</v>
      </c>
      <c r="O473" t="s">
        <v>64</v>
      </c>
      <c r="P473" t="s">
        <v>2075</v>
      </c>
      <c r="Q473" s="1">
        <v>0.6</v>
      </c>
      <c r="R473" s="1">
        <f t="shared" si="190"/>
        <v>0.6</v>
      </c>
    </row>
    <row r="474" spans="1:18" x14ac:dyDescent="0.2">
      <c r="A474" t="s">
        <v>1017</v>
      </c>
      <c r="B474" t="s">
        <v>1018</v>
      </c>
      <c r="C474" t="str">
        <f t="shared" si="184"/>
        <v>Ian May</v>
      </c>
      <c r="D474" t="s">
        <v>51</v>
      </c>
      <c r="E474" t="str">
        <f t="shared" si="185"/>
        <v>Male</v>
      </c>
      <c r="F474">
        <v>36</v>
      </c>
      <c r="G474" t="s">
        <v>125</v>
      </c>
      <c r="H474" t="s">
        <v>126</v>
      </c>
      <c r="I474" t="s">
        <v>7</v>
      </c>
      <c r="J474">
        <v>11</v>
      </c>
      <c r="K474" t="str" cm="1">
        <f t="array" ref="K474">_xlfn.IFS( J474&lt;=5,"0-5", J474&lt;=10,"6-10",J474&lt;=15,"11-15",J474&lt;=20,"16-20",J474&gt;20,"20+")</f>
        <v>11-15</v>
      </c>
      <c r="L474" t="s">
        <v>26</v>
      </c>
      <c r="M474" t="str">
        <f>SUBSTITUTE(L474,"$"," ")</f>
        <v xml:space="preserve"> 40</v>
      </c>
      <c r="N474">
        <v>1.3</v>
      </c>
      <c r="O474" t="b">
        <v>1</v>
      </c>
    </row>
    <row r="475" spans="1:18" x14ac:dyDescent="0.2">
      <c r="A475" t="s">
        <v>1019</v>
      </c>
      <c r="B475" t="s">
        <v>1020</v>
      </c>
      <c r="C475" t="str">
        <f t="shared" si="184"/>
        <v>Kayla Meyers</v>
      </c>
      <c r="D475" t="s">
        <v>10</v>
      </c>
      <c r="E475" t="str">
        <f t="shared" si="185"/>
        <v>Female</v>
      </c>
      <c r="F475">
        <v>57</v>
      </c>
      <c r="G475" t="s">
        <v>165</v>
      </c>
      <c r="H475" t="s">
        <v>166</v>
      </c>
      <c r="I475" t="s">
        <v>7</v>
      </c>
      <c r="K475" t="str" cm="1">
        <f t="array" ref="K475">_xlfn.IFS( J475&lt;=5,"0-5", J475&lt;=10,"6-10",J475&lt;=15,"11-15",J475&lt;=20,"16-20",J475&gt;20,"20+")</f>
        <v>0-5</v>
      </c>
      <c r="L475">
        <v>75</v>
      </c>
      <c r="M475" s="2">
        <f>L475</f>
        <v>75</v>
      </c>
      <c r="N475">
        <v>4.8</v>
      </c>
      <c r="O475">
        <v>1</v>
      </c>
      <c r="P475" t="s">
        <v>2075</v>
      </c>
    </row>
    <row r="476" spans="1:18" x14ac:dyDescent="0.2">
      <c r="A476" t="s">
        <v>1021</v>
      </c>
      <c r="B476" t="s">
        <v>1022</v>
      </c>
      <c r="C476" t="str">
        <f t="shared" si="184"/>
        <v>John Bray</v>
      </c>
      <c r="D476" t="s">
        <v>51</v>
      </c>
      <c r="E476" t="str">
        <f t="shared" si="185"/>
        <v>Male</v>
      </c>
      <c r="F476">
        <v>42</v>
      </c>
      <c r="G476" t="s">
        <v>48</v>
      </c>
      <c r="H476" t="s">
        <v>12</v>
      </c>
      <c r="I476" t="s">
        <v>63</v>
      </c>
      <c r="J476">
        <v>14</v>
      </c>
      <c r="K476" t="str" cm="1">
        <f t="array" ref="K476">_xlfn.IFS( J476&lt;=5,"0-5", J476&lt;=10,"6-10",J476&lt;=15,"11-15",J476&lt;=20,"16-20",J476&gt;20,"20+")</f>
        <v>11-15</v>
      </c>
      <c r="L476" t="s">
        <v>35</v>
      </c>
      <c r="M476" t="str">
        <f t="shared" ref="M476:M477" si="191">SUBSTITUTE(L476,"$"," ")</f>
        <v xml:space="preserve"> 30</v>
      </c>
      <c r="N476">
        <v>1.3</v>
      </c>
      <c r="O476">
        <v>0</v>
      </c>
      <c r="Q476" s="1">
        <v>0.94</v>
      </c>
      <c r="R476" s="1">
        <f>Q476</f>
        <v>0.94</v>
      </c>
    </row>
    <row r="477" spans="1:18" x14ac:dyDescent="0.2">
      <c r="A477" t="s">
        <v>1023</v>
      </c>
      <c r="B477" t="s">
        <v>1024</v>
      </c>
      <c r="C477" t="str">
        <f t="shared" si="184"/>
        <v>James Smith</v>
      </c>
      <c r="D477" t="s">
        <v>38</v>
      </c>
      <c r="E477" t="str">
        <f t="shared" si="185"/>
        <v>Male</v>
      </c>
      <c r="F477">
        <v>31</v>
      </c>
      <c r="G477" t="s">
        <v>39</v>
      </c>
      <c r="H477" t="s">
        <v>40</v>
      </c>
      <c r="I477" t="s">
        <v>68</v>
      </c>
      <c r="J477">
        <v>11</v>
      </c>
      <c r="K477" t="str" cm="1">
        <f t="array" ref="K477">_xlfn.IFS( J477&lt;=5,"0-5", J477&lt;=10,"6-10",J477&lt;=15,"11-15",J477&lt;=20,"16-20",J477&gt;20,"20+")</f>
        <v>11-15</v>
      </c>
      <c r="L477" t="s">
        <v>54</v>
      </c>
      <c r="M477" t="str">
        <f t="shared" si="191"/>
        <v xml:space="preserve"> 50</v>
      </c>
      <c r="N477">
        <v>4.3</v>
      </c>
      <c r="O477">
        <v>0</v>
      </c>
      <c r="Q477">
        <v>62</v>
      </c>
      <c r="R477" s="3">
        <f>Q477/100</f>
        <v>0.62</v>
      </c>
    </row>
    <row r="478" spans="1:18" x14ac:dyDescent="0.2">
      <c r="A478" t="s">
        <v>1025</v>
      </c>
      <c r="B478" t="s">
        <v>1026</v>
      </c>
      <c r="C478" t="str">
        <f t="shared" si="184"/>
        <v>Mark Duncan</v>
      </c>
      <c r="D478" t="s">
        <v>82</v>
      </c>
      <c r="E478" t="str">
        <f t="shared" si="185"/>
        <v>Male</v>
      </c>
      <c r="F478">
        <v>52</v>
      </c>
      <c r="G478" t="s">
        <v>180</v>
      </c>
      <c r="H478" t="s">
        <v>62</v>
      </c>
      <c r="I478" t="s">
        <v>68</v>
      </c>
      <c r="J478">
        <v>31</v>
      </c>
      <c r="K478" t="str" cm="1">
        <f t="array" ref="K478">_xlfn.IFS( J478&lt;=5,"0-5", J478&lt;=10,"6-10",J478&lt;=15,"11-15",J478&lt;=20,"16-20",J478&gt;20,"20+")</f>
        <v>20+</v>
      </c>
      <c r="L478">
        <v>30</v>
      </c>
      <c r="M478" s="2">
        <f>L478</f>
        <v>30</v>
      </c>
      <c r="O478">
        <v>1</v>
      </c>
      <c r="P478" t="s">
        <v>2075</v>
      </c>
    </row>
    <row r="479" spans="1:18" x14ac:dyDescent="0.2">
      <c r="A479" t="s">
        <v>1027</v>
      </c>
      <c r="B479" t="s">
        <v>1028</v>
      </c>
      <c r="C479" t="str">
        <f t="shared" si="184"/>
        <v>Matthew Gay</v>
      </c>
      <c r="D479" t="s">
        <v>82</v>
      </c>
      <c r="E479" t="str">
        <f t="shared" si="185"/>
        <v>Male</v>
      </c>
      <c r="F479">
        <v>56</v>
      </c>
      <c r="G479" t="s">
        <v>32</v>
      </c>
      <c r="H479" t="s">
        <v>33</v>
      </c>
      <c r="I479" t="s">
        <v>79</v>
      </c>
      <c r="J479">
        <v>16</v>
      </c>
      <c r="K479" t="str" cm="1">
        <f t="array" ref="K479">_xlfn.IFS( J479&lt;=5,"0-5", J479&lt;=10,"6-10",J479&lt;=15,"11-15",J479&lt;=20,"16-20",J479&gt;20,"20+")</f>
        <v>16-20</v>
      </c>
      <c r="L479" t="s">
        <v>99</v>
      </c>
      <c r="M479" t="str">
        <f>_xlfn.TEXTAFTER(L479, " ")</f>
        <v>30</v>
      </c>
      <c r="N479">
        <v>0</v>
      </c>
      <c r="O479" t="s">
        <v>58</v>
      </c>
    </row>
    <row r="480" spans="1:18" x14ac:dyDescent="0.2">
      <c r="A480" t="s">
        <v>1029</v>
      </c>
      <c r="B480" t="s">
        <v>1030</v>
      </c>
      <c r="C480" t="str">
        <f t="shared" si="184"/>
        <v>Cheryl Freeman</v>
      </c>
      <c r="D480" t="s">
        <v>67</v>
      </c>
      <c r="E480" t="str">
        <f t="shared" si="185"/>
        <v>Female</v>
      </c>
      <c r="F480">
        <v>24</v>
      </c>
      <c r="G480" t="s">
        <v>32</v>
      </c>
      <c r="H480" t="s">
        <v>33</v>
      </c>
      <c r="I480" t="s">
        <v>79</v>
      </c>
      <c r="J480">
        <v>6</v>
      </c>
      <c r="K480" t="str" cm="1">
        <f t="array" ref="K480">_xlfn.IFS( J480&lt;=5,"0-5", J480&lt;=10,"6-10",J480&lt;=15,"11-15",J480&lt;=20,"16-20",J480&gt;20,"20+")</f>
        <v>6-10</v>
      </c>
      <c r="L480">
        <v>30</v>
      </c>
      <c r="M480" s="2">
        <f t="shared" ref="M480:M483" si="192">L480</f>
        <v>30</v>
      </c>
      <c r="N480">
        <v>0</v>
      </c>
      <c r="O480" t="s">
        <v>58</v>
      </c>
      <c r="P480" t="s">
        <v>2075</v>
      </c>
      <c r="Q480" s="1">
        <v>0.84</v>
      </c>
      <c r="R480" s="1">
        <f>Q480</f>
        <v>0.84</v>
      </c>
    </row>
    <row r="481" spans="1:18" x14ac:dyDescent="0.2">
      <c r="A481" t="s">
        <v>1031</v>
      </c>
      <c r="B481" t="s">
        <v>1032</v>
      </c>
      <c r="C481" t="str">
        <f t="shared" si="184"/>
        <v>Patrick Welch</v>
      </c>
      <c r="D481" t="s">
        <v>17</v>
      </c>
      <c r="E481" t="str">
        <f t="shared" si="185"/>
        <v>Male</v>
      </c>
      <c r="F481">
        <v>48</v>
      </c>
      <c r="G481" t="s">
        <v>118</v>
      </c>
      <c r="H481" t="s">
        <v>12</v>
      </c>
      <c r="I481" t="s">
        <v>79</v>
      </c>
      <c r="J481">
        <v>21</v>
      </c>
      <c r="K481" t="str" cm="1">
        <f t="array" ref="K481">_xlfn.IFS( J481&lt;=5,"0-5", J481&lt;=10,"6-10",J481&lt;=15,"11-15",J481&lt;=20,"16-20",J481&gt;20,"20+")</f>
        <v>20+</v>
      </c>
      <c r="L481">
        <v>75</v>
      </c>
      <c r="M481" s="2">
        <f t="shared" si="192"/>
        <v>75</v>
      </c>
      <c r="N481">
        <v>2.7</v>
      </c>
      <c r="O481">
        <v>1</v>
      </c>
      <c r="P481" t="s">
        <v>2075</v>
      </c>
    </row>
    <row r="482" spans="1:18" x14ac:dyDescent="0.2">
      <c r="A482" t="s">
        <v>1033</v>
      </c>
      <c r="B482" t="s">
        <v>1034</v>
      </c>
      <c r="C482" t="str">
        <f t="shared" si="184"/>
        <v>Craig Levine</v>
      </c>
      <c r="D482" t="s">
        <v>87</v>
      </c>
      <c r="E482" t="str">
        <f t="shared" si="185"/>
        <v>Male</v>
      </c>
      <c r="F482">
        <v>59</v>
      </c>
      <c r="G482" t="s">
        <v>125</v>
      </c>
      <c r="H482" t="s">
        <v>126</v>
      </c>
      <c r="I482" t="s">
        <v>68</v>
      </c>
      <c r="J482">
        <v>13</v>
      </c>
      <c r="K482" t="str" cm="1">
        <f t="array" ref="K482">_xlfn.IFS( J482&lt;=5,"0-5", J482&lt;=10,"6-10",J482&lt;=15,"11-15",J482&lt;=20,"16-20",J482&gt;20,"20+")</f>
        <v>11-15</v>
      </c>
      <c r="L482">
        <v>40</v>
      </c>
      <c r="M482" s="2">
        <f t="shared" si="192"/>
        <v>40</v>
      </c>
      <c r="N482">
        <v>2.4</v>
      </c>
      <c r="O482" t="s">
        <v>149</v>
      </c>
      <c r="P482" t="s">
        <v>2074</v>
      </c>
      <c r="Q482">
        <v>65</v>
      </c>
      <c r="R482" s="3">
        <f>Q482/100</f>
        <v>0.65</v>
      </c>
    </row>
    <row r="483" spans="1:18" x14ac:dyDescent="0.2">
      <c r="A483" t="s">
        <v>1035</v>
      </c>
      <c r="B483" t="s">
        <v>1036</v>
      </c>
      <c r="C483" t="str">
        <f t="shared" si="184"/>
        <v>Richard Harvey</v>
      </c>
      <c r="D483" t="s">
        <v>51</v>
      </c>
      <c r="E483" t="str">
        <f t="shared" si="185"/>
        <v>Male</v>
      </c>
      <c r="G483" t="s">
        <v>57</v>
      </c>
      <c r="H483" t="s">
        <v>12</v>
      </c>
      <c r="I483" t="s">
        <v>25</v>
      </c>
      <c r="K483" t="str" cm="1">
        <f t="array" ref="K483">_xlfn.IFS( J483&lt;=5,"0-5", J483&lt;=10,"6-10",J483&lt;=15,"11-15",J483&lt;=20,"16-20",J483&gt;20,"20+")</f>
        <v>0-5</v>
      </c>
      <c r="L483">
        <v>40</v>
      </c>
      <c r="M483" s="2">
        <f t="shared" si="192"/>
        <v>40</v>
      </c>
      <c r="N483">
        <v>1.9</v>
      </c>
      <c r="O483">
        <v>1</v>
      </c>
      <c r="P483" t="s">
        <v>2075</v>
      </c>
      <c r="Q483" s="1">
        <v>0.94</v>
      </c>
      <c r="R483" s="1">
        <f t="shared" ref="R483:R486" si="193">Q483</f>
        <v>0.94</v>
      </c>
    </row>
    <row r="484" spans="1:18" x14ac:dyDescent="0.2">
      <c r="A484" t="s">
        <v>1037</v>
      </c>
      <c r="B484" t="s">
        <v>1038</v>
      </c>
      <c r="C484" t="str">
        <f t="shared" si="184"/>
        <v>Bonnie Sherman</v>
      </c>
      <c r="D484" t="s">
        <v>29</v>
      </c>
      <c r="E484" t="str">
        <f t="shared" si="185"/>
        <v>Female</v>
      </c>
      <c r="G484" t="s">
        <v>32</v>
      </c>
      <c r="H484" t="s">
        <v>33</v>
      </c>
      <c r="I484" t="s">
        <v>13</v>
      </c>
      <c r="J484">
        <v>11</v>
      </c>
      <c r="K484" t="str" cm="1">
        <f t="array" ref="K484">_xlfn.IFS( J484&lt;=5,"0-5", J484&lt;=10,"6-10",J484&lt;=15,"11-15",J484&lt;=20,"16-20",J484&gt;20,"20+")</f>
        <v>11-15</v>
      </c>
      <c r="L484" t="s">
        <v>111</v>
      </c>
      <c r="M484" t="str">
        <f>SUBSTITUTE(L484,"$"," ")</f>
        <v xml:space="preserve"> 20</v>
      </c>
      <c r="N484">
        <v>3.6</v>
      </c>
      <c r="O484" t="s">
        <v>149</v>
      </c>
      <c r="Q484" s="1">
        <v>0.69</v>
      </c>
      <c r="R484" s="1">
        <f t="shared" si="193"/>
        <v>0.69</v>
      </c>
    </row>
    <row r="485" spans="1:18" x14ac:dyDescent="0.2">
      <c r="A485" t="s">
        <v>1039</v>
      </c>
      <c r="B485" t="s">
        <v>1040</v>
      </c>
      <c r="C485" t="str">
        <f t="shared" si="184"/>
        <v>Keith Trujillo</v>
      </c>
      <c r="D485" t="s">
        <v>38</v>
      </c>
      <c r="E485" t="str">
        <f t="shared" si="185"/>
        <v>Male</v>
      </c>
      <c r="F485">
        <v>25</v>
      </c>
      <c r="G485" t="s">
        <v>32</v>
      </c>
      <c r="H485" t="s">
        <v>33</v>
      </c>
      <c r="I485" t="s">
        <v>13</v>
      </c>
      <c r="J485">
        <v>0</v>
      </c>
      <c r="K485" t="str" cm="1">
        <f t="array" ref="K485">_xlfn.IFS( J485&lt;=5,"0-5", J485&lt;=10,"6-10",J485&lt;=15,"11-15",J485&lt;=20,"16-20",J485&gt;20,"20+")</f>
        <v>0-5</v>
      </c>
      <c r="L485">
        <v>50</v>
      </c>
      <c r="M485" s="2">
        <f>L485</f>
        <v>50</v>
      </c>
      <c r="N485">
        <v>2.9</v>
      </c>
      <c r="O485" t="s">
        <v>58</v>
      </c>
      <c r="P485" t="s">
        <v>2075</v>
      </c>
      <c r="Q485" s="1">
        <v>0.65</v>
      </c>
      <c r="R485" s="1">
        <f t="shared" si="193"/>
        <v>0.65</v>
      </c>
    </row>
    <row r="486" spans="1:18" x14ac:dyDescent="0.2">
      <c r="A486" t="s">
        <v>1041</v>
      </c>
      <c r="B486" t="s">
        <v>1042</v>
      </c>
      <c r="C486" t="str">
        <f t="shared" si="184"/>
        <v>Corey Combs</v>
      </c>
      <c r="D486" t="s">
        <v>17</v>
      </c>
      <c r="E486" t="str">
        <f t="shared" si="185"/>
        <v>Male</v>
      </c>
      <c r="F486">
        <v>31</v>
      </c>
      <c r="G486" t="s">
        <v>129</v>
      </c>
      <c r="H486" t="s">
        <v>130</v>
      </c>
      <c r="I486" t="s">
        <v>13</v>
      </c>
      <c r="J486">
        <v>2</v>
      </c>
      <c r="K486" t="str" cm="1">
        <f t="array" ref="K486">_xlfn.IFS( J486&lt;=5,"0-5", J486&lt;=10,"6-10",J486&lt;=15,"11-15",J486&lt;=20,"16-20",J486&gt;20,"20+")</f>
        <v>0-5</v>
      </c>
      <c r="L486" t="s">
        <v>160</v>
      </c>
      <c r="M486" t="str">
        <f>SUBSTITUTE(L486,"$"," ")</f>
        <v xml:space="preserve"> 75</v>
      </c>
      <c r="N486">
        <v>2.8</v>
      </c>
      <c r="O486" t="b">
        <v>0</v>
      </c>
      <c r="Q486" s="1">
        <v>0.6</v>
      </c>
      <c r="R486" s="1">
        <f t="shared" si="193"/>
        <v>0.6</v>
      </c>
    </row>
    <row r="487" spans="1:18" x14ac:dyDescent="0.2">
      <c r="A487" t="s">
        <v>1043</v>
      </c>
      <c r="B487" t="s">
        <v>1044</v>
      </c>
      <c r="C487" t="str">
        <f t="shared" si="184"/>
        <v>Antonio King</v>
      </c>
      <c r="D487" t="s">
        <v>51</v>
      </c>
      <c r="E487" t="str">
        <f t="shared" si="185"/>
        <v>Male</v>
      </c>
      <c r="F487">
        <v>40</v>
      </c>
      <c r="G487" t="s">
        <v>52</v>
      </c>
      <c r="H487" t="s">
        <v>53</v>
      </c>
      <c r="I487" t="s">
        <v>79</v>
      </c>
      <c r="J487">
        <v>12</v>
      </c>
      <c r="K487" t="str" cm="1">
        <f t="array" ref="K487">_xlfn.IFS( J487&lt;=5,"0-5", J487&lt;=10,"6-10",J487&lt;=15,"11-15",J487&lt;=20,"16-20",J487&gt;20,"20+")</f>
        <v>11-15</v>
      </c>
      <c r="L487">
        <v>75</v>
      </c>
      <c r="M487" s="2">
        <f>L487</f>
        <v>75</v>
      </c>
      <c r="N487">
        <v>2.6</v>
      </c>
      <c r="O487" t="b">
        <v>0</v>
      </c>
      <c r="P487" t="s">
        <v>2074</v>
      </c>
    </row>
    <row r="488" spans="1:18" x14ac:dyDescent="0.2">
      <c r="A488" t="s">
        <v>1045</v>
      </c>
      <c r="B488" t="s">
        <v>665</v>
      </c>
      <c r="C488" t="str">
        <f t="shared" si="184"/>
        <v>Amy Lee</v>
      </c>
      <c r="D488" t="s">
        <v>4</v>
      </c>
      <c r="E488" t="str">
        <f t="shared" si="185"/>
        <v>Female</v>
      </c>
      <c r="F488">
        <v>48</v>
      </c>
      <c r="G488" t="s">
        <v>114</v>
      </c>
      <c r="H488" t="s">
        <v>115</v>
      </c>
      <c r="I488" t="s">
        <v>7</v>
      </c>
      <c r="J488">
        <v>13</v>
      </c>
      <c r="K488" t="str" cm="1">
        <f t="array" ref="K488">_xlfn.IFS( J488&lt;=5,"0-5", J488&lt;=10,"6-10",J488&lt;=15,"11-15",J488&lt;=20,"16-20",J488&gt;20,"20+")</f>
        <v>11-15</v>
      </c>
      <c r="L488" t="s">
        <v>219</v>
      </c>
      <c r="M488" t="str">
        <f>SUBSTITUTE(L488,"$"," ")</f>
        <v xml:space="preserve"> 100</v>
      </c>
      <c r="N488">
        <v>2.7</v>
      </c>
      <c r="Q488" s="1">
        <v>0.62</v>
      </c>
      <c r="R488" s="1">
        <f>Q488</f>
        <v>0.62</v>
      </c>
    </row>
    <row r="489" spans="1:18" x14ac:dyDescent="0.2">
      <c r="A489" t="s">
        <v>1046</v>
      </c>
      <c r="B489" t="s">
        <v>1047</v>
      </c>
      <c r="C489" t="str">
        <f t="shared" si="184"/>
        <v>Jennifer Rogers</v>
      </c>
      <c r="D489" t="s">
        <v>4</v>
      </c>
      <c r="E489" t="str">
        <f t="shared" si="185"/>
        <v>Female</v>
      </c>
      <c r="F489">
        <v>24</v>
      </c>
      <c r="G489" t="s">
        <v>143</v>
      </c>
      <c r="H489" t="s">
        <v>144</v>
      </c>
      <c r="I489" t="s">
        <v>13</v>
      </c>
      <c r="J489">
        <v>6</v>
      </c>
      <c r="K489" t="str" cm="1">
        <f t="array" ref="K489">_xlfn.IFS( J489&lt;=5,"0-5", J489&lt;=10,"6-10",J489&lt;=15,"11-15",J489&lt;=20,"16-20",J489&gt;20,"20+")</f>
        <v>6-10</v>
      </c>
      <c r="L489">
        <v>30</v>
      </c>
      <c r="M489" s="2">
        <f>L489</f>
        <v>30</v>
      </c>
      <c r="N489">
        <v>1.1000000000000001</v>
      </c>
      <c r="O489" t="s">
        <v>58</v>
      </c>
      <c r="P489" t="s">
        <v>2075</v>
      </c>
    </row>
    <row r="490" spans="1:18" x14ac:dyDescent="0.2">
      <c r="A490" t="s">
        <v>1048</v>
      </c>
      <c r="B490" t="s">
        <v>1049</v>
      </c>
      <c r="C490" t="str">
        <f t="shared" si="184"/>
        <v>Jeffrey Cooper</v>
      </c>
      <c r="D490" t="s">
        <v>51</v>
      </c>
      <c r="E490" t="str">
        <f t="shared" si="185"/>
        <v>Male</v>
      </c>
      <c r="F490">
        <v>33</v>
      </c>
      <c r="G490" t="s">
        <v>39</v>
      </c>
      <c r="H490" t="s">
        <v>40</v>
      </c>
      <c r="I490" t="s">
        <v>25</v>
      </c>
      <c r="J490">
        <v>10</v>
      </c>
      <c r="K490" t="str" cm="1">
        <f t="array" ref="K490">_xlfn.IFS( J490&lt;=5,"0-5", J490&lt;=10,"6-10",J490&lt;=15,"11-15",J490&lt;=20,"16-20",J490&gt;20,"20+")</f>
        <v>6-10</v>
      </c>
      <c r="L490" t="s">
        <v>99</v>
      </c>
      <c r="M490" t="str">
        <f>_xlfn.TEXTAFTER(L490, " ")</f>
        <v>30</v>
      </c>
      <c r="N490">
        <v>0</v>
      </c>
      <c r="O490" t="s">
        <v>58</v>
      </c>
      <c r="Q490" s="1">
        <v>0.89</v>
      </c>
      <c r="R490" s="1">
        <f t="shared" ref="R490:R492" si="194">Q490</f>
        <v>0.89</v>
      </c>
    </row>
    <row r="491" spans="1:18" x14ac:dyDescent="0.2">
      <c r="A491" t="s">
        <v>1050</v>
      </c>
      <c r="B491" t="s">
        <v>1051</v>
      </c>
      <c r="C491" t="str">
        <f t="shared" si="184"/>
        <v>Allison Williams</v>
      </c>
      <c r="D491" t="s">
        <v>67</v>
      </c>
      <c r="E491" t="str">
        <f t="shared" si="185"/>
        <v>Female</v>
      </c>
      <c r="F491">
        <v>43</v>
      </c>
      <c r="G491" t="s">
        <v>97</v>
      </c>
      <c r="H491" t="s">
        <v>98</v>
      </c>
      <c r="I491" t="s">
        <v>63</v>
      </c>
      <c r="J491">
        <v>2</v>
      </c>
      <c r="K491" t="str" cm="1">
        <f t="array" ref="K491">_xlfn.IFS( J491&lt;=5,"0-5", J491&lt;=10,"6-10",J491&lt;=15,"11-15",J491&lt;=20,"16-20",J491&gt;20,"20+")</f>
        <v>0-5</v>
      </c>
      <c r="L491" t="s">
        <v>26</v>
      </c>
      <c r="M491" t="str">
        <f>SUBSTITUTE(L491,"$"," ")</f>
        <v xml:space="preserve"> 40</v>
      </c>
      <c r="N491">
        <v>0</v>
      </c>
      <c r="O491" t="s">
        <v>58</v>
      </c>
      <c r="Q491" s="1">
        <v>0.89</v>
      </c>
      <c r="R491" s="1">
        <f t="shared" si="194"/>
        <v>0.89</v>
      </c>
    </row>
    <row r="492" spans="1:18" x14ac:dyDescent="0.2">
      <c r="A492" t="s">
        <v>1052</v>
      </c>
      <c r="B492" t="s">
        <v>1053</v>
      </c>
      <c r="C492" t="str">
        <f t="shared" si="184"/>
        <v>Raymond Sherman</v>
      </c>
      <c r="D492" t="s">
        <v>82</v>
      </c>
      <c r="E492" t="str">
        <f t="shared" si="185"/>
        <v>Male</v>
      </c>
      <c r="F492">
        <v>43</v>
      </c>
      <c r="G492" t="s">
        <v>180</v>
      </c>
      <c r="H492" t="s">
        <v>62</v>
      </c>
      <c r="I492" t="s">
        <v>7</v>
      </c>
      <c r="J492">
        <v>4</v>
      </c>
      <c r="K492" t="str" cm="1">
        <f t="array" ref="K492">_xlfn.IFS( J492&lt;=5,"0-5", J492&lt;=10,"6-10",J492&lt;=15,"11-15",J492&lt;=20,"16-20",J492&gt;20,"20+")</f>
        <v>0-5</v>
      </c>
      <c r="L492">
        <v>50</v>
      </c>
      <c r="M492" s="2">
        <f>L492</f>
        <v>50</v>
      </c>
      <c r="N492">
        <v>0</v>
      </c>
      <c r="O492" t="b">
        <v>1</v>
      </c>
      <c r="P492" t="s">
        <v>2075</v>
      </c>
      <c r="Q492" s="1">
        <v>1</v>
      </c>
      <c r="R492" s="1">
        <f t="shared" si="194"/>
        <v>1</v>
      </c>
    </row>
    <row r="493" spans="1:18" x14ac:dyDescent="0.2">
      <c r="A493" t="s">
        <v>1054</v>
      </c>
      <c r="B493" t="s">
        <v>1055</v>
      </c>
      <c r="C493" t="str">
        <f t="shared" si="184"/>
        <v>Jennifer Nelson</v>
      </c>
      <c r="D493" t="s">
        <v>10</v>
      </c>
      <c r="E493" t="str">
        <f t="shared" si="185"/>
        <v>Female</v>
      </c>
      <c r="F493">
        <v>33</v>
      </c>
      <c r="G493" t="s">
        <v>11</v>
      </c>
      <c r="H493" t="s">
        <v>12</v>
      </c>
      <c r="I493" t="s">
        <v>25</v>
      </c>
      <c r="J493">
        <v>11</v>
      </c>
      <c r="K493" t="str" cm="1">
        <f t="array" ref="K493">_xlfn.IFS( J493&lt;=5,"0-5", J493&lt;=10,"6-10",J493&lt;=15,"11-15",J493&lt;=20,"16-20",J493&gt;20,"20+")</f>
        <v>11-15</v>
      </c>
      <c r="M493"/>
      <c r="N493">
        <v>4.5999999999999996</v>
      </c>
      <c r="O493" t="s">
        <v>58</v>
      </c>
    </row>
    <row r="494" spans="1:18" x14ac:dyDescent="0.2">
      <c r="A494" t="s">
        <v>1056</v>
      </c>
      <c r="B494" t="s">
        <v>1057</v>
      </c>
      <c r="C494" t="str">
        <f t="shared" si="184"/>
        <v>Jennifer Carter</v>
      </c>
      <c r="D494" t="s">
        <v>10</v>
      </c>
      <c r="E494" t="str">
        <f t="shared" si="185"/>
        <v>Female</v>
      </c>
      <c r="F494">
        <v>49</v>
      </c>
      <c r="G494" t="s">
        <v>114</v>
      </c>
      <c r="H494" t="s">
        <v>115</v>
      </c>
      <c r="I494" t="s">
        <v>63</v>
      </c>
      <c r="J494">
        <v>14</v>
      </c>
      <c r="K494" t="str" cm="1">
        <f t="array" ref="K494">_xlfn.IFS( J494&lt;=5,"0-5", J494&lt;=10,"6-10",J494&lt;=15,"11-15",J494&lt;=20,"16-20",J494&gt;20,"20+")</f>
        <v>11-15</v>
      </c>
      <c r="L494">
        <v>40</v>
      </c>
      <c r="M494" s="2">
        <f t="shared" ref="M494:M495" si="195">L494</f>
        <v>40</v>
      </c>
      <c r="N494">
        <v>1.5</v>
      </c>
      <c r="Q494" s="1">
        <v>0.6</v>
      </c>
      <c r="R494" s="1">
        <f t="shared" ref="R494:R508" si="196">Q494</f>
        <v>0.6</v>
      </c>
    </row>
    <row r="495" spans="1:18" x14ac:dyDescent="0.2">
      <c r="A495" t="s">
        <v>1058</v>
      </c>
      <c r="B495" t="s">
        <v>1059</v>
      </c>
      <c r="C495" t="str">
        <f t="shared" si="184"/>
        <v>Todd Williams</v>
      </c>
      <c r="D495" t="s">
        <v>38</v>
      </c>
      <c r="E495" t="str">
        <f t="shared" si="185"/>
        <v>Male</v>
      </c>
      <c r="F495">
        <v>55</v>
      </c>
      <c r="G495" t="s">
        <v>118</v>
      </c>
      <c r="H495" t="s">
        <v>12</v>
      </c>
      <c r="I495" t="s">
        <v>63</v>
      </c>
      <c r="J495">
        <v>10</v>
      </c>
      <c r="K495" t="str" cm="1">
        <f t="array" ref="K495">_xlfn.IFS( J495&lt;=5,"0-5", J495&lt;=10,"6-10",J495&lt;=15,"11-15",J495&lt;=20,"16-20",J495&gt;20,"20+")</f>
        <v>6-10</v>
      </c>
      <c r="L495">
        <v>40</v>
      </c>
      <c r="M495" s="2">
        <f t="shared" si="195"/>
        <v>40</v>
      </c>
      <c r="N495">
        <v>2</v>
      </c>
      <c r="O495" t="s">
        <v>149</v>
      </c>
      <c r="P495" t="s">
        <v>2074</v>
      </c>
      <c r="Q495" s="1">
        <v>0.85</v>
      </c>
      <c r="R495" s="1">
        <f t="shared" si="196"/>
        <v>0.85</v>
      </c>
    </row>
    <row r="496" spans="1:18" x14ac:dyDescent="0.2">
      <c r="A496" t="s">
        <v>1060</v>
      </c>
      <c r="B496" t="s">
        <v>1061</v>
      </c>
      <c r="C496" t="str">
        <f t="shared" si="184"/>
        <v>Emily Horton</v>
      </c>
      <c r="D496" t="s">
        <v>24</v>
      </c>
      <c r="E496" t="str">
        <f t="shared" si="185"/>
        <v>Female</v>
      </c>
      <c r="F496">
        <v>33</v>
      </c>
      <c r="G496" t="s">
        <v>102</v>
      </c>
      <c r="H496" t="s">
        <v>103</v>
      </c>
      <c r="I496" t="s">
        <v>20</v>
      </c>
      <c r="J496">
        <v>3</v>
      </c>
      <c r="K496" t="str" cm="1">
        <f t="array" ref="K496">_xlfn.IFS( J496&lt;=5,"0-5", J496&lt;=10,"6-10",J496&lt;=15,"11-15",J496&lt;=20,"16-20",J496&gt;20,"20+")</f>
        <v>0-5</v>
      </c>
      <c r="L496" t="s">
        <v>26</v>
      </c>
      <c r="M496" t="str">
        <f t="shared" ref="M496:M497" si="197">SUBSTITUTE(L496,"$"," ")</f>
        <v xml:space="preserve"> 40</v>
      </c>
      <c r="N496">
        <v>1.6</v>
      </c>
      <c r="Q496" s="1">
        <v>0.83</v>
      </c>
      <c r="R496" s="1">
        <f t="shared" si="196"/>
        <v>0.83</v>
      </c>
    </row>
    <row r="497" spans="1:18" x14ac:dyDescent="0.2">
      <c r="A497" t="s">
        <v>1062</v>
      </c>
      <c r="B497" t="s">
        <v>1063</v>
      </c>
      <c r="C497" t="str">
        <f t="shared" si="184"/>
        <v>Lance Lester</v>
      </c>
      <c r="D497" t="s">
        <v>87</v>
      </c>
      <c r="E497" t="str">
        <f t="shared" si="185"/>
        <v>Male</v>
      </c>
      <c r="F497">
        <v>32</v>
      </c>
      <c r="G497" t="s">
        <v>61</v>
      </c>
      <c r="H497" t="s">
        <v>62</v>
      </c>
      <c r="I497" t="s">
        <v>34</v>
      </c>
      <c r="J497">
        <v>3</v>
      </c>
      <c r="K497" t="str" cm="1">
        <f t="array" ref="K497">_xlfn.IFS( J497&lt;=5,"0-5", J497&lt;=10,"6-10",J497&lt;=15,"11-15",J497&lt;=20,"16-20",J497&gt;20,"20+")</f>
        <v>0-5</v>
      </c>
      <c r="L497" t="s">
        <v>35</v>
      </c>
      <c r="M497" t="str">
        <f t="shared" si="197"/>
        <v xml:space="preserve"> 30</v>
      </c>
      <c r="N497">
        <v>1.5</v>
      </c>
      <c r="O497" t="s">
        <v>21</v>
      </c>
      <c r="Q497" s="1">
        <v>0.96</v>
      </c>
      <c r="R497" s="1">
        <f t="shared" si="196"/>
        <v>0.96</v>
      </c>
    </row>
    <row r="498" spans="1:18" x14ac:dyDescent="0.2">
      <c r="A498" t="s">
        <v>1064</v>
      </c>
      <c r="B498" t="s">
        <v>1065</v>
      </c>
      <c r="C498" t="str">
        <f t="shared" si="184"/>
        <v>Kevin Flores</v>
      </c>
      <c r="D498" t="s">
        <v>38</v>
      </c>
      <c r="E498" t="str">
        <f t="shared" si="185"/>
        <v>Male</v>
      </c>
      <c r="F498">
        <v>58</v>
      </c>
      <c r="G498" t="s">
        <v>32</v>
      </c>
      <c r="H498" t="s">
        <v>33</v>
      </c>
      <c r="I498" t="s">
        <v>7</v>
      </c>
      <c r="J498">
        <v>33</v>
      </c>
      <c r="K498" t="str" cm="1">
        <f t="array" ref="K498">_xlfn.IFS( J498&lt;=5,"0-5", J498&lt;=10,"6-10",J498&lt;=15,"11-15",J498&lt;=20,"16-20",J498&gt;20,"20+")</f>
        <v>20+</v>
      </c>
      <c r="M498"/>
      <c r="N498">
        <v>4.0999999999999996</v>
      </c>
      <c r="O498" t="s">
        <v>64</v>
      </c>
      <c r="Q498" s="1">
        <v>0.83</v>
      </c>
      <c r="R498" s="1">
        <f t="shared" si="196"/>
        <v>0.83</v>
      </c>
    </row>
    <row r="499" spans="1:18" x14ac:dyDescent="0.2">
      <c r="A499" t="s">
        <v>1066</v>
      </c>
      <c r="B499" t="s">
        <v>1067</v>
      </c>
      <c r="C499" t="str">
        <f t="shared" si="184"/>
        <v>Aaron Stewart PhD</v>
      </c>
      <c r="D499" t="s">
        <v>17</v>
      </c>
      <c r="E499" t="str">
        <f t="shared" si="185"/>
        <v>Male</v>
      </c>
      <c r="F499">
        <v>49</v>
      </c>
      <c r="G499" t="s">
        <v>39</v>
      </c>
      <c r="H499" t="s">
        <v>40</v>
      </c>
      <c r="I499" t="s">
        <v>41</v>
      </c>
      <c r="J499">
        <v>24</v>
      </c>
      <c r="K499" t="str" cm="1">
        <f t="array" ref="K499">_xlfn.IFS( J499&lt;=5,"0-5", J499&lt;=10,"6-10",J499&lt;=15,"11-15",J499&lt;=20,"16-20",J499&gt;20,"20+")</f>
        <v>20+</v>
      </c>
      <c r="L499">
        <v>100</v>
      </c>
      <c r="M499" s="2">
        <f>L499</f>
        <v>100</v>
      </c>
      <c r="N499">
        <v>4.7</v>
      </c>
      <c r="O499">
        <v>0</v>
      </c>
      <c r="P499" t="s">
        <v>2074</v>
      </c>
      <c r="Q499" s="1">
        <v>0.6</v>
      </c>
      <c r="R499" s="1">
        <f t="shared" si="196"/>
        <v>0.6</v>
      </c>
    </row>
    <row r="500" spans="1:18" x14ac:dyDescent="0.2">
      <c r="A500" t="s">
        <v>1068</v>
      </c>
      <c r="B500" t="s">
        <v>1069</v>
      </c>
      <c r="C500" t="str">
        <f t="shared" si="184"/>
        <v>Robin Moore</v>
      </c>
      <c r="D500" t="s">
        <v>67</v>
      </c>
      <c r="E500" t="str">
        <f t="shared" si="185"/>
        <v>Female</v>
      </c>
      <c r="F500">
        <v>22</v>
      </c>
      <c r="G500" t="s">
        <v>114</v>
      </c>
      <c r="H500" t="s">
        <v>115</v>
      </c>
      <c r="I500" t="s">
        <v>63</v>
      </c>
      <c r="J500">
        <v>3</v>
      </c>
      <c r="K500" t="str" cm="1">
        <f t="array" ref="K500">_xlfn.IFS( J500&lt;=5,"0-5", J500&lt;=10,"6-10",J500&lt;=15,"11-15",J500&lt;=20,"16-20",J500&gt;20,"20+")</f>
        <v>0-5</v>
      </c>
      <c r="L500" t="s">
        <v>14</v>
      </c>
      <c r="M500" t="str">
        <f>_xlfn.TEXTAFTER(L500, " ")</f>
        <v>100</v>
      </c>
      <c r="N500">
        <v>3.6</v>
      </c>
      <c r="O500">
        <v>1</v>
      </c>
      <c r="Q500" s="1">
        <v>0.78</v>
      </c>
      <c r="R500" s="1">
        <f t="shared" si="196"/>
        <v>0.78</v>
      </c>
    </row>
    <row r="501" spans="1:18" x14ac:dyDescent="0.2">
      <c r="A501" t="s">
        <v>1070</v>
      </c>
      <c r="B501" t="s">
        <v>1071</v>
      </c>
      <c r="C501" t="str">
        <f t="shared" si="184"/>
        <v>Suzanne Ingram</v>
      </c>
      <c r="D501" t="s">
        <v>4</v>
      </c>
      <c r="E501" t="str">
        <f t="shared" si="185"/>
        <v>Female</v>
      </c>
      <c r="F501">
        <v>40</v>
      </c>
      <c r="G501" t="s">
        <v>129</v>
      </c>
      <c r="H501" t="s">
        <v>130</v>
      </c>
      <c r="I501" t="s">
        <v>25</v>
      </c>
      <c r="J501">
        <v>11</v>
      </c>
      <c r="K501" t="str" cm="1">
        <f t="array" ref="K501">_xlfn.IFS( J501&lt;=5,"0-5", J501&lt;=10,"6-10",J501&lt;=15,"11-15",J501&lt;=20,"16-20",J501&gt;20,"20+")</f>
        <v>11-15</v>
      </c>
      <c r="L501" t="s">
        <v>111</v>
      </c>
      <c r="M501" t="str">
        <f>SUBSTITUTE(L501,"$"," ")</f>
        <v xml:space="preserve"> 20</v>
      </c>
      <c r="N501">
        <v>1.8</v>
      </c>
      <c r="O501">
        <v>1</v>
      </c>
      <c r="Q501" s="1">
        <v>0.9</v>
      </c>
      <c r="R501" s="1">
        <f t="shared" si="196"/>
        <v>0.9</v>
      </c>
    </row>
    <row r="502" spans="1:18" x14ac:dyDescent="0.2">
      <c r="A502" t="s">
        <v>1072</v>
      </c>
      <c r="B502" t="s">
        <v>1073</v>
      </c>
      <c r="C502" t="str">
        <f t="shared" si="184"/>
        <v>Jacob Mclaughlin</v>
      </c>
      <c r="D502" t="s">
        <v>38</v>
      </c>
      <c r="E502" t="str">
        <f t="shared" si="185"/>
        <v>Male</v>
      </c>
      <c r="F502">
        <v>55</v>
      </c>
      <c r="G502" t="s">
        <v>11</v>
      </c>
      <c r="H502" t="s">
        <v>12</v>
      </c>
      <c r="I502" t="s">
        <v>41</v>
      </c>
      <c r="J502">
        <v>7</v>
      </c>
      <c r="K502" t="str" cm="1">
        <f t="array" ref="K502">_xlfn.IFS( J502&lt;=5,"0-5", J502&lt;=10,"6-10",J502&lt;=15,"11-15",J502&lt;=20,"16-20",J502&gt;20,"20+")</f>
        <v>6-10</v>
      </c>
      <c r="L502" t="s">
        <v>14</v>
      </c>
      <c r="M502" t="str">
        <f>_xlfn.TEXTAFTER(L502, " ")</f>
        <v>100</v>
      </c>
      <c r="N502">
        <v>2.1</v>
      </c>
      <c r="O502">
        <v>0</v>
      </c>
      <c r="Q502" s="1">
        <v>0.66</v>
      </c>
      <c r="R502" s="1">
        <f t="shared" si="196"/>
        <v>0.66</v>
      </c>
    </row>
    <row r="503" spans="1:18" x14ac:dyDescent="0.2">
      <c r="A503" t="s">
        <v>1074</v>
      </c>
      <c r="B503" t="s">
        <v>1075</v>
      </c>
      <c r="C503" t="str">
        <f t="shared" si="184"/>
        <v>Michael Nunez</v>
      </c>
      <c r="D503" t="s">
        <v>82</v>
      </c>
      <c r="E503" t="str">
        <f t="shared" si="185"/>
        <v>Male</v>
      </c>
      <c r="F503">
        <v>32</v>
      </c>
      <c r="G503" t="s">
        <v>169</v>
      </c>
      <c r="H503" t="s">
        <v>62</v>
      </c>
      <c r="I503" t="s">
        <v>79</v>
      </c>
      <c r="J503">
        <v>1</v>
      </c>
      <c r="K503" t="str" cm="1">
        <f t="array" ref="K503">_xlfn.IFS( J503&lt;=5,"0-5", J503&lt;=10,"6-10",J503&lt;=15,"11-15",J503&lt;=20,"16-20",J503&gt;20,"20+")</f>
        <v>0-5</v>
      </c>
      <c r="L503" t="s">
        <v>54</v>
      </c>
      <c r="M503" t="str">
        <f>SUBSTITUTE(L503,"$"," ")</f>
        <v xml:space="preserve"> 50</v>
      </c>
      <c r="O503" t="s">
        <v>58</v>
      </c>
      <c r="Q503" s="1">
        <v>0.7</v>
      </c>
      <c r="R503" s="1">
        <f t="shared" si="196"/>
        <v>0.7</v>
      </c>
    </row>
    <row r="504" spans="1:18" x14ac:dyDescent="0.2">
      <c r="A504" t="s">
        <v>1076</v>
      </c>
      <c r="B504" t="s">
        <v>1077</v>
      </c>
      <c r="C504" t="str">
        <f t="shared" si="184"/>
        <v>Isabel Brown</v>
      </c>
      <c r="D504" t="s">
        <v>10</v>
      </c>
      <c r="E504" t="str">
        <f t="shared" si="185"/>
        <v>Female</v>
      </c>
      <c r="F504">
        <v>21</v>
      </c>
      <c r="G504" t="s">
        <v>75</v>
      </c>
      <c r="H504" t="s">
        <v>76</v>
      </c>
      <c r="I504" t="s">
        <v>63</v>
      </c>
      <c r="J504">
        <v>0</v>
      </c>
      <c r="K504" t="str" cm="1">
        <f t="array" ref="K504">_xlfn.IFS( J504&lt;=5,"0-5", J504&lt;=10,"6-10",J504&lt;=15,"11-15",J504&lt;=20,"16-20",J504&gt;20,"20+")</f>
        <v>0-5</v>
      </c>
      <c r="L504" t="s">
        <v>99</v>
      </c>
      <c r="M504" t="str">
        <f>_xlfn.TEXTAFTER(L504, " ")</f>
        <v>30</v>
      </c>
      <c r="N504">
        <v>4.2</v>
      </c>
      <c r="O504" t="s">
        <v>58</v>
      </c>
      <c r="Q504" s="1">
        <v>0.79</v>
      </c>
      <c r="R504" s="1">
        <f t="shared" si="196"/>
        <v>0.79</v>
      </c>
    </row>
    <row r="505" spans="1:18" x14ac:dyDescent="0.2">
      <c r="A505" t="s">
        <v>1078</v>
      </c>
      <c r="B505" t="s">
        <v>1079</v>
      </c>
      <c r="C505" t="str">
        <f t="shared" si="184"/>
        <v>Michael Stein</v>
      </c>
      <c r="D505" t="s">
        <v>82</v>
      </c>
      <c r="E505" t="str">
        <f t="shared" si="185"/>
        <v>Male</v>
      </c>
      <c r="F505">
        <v>23</v>
      </c>
      <c r="G505" t="s">
        <v>102</v>
      </c>
      <c r="H505" t="s">
        <v>103</v>
      </c>
      <c r="I505" t="s">
        <v>7</v>
      </c>
      <c r="J505">
        <v>1</v>
      </c>
      <c r="K505" t="str" cm="1">
        <f t="array" ref="K505">_xlfn.IFS( J505&lt;=5,"0-5", J505&lt;=10,"6-10",J505&lt;=15,"11-15",J505&lt;=20,"16-20",J505&gt;20,"20+")</f>
        <v>0-5</v>
      </c>
      <c r="L505">
        <v>40</v>
      </c>
      <c r="M505" s="2">
        <f>L505</f>
        <v>40</v>
      </c>
      <c r="N505">
        <v>0</v>
      </c>
      <c r="O505">
        <v>0</v>
      </c>
      <c r="P505" t="s">
        <v>2074</v>
      </c>
      <c r="Q505" s="1">
        <v>0.64</v>
      </c>
      <c r="R505" s="1">
        <f t="shared" si="196"/>
        <v>0.64</v>
      </c>
    </row>
    <row r="506" spans="1:18" x14ac:dyDescent="0.2">
      <c r="A506" t="s">
        <v>1080</v>
      </c>
      <c r="B506" t="s">
        <v>1081</v>
      </c>
      <c r="C506" t="str">
        <f t="shared" si="184"/>
        <v>Robert Stone</v>
      </c>
      <c r="D506" t="s">
        <v>87</v>
      </c>
      <c r="E506" t="str">
        <f t="shared" si="185"/>
        <v>Male</v>
      </c>
      <c r="F506">
        <v>21</v>
      </c>
      <c r="G506" t="s">
        <v>57</v>
      </c>
      <c r="H506" t="s">
        <v>12</v>
      </c>
      <c r="I506" t="s">
        <v>13</v>
      </c>
      <c r="J506">
        <v>1</v>
      </c>
      <c r="K506" t="str" cm="1">
        <f t="array" ref="K506">_xlfn.IFS( J506&lt;=5,"0-5", J506&lt;=10,"6-10",J506&lt;=15,"11-15",J506&lt;=20,"16-20",J506&gt;20,"20+")</f>
        <v>0-5</v>
      </c>
      <c r="L506" t="s">
        <v>99</v>
      </c>
      <c r="M506" t="str">
        <f>_xlfn.TEXTAFTER(L506, " ")</f>
        <v>30</v>
      </c>
      <c r="N506">
        <v>1</v>
      </c>
      <c r="O506" t="s">
        <v>21</v>
      </c>
      <c r="Q506" s="1">
        <v>0.81</v>
      </c>
      <c r="R506" s="1">
        <f t="shared" si="196"/>
        <v>0.81</v>
      </c>
    </row>
    <row r="507" spans="1:18" x14ac:dyDescent="0.2">
      <c r="A507" t="s">
        <v>1082</v>
      </c>
      <c r="B507" t="s">
        <v>1083</v>
      </c>
      <c r="C507" t="str">
        <f t="shared" si="184"/>
        <v>Dillon Henry</v>
      </c>
      <c r="D507" t="s">
        <v>87</v>
      </c>
      <c r="E507" t="str">
        <f t="shared" si="185"/>
        <v>Male</v>
      </c>
      <c r="F507">
        <v>31</v>
      </c>
      <c r="G507" t="s">
        <v>61</v>
      </c>
      <c r="H507" t="s">
        <v>62</v>
      </c>
      <c r="I507" t="s">
        <v>34</v>
      </c>
      <c r="J507">
        <v>7</v>
      </c>
      <c r="K507" t="str" cm="1">
        <f t="array" ref="K507">_xlfn.IFS( J507&lt;=5,"0-5", J507&lt;=10,"6-10",J507&lt;=15,"11-15",J507&lt;=20,"16-20",J507&gt;20,"20+")</f>
        <v>6-10</v>
      </c>
      <c r="L507">
        <v>75</v>
      </c>
      <c r="M507" s="2">
        <f t="shared" ref="M507:M508" si="198">L507</f>
        <v>75</v>
      </c>
      <c r="N507">
        <v>4.4000000000000004</v>
      </c>
      <c r="O507">
        <v>0</v>
      </c>
      <c r="P507" t="s">
        <v>2074</v>
      </c>
      <c r="Q507" s="1">
        <v>0.83</v>
      </c>
      <c r="R507" s="1">
        <f t="shared" si="196"/>
        <v>0.83</v>
      </c>
    </row>
    <row r="508" spans="1:18" x14ac:dyDescent="0.2">
      <c r="A508" t="s">
        <v>1084</v>
      </c>
      <c r="B508" t="s">
        <v>1085</v>
      </c>
      <c r="C508" t="str">
        <f t="shared" si="184"/>
        <v>James Todd</v>
      </c>
      <c r="D508" t="s">
        <v>82</v>
      </c>
      <c r="E508" t="str">
        <f t="shared" si="185"/>
        <v>Male</v>
      </c>
      <c r="F508">
        <v>21</v>
      </c>
      <c r="G508" t="s">
        <v>169</v>
      </c>
      <c r="H508" t="s">
        <v>62</v>
      </c>
      <c r="I508" t="s">
        <v>7</v>
      </c>
      <c r="K508" t="str" cm="1">
        <f t="array" ref="K508">_xlfn.IFS( J508&lt;=5,"0-5", J508&lt;=10,"6-10",J508&lt;=15,"11-15",J508&lt;=20,"16-20",J508&gt;20,"20+")</f>
        <v>0-5</v>
      </c>
      <c r="L508">
        <v>40</v>
      </c>
      <c r="M508" s="2">
        <f t="shared" si="198"/>
        <v>40</v>
      </c>
      <c r="N508">
        <v>4</v>
      </c>
      <c r="O508">
        <v>0</v>
      </c>
      <c r="P508" t="s">
        <v>2074</v>
      </c>
      <c r="Q508" s="1">
        <v>0.91</v>
      </c>
      <c r="R508" s="1">
        <f t="shared" si="196"/>
        <v>0.91</v>
      </c>
    </row>
    <row r="509" spans="1:18" x14ac:dyDescent="0.2">
      <c r="A509" t="s">
        <v>1086</v>
      </c>
      <c r="B509" t="s">
        <v>1087</v>
      </c>
      <c r="C509" t="str">
        <f t="shared" si="184"/>
        <v>Clifford Moore MD</v>
      </c>
      <c r="D509" t="s">
        <v>17</v>
      </c>
      <c r="E509" t="str">
        <f t="shared" si="185"/>
        <v>Male</v>
      </c>
      <c r="F509">
        <v>33</v>
      </c>
      <c r="G509" t="s">
        <v>57</v>
      </c>
      <c r="H509" t="s">
        <v>12</v>
      </c>
      <c r="I509" t="s">
        <v>68</v>
      </c>
      <c r="J509">
        <v>6</v>
      </c>
      <c r="K509" t="str" cm="1">
        <f t="array" ref="K509">_xlfn.IFS( J509&lt;=5,"0-5", J509&lt;=10,"6-10",J509&lt;=15,"11-15",J509&lt;=20,"16-20",J509&gt;20,"20+")</f>
        <v>6-10</v>
      </c>
      <c r="L509" t="s">
        <v>88</v>
      </c>
      <c r="M509" t="str">
        <f>_xlfn.TEXTAFTER(L509, " ")</f>
        <v>50</v>
      </c>
      <c r="N509">
        <v>3.1</v>
      </c>
      <c r="O509" t="s">
        <v>21</v>
      </c>
    </row>
    <row r="510" spans="1:18" x14ac:dyDescent="0.2">
      <c r="A510" t="s">
        <v>1088</v>
      </c>
      <c r="B510" t="s">
        <v>1089</v>
      </c>
      <c r="C510" t="str">
        <f t="shared" si="184"/>
        <v>John Rios</v>
      </c>
      <c r="D510" t="s">
        <v>38</v>
      </c>
      <c r="E510" t="str">
        <f t="shared" si="185"/>
        <v>Male</v>
      </c>
      <c r="F510">
        <v>57</v>
      </c>
      <c r="G510" t="s">
        <v>97</v>
      </c>
      <c r="H510" t="s">
        <v>98</v>
      </c>
      <c r="I510" t="s">
        <v>25</v>
      </c>
      <c r="J510">
        <v>5</v>
      </c>
      <c r="K510" t="str" cm="1">
        <f t="array" ref="K510">_xlfn.IFS( J510&lt;=5,"0-5", J510&lt;=10,"6-10",J510&lt;=15,"11-15",J510&lt;=20,"16-20",J510&gt;20,"20+")</f>
        <v>0-5</v>
      </c>
      <c r="L510">
        <v>75</v>
      </c>
      <c r="M510" s="2">
        <f>L510</f>
        <v>75</v>
      </c>
      <c r="N510">
        <v>1.1000000000000001</v>
      </c>
      <c r="O510" t="b">
        <v>1</v>
      </c>
      <c r="P510" t="s">
        <v>2075</v>
      </c>
      <c r="Q510" s="1">
        <v>0.77</v>
      </c>
      <c r="R510" s="1">
        <f t="shared" ref="R510:R514" si="199">Q510</f>
        <v>0.77</v>
      </c>
    </row>
    <row r="511" spans="1:18" x14ac:dyDescent="0.2">
      <c r="A511" t="s">
        <v>1090</v>
      </c>
      <c r="B511" t="s">
        <v>1091</v>
      </c>
      <c r="C511" t="str">
        <f t="shared" si="184"/>
        <v>Anthony Gaines</v>
      </c>
      <c r="D511" t="s">
        <v>38</v>
      </c>
      <c r="E511" t="str">
        <f t="shared" si="185"/>
        <v>Male</v>
      </c>
      <c r="F511">
        <v>52</v>
      </c>
      <c r="G511" t="s">
        <v>48</v>
      </c>
      <c r="H511" t="s">
        <v>12</v>
      </c>
      <c r="I511" t="s">
        <v>79</v>
      </c>
      <c r="J511">
        <v>17</v>
      </c>
      <c r="K511" t="str" cm="1">
        <f t="array" ref="K511">_xlfn.IFS( J511&lt;=5,"0-5", J511&lt;=10,"6-10",J511&lt;=15,"11-15",J511&lt;=20,"16-20",J511&gt;20,"20+")</f>
        <v>16-20</v>
      </c>
      <c r="L511" t="s">
        <v>42</v>
      </c>
      <c r="M511" t="str">
        <f>_xlfn.TEXTAFTER(L511, " ")</f>
        <v>75</v>
      </c>
      <c r="N511">
        <v>0</v>
      </c>
      <c r="O511">
        <v>0</v>
      </c>
      <c r="Q511" s="1">
        <v>0.94</v>
      </c>
      <c r="R511" s="1">
        <f t="shared" si="199"/>
        <v>0.94</v>
      </c>
    </row>
    <row r="512" spans="1:18" x14ac:dyDescent="0.2">
      <c r="A512" t="s">
        <v>1092</v>
      </c>
      <c r="B512" t="s">
        <v>1093</v>
      </c>
      <c r="C512" t="str">
        <f t="shared" si="184"/>
        <v>Kristi Brown DVM</v>
      </c>
      <c r="D512" t="s">
        <v>67</v>
      </c>
      <c r="E512" t="str">
        <f t="shared" si="185"/>
        <v>Female</v>
      </c>
      <c r="F512">
        <v>21</v>
      </c>
      <c r="G512" t="s">
        <v>18</v>
      </c>
      <c r="H512" t="s">
        <v>19</v>
      </c>
      <c r="I512" t="s">
        <v>25</v>
      </c>
      <c r="J512">
        <v>0</v>
      </c>
      <c r="K512" t="str" cm="1">
        <f t="array" ref="K512">_xlfn.IFS( J512&lt;=5,"0-5", J512&lt;=10,"6-10",J512&lt;=15,"11-15",J512&lt;=20,"16-20",J512&gt;20,"20+")</f>
        <v>0-5</v>
      </c>
      <c r="L512" t="s">
        <v>111</v>
      </c>
      <c r="M512" t="str">
        <f>SUBSTITUTE(L512,"$"," ")</f>
        <v xml:space="preserve"> 20</v>
      </c>
      <c r="N512">
        <v>3.8</v>
      </c>
      <c r="O512">
        <v>1</v>
      </c>
      <c r="Q512" s="1">
        <v>0.61</v>
      </c>
      <c r="R512" s="1">
        <f t="shared" si="199"/>
        <v>0.61</v>
      </c>
    </row>
    <row r="513" spans="1:18" x14ac:dyDescent="0.2">
      <c r="A513" t="s">
        <v>1094</v>
      </c>
      <c r="B513" t="s">
        <v>1095</v>
      </c>
      <c r="C513" t="str">
        <f t="shared" si="184"/>
        <v>Ashley Odonnell</v>
      </c>
      <c r="D513" t="s">
        <v>10</v>
      </c>
      <c r="E513" t="str">
        <f t="shared" si="185"/>
        <v>Female</v>
      </c>
      <c r="F513">
        <v>36</v>
      </c>
      <c r="G513" t="s">
        <v>61</v>
      </c>
      <c r="H513" t="s">
        <v>62</v>
      </c>
      <c r="I513" t="s">
        <v>63</v>
      </c>
      <c r="J513">
        <v>8</v>
      </c>
      <c r="K513" t="str" cm="1">
        <f t="array" ref="K513">_xlfn.IFS( J513&lt;=5,"0-5", J513&lt;=10,"6-10",J513&lt;=15,"11-15",J513&lt;=20,"16-20",J513&gt;20,"20+")</f>
        <v>6-10</v>
      </c>
      <c r="L513">
        <v>100</v>
      </c>
      <c r="M513" s="2">
        <f t="shared" ref="M513:M515" si="200">L513</f>
        <v>100</v>
      </c>
      <c r="N513">
        <v>1.7</v>
      </c>
      <c r="O513" t="s">
        <v>21</v>
      </c>
      <c r="P513" t="s">
        <v>2074</v>
      </c>
      <c r="Q513" s="1">
        <v>0.68</v>
      </c>
      <c r="R513" s="1">
        <f t="shared" si="199"/>
        <v>0.68</v>
      </c>
    </row>
    <row r="514" spans="1:18" x14ac:dyDescent="0.2">
      <c r="A514" t="s">
        <v>1096</v>
      </c>
      <c r="B514" t="s">
        <v>1097</v>
      </c>
      <c r="C514" t="str">
        <f t="shared" si="184"/>
        <v>Ronald Elliott</v>
      </c>
      <c r="D514" t="s">
        <v>17</v>
      </c>
      <c r="E514" t="str">
        <f t="shared" si="185"/>
        <v>Male</v>
      </c>
      <c r="F514">
        <v>33</v>
      </c>
      <c r="G514" t="s">
        <v>180</v>
      </c>
      <c r="H514" t="s">
        <v>62</v>
      </c>
      <c r="I514" t="s">
        <v>104</v>
      </c>
      <c r="J514">
        <v>13</v>
      </c>
      <c r="K514" t="str" cm="1">
        <f t="array" ref="K514">_xlfn.IFS( J514&lt;=5,"0-5", J514&lt;=10,"6-10",J514&lt;=15,"11-15",J514&lt;=20,"16-20",J514&gt;20,"20+")</f>
        <v>11-15</v>
      </c>
      <c r="L514">
        <v>50</v>
      </c>
      <c r="M514" s="2">
        <f t="shared" si="200"/>
        <v>50</v>
      </c>
      <c r="N514">
        <v>2.2000000000000002</v>
      </c>
      <c r="O514" t="s">
        <v>21</v>
      </c>
      <c r="P514" t="s">
        <v>2074</v>
      </c>
      <c r="Q514" s="1">
        <v>0.7</v>
      </c>
      <c r="R514" s="1">
        <f t="shared" si="199"/>
        <v>0.7</v>
      </c>
    </row>
    <row r="515" spans="1:18" x14ac:dyDescent="0.2">
      <c r="A515" t="s">
        <v>1098</v>
      </c>
      <c r="B515" t="s">
        <v>1099</v>
      </c>
      <c r="C515" t="str">
        <f t="shared" si="184"/>
        <v>Lorraine Lowery</v>
      </c>
      <c r="D515" t="s">
        <v>24</v>
      </c>
      <c r="E515" t="str">
        <f t="shared" si="185"/>
        <v>Female</v>
      </c>
      <c r="F515">
        <v>54</v>
      </c>
      <c r="G515" t="s">
        <v>57</v>
      </c>
      <c r="H515" t="s">
        <v>12</v>
      </c>
      <c r="I515" t="s">
        <v>41</v>
      </c>
      <c r="J515">
        <v>15</v>
      </c>
      <c r="K515" t="str" cm="1">
        <f t="array" ref="K515">_xlfn.IFS( J515&lt;=5,"0-5", J515&lt;=10,"6-10",J515&lt;=15,"11-15",J515&lt;=20,"16-20",J515&gt;20,"20+")</f>
        <v>11-15</v>
      </c>
      <c r="L515">
        <v>40</v>
      </c>
      <c r="M515" s="2">
        <f t="shared" si="200"/>
        <v>40</v>
      </c>
      <c r="N515">
        <v>4.0999999999999996</v>
      </c>
      <c r="O515" t="b">
        <v>1</v>
      </c>
      <c r="P515" t="s">
        <v>2075</v>
      </c>
      <c r="Q515">
        <v>71</v>
      </c>
      <c r="R515" s="3">
        <f>Q515/100</f>
        <v>0.71</v>
      </c>
    </row>
    <row r="516" spans="1:18" x14ac:dyDescent="0.2">
      <c r="A516" t="s">
        <v>1100</v>
      </c>
      <c r="B516" t="s">
        <v>1101</v>
      </c>
      <c r="C516" t="str">
        <f t="shared" si="184"/>
        <v>Victoria Chapman</v>
      </c>
      <c r="D516" t="s">
        <v>29</v>
      </c>
      <c r="E516" t="str">
        <f t="shared" si="185"/>
        <v>Female</v>
      </c>
      <c r="F516">
        <v>33</v>
      </c>
      <c r="G516" t="s">
        <v>48</v>
      </c>
      <c r="H516" t="s">
        <v>12</v>
      </c>
      <c r="I516" t="s">
        <v>7</v>
      </c>
      <c r="J516">
        <v>2</v>
      </c>
      <c r="K516" t="str" cm="1">
        <f t="array" ref="K516">_xlfn.IFS( J516&lt;=5,"0-5", J516&lt;=10,"6-10",J516&lt;=15,"11-15",J516&lt;=20,"16-20",J516&gt;20,"20+")</f>
        <v>0-5</v>
      </c>
      <c r="L516" t="s">
        <v>14</v>
      </c>
      <c r="M516" t="str">
        <f>_xlfn.TEXTAFTER(L516, " ")</f>
        <v>100</v>
      </c>
      <c r="N516">
        <v>3.8</v>
      </c>
      <c r="O516" t="b">
        <v>0</v>
      </c>
    </row>
    <row r="517" spans="1:18" x14ac:dyDescent="0.2">
      <c r="A517" t="s">
        <v>1102</v>
      </c>
      <c r="B517" t="s">
        <v>1103</v>
      </c>
      <c r="C517" t="str">
        <f t="shared" si="184"/>
        <v>Heather Davis</v>
      </c>
      <c r="D517" t="s">
        <v>29</v>
      </c>
      <c r="E517" t="str">
        <f t="shared" si="185"/>
        <v>Female</v>
      </c>
      <c r="F517">
        <v>36</v>
      </c>
      <c r="G517" t="s">
        <v>75</v>
      </c>
      <c r="H517" t="s">
        <v>76</v>
      </c>
      <c r="I517" t="s">
        <v>104</v>
      </c>
      <c r="J517">
        <v>9</v>
      </c>
      <c r="K517" t="str" cm="1">
        <f t="array" ref="K517">_xlfn.IFS( J517&lt;=5,"0-5", J517&lt;=10,"6-10",J517&lt;=15,"11-15",J517&lt;=20,"16-20",J517&gt;20,"20+")</f>
        <v>6-10</v>
      </c>
      <c r="L517" t="s">
        <v>35</v>
      </c>
      <c r="M517" t="str">
        <f>SUBSTITUTE(L517,"$"," ")</f>
        <v xml:space="preserve"> 30</v>
      </c>
      <c r="N517">
        <v>0</v>
      </c>
      <c r="O517" t="s">
        <v>58</v>
      </c>
      <c r="Q517" s="1">
        <v>0.78</v>
      </c>
      <c r="R517" s="1">
        <f>Q517</f>
        <v>0.78</v>
      </c>
    </row>
    <row r="518" spans="1:18" x14ac:dyDescent="0.2">
      <c r="A518" t="s">
        <v>1104</v>
      </c>
      <c r="B518" t="s">
        <v>1105</v>
      </c>
      <c r="C518" t="str">
        <f t="shared" si="184"/>
        <v>Diana Chase</v>
      </c>
      <c r="D518" t="s">
        <v>10</v>
      </c>
      <c r="E518" t="str">
        <f t="shared" si="185"/>
        <v>Female</v>
      </c>
      <c r="F518">
        <v>36</v>
      </c>
      <c r="G518" t="s">
        <v>52</v>
      </c>
      <c r="H518" t="s">
        <v>53</v>
      </c>
      <c r="I518" t="s">
        <v>34</v>
      </c>
      <c r="J518">
        <v>3</v>
      </c>
      <c r="K518" t="str" cm="1">
        <f t="array" ref="K518">_xlfn.IFS( J518&lt;=5,"0-5", J518&lt;=10,"6-10",J518&lt;=15,"11-15",J518&lt;=20,"16-20",J518&gt;20,"20+")</f>
        <v>0-5</v>
      </c>
      <c r="L518" t="s">
        <v>88</v>
      </c>
      <c r="M518" t="str">
        <f>_xlfn.TEXTAFTER(L518, " ")</f>
        <v>50</v>
      </c>
      <c r="N518">
        <v>0</v>
      </c>
      <c r="O518" t="s">
        <v>149</v>
      </c>
      <c r="Q518">
        <v>75</v>
      </c>
      <c r="R518" s="3">
        <f>Q518/100</f>
        <v>0.75</v>
      </c>
    </row>
    <row r="519" spans="1:18" x14ac:dyDescent="0.2">
      <c r="A519" t="s">
        <v>1106</v>
      </c>
      <c r="B519" t="s">
        <v>1107</v>
      </c>
      <c r="C519" t="str">
        <f t="shared" si="184"/>
        <v>Danielle Adkins</v>
      </c>
      <c r="D519" t="s">
        <v>24</v>
      </c>
      <c r="E519" t="str">
        <f t="shared" si="185"/>
        <v>Female</v>
      </c>
      <c r="F519">
        <v>43</v>
      </c>
      <c r="G519" t="s">
        <v>165</v>
      </c>
      <c r="H519" t="s">
        <v>166</v>
      </c>
      <c r="I519" t="s">
        <v>34</v>
      </c>
      <c r="J519">
        <v>15</v>
      </c>
      <c r="K519" t="str" cm="1">
        <f t="array" ref="K519">_xlfn.IFS( J519&lt;=5,"0-5", J519&lt;=10,"6-10",J519&lt;=15,"11-15",J519&lt;=20,"16-20",J519&gt;20,"20+")</f>
        <v>11-15</v>
      </c>
      <c r="L519" t="s">
        <v>111</v>
      </c>
      <c r="M519" t="str">
        <f>SUBSTITUTE(L519,"$"," ")</f>
        <v xml:space="preserve"> 20</v>
      </c>
      <c r="N519">
        <v>4.2</v>
      </c>
      <c r="O519" t="b">
        <v>1</v>
      </c>
      <c r="Q519" s="1">
        <v>0.91</v>
      </c>
      <c r="R519" s="1">
        <f t="shared" ref="R519:R521" si="201">Q519</f>
        <v>0.91</v>
      </c>
    </row>
    <row r="520" spans="1:18" x14ac:dyDescent="0.2">
      <c r="A520" t="s">
        <v>1108</v>
      </c>
      <c r="B520" t="s">
        <v>1109</v>
      </c>
      <c r="C520" t="str">
        <f t="shared" si="184"/>
        <v>Kenneth Arias</v>
      </c>
      <c r="D520" t="s">
        <v>87</v>
      </c>
      <c r="E520" t="str">
        <f t="shared" si="185"/>
        <v>Male</v>
      </c>
      <c r="F520">
        <v>52</v>
      </c>
      <c r="G520" t="s">
        <v>57</v>
      </c>
      <c r="H520" t="s">
        <v>12</v>
      </c>
      <c r="I520" t="s">
        <v>41</v>
      </c>
      <c r="J520">
        <v>21</v>
      </c>
      <c r="K520" t="str" cm="1">
        <f t="array" ref="K520">_xlfn.IFS( J520&lt;=5,"0-5", J520&lt;=10,"6-10",J520&lt;=15,"11-15",J520&lt;=20,"16-20",J520&gt;20,"20+")</f>
        <v>20+</v>
      </c>
      <c r="L520" t="s">
        <v>42</v>
      </c>
      <c r="M520" t="str">
        <f t="shared" ref="M520:M521" si="202">_xlfn.TEXTAFTER(L520, " ")</f>
        <v>75</v>
      </c>
      <c r="N520">
        <v>2.2000000000000002</v>
      </c>
      <c r="O520">
        <v>1</v>
      </c>
      <c r="Q520" s="1">
        <v>0.66</v>
      </c>
      <c r="R520" s="1">
        <f t="shared" si="201"/>
        <v>0.66</v>
      </c>
    </row>
    <row r="521" spans="1:18" x14ac:dyDescent="0.2">
      <c r="A521" t="s">
        <v>1110</v>
      </c>
      <c r="B521" t="s">
        <v>1111</v>
      </c>
      <c r="C521" t="str">
        <f t="shared" si="184"/>
        <v>Victoria Owen</v>
      </c>
      <c r="D521" t="s">
        <v>24</v>
      </c>
      <c r="E521" t="str">
        <f t="shared" si="185"/>
        <v>Female</v>
      </c>
      <c r="F521">
        <v>28</v>
      </c>
      <c r="G521" t="s">
        <v>39</v>
      </c>
      <c r="H521" t="s">
        <v>40</v>
      </c>
      <c r="I521" t="s">
        <v>68</v>
      </c>
      <c r="J521">
        <v>2</v>
      </c>
      <c r="K521" t="str" cm="1">
        <f t="array" ref="K521">_xlfn.IFS( J521&lt;=5,"0-5", J521&lt;=10,"6-10",J521&lt;=15,"11-15",J521&lt;=20,"16-20",J521&gt;20,"20+")</f>
        <v>0-5</v>
      </c>
      <c r="L521" t="s">
        <v>42</v>
      </c>
      <c r="M521" t="str">
        <f t="shared" si="202"/>
        <v>75</v>
      </c>
      <c r="N521">
        <v>1.5</v>
      </c>
      <c r="O521">
        <v>1</v>
      </c>
      <c r="Q521" s="1">
        <v>0.68</v>
      </c>
      <c r="R521" s="1">
        <f t="shared" si="201"/>
        <v>0.68</v>
      </c>
    </row>
    <row r="522" spans="1:18" x14ac:dyDescent="0.2">
      <c r="A522" t="s">
        <v>1112</v>
      </c>
      <c r="B522" t="s">
        <v>1113</v>
      </c>
      <c r="C522" t="str">
        <f t="shared" si="184"/>
        <v>Christina King</v>
      </c>
      <c r="D522" t="s">
        <v>67</v>
      </c>
      <c r="E522" t="str">
        <f t="shared" si="185"/>
        <v>Female</v>
      </c>
      <c r="F522">
        <v>47</v>
      </c>
      <c r="G522" t="s">
        <v>165</v>
      </c>
      <c r="H522" t="s">
        <v>166</v>
      </c>
      <c r="I522" t="s">
        <v>68</v>
      </c>
      <c r="J522">
        <v>21</v>
      </c>
      <c r="K522" t="str" cm="1">
        <f t="array" ref="K522">_xlfn.IFS( J522&lt;=5,"0-5", J522&lt;=10,"6-10",J522&lt;=15,"11-15",J522&lt;=20,"16-20",J522&gt;20,"20+")</f>
        <v>20+</v>
      </c>
      <c r="L522" t="s">
        <v>219</v>
      </c>
      <c r="M522" t="str">
        <f>SUBSTITUTE(L522,"$"," ")</f>
        <v xml:space="preserve"> 100</v>
      </c>
      <c r="N522">
        <v>0</v>
      </c>
      <c r="O522" t="s">
        <v>21</v>
      </c>
    </row>
    <row r="523" spans="1:18" x14ac:dyDescent="0.2">
      <c r="A523" t="s">
        <v>1114</v>
      </c>
      <c r="B523" t="s">
        <v>1115</v>
      </c>
      <c r="C523" t="str">
        <f t="shared" si="184"/>
        <v>Samantha King</v>
      </c>
      <c r="D523" t="s">
        <v>29</v>
      </c>
      <c r="E523" t="str">
        <f t="shared" si="185"/>
        <v>Female</v>
      </c>
      <c r="F523">
        <v>30</v>
      </c>
      <c r="G523" t="s">
        <v>125</v>
      </c>
      <c r="H523" t="s">
        <v>126</v>
      </c>
      <c r="I523" t="s">
        <v>79</v>
      </c>
      <c r="J523">
        <v>0</v>
      </c>
      <c r="K523" t="str" cm="1">
        <f t="array" ref="K523">_xlfn.IFS( J523&lt;=5,"0-5", J523&lt;=10,"6-10",J523&lt;=15,"11-15",J523&lt;=20,"16-20",J523&gt;20,"20+")</f>
        <v>0-5</v>
      </c>
      <c r="L523" t="s">
        <v>14</v>
      </c>
      <c r="M523" t="str">
        <f>_xlfn.TEXTAFTER(L523, " ")</f>
        <v>100</v>
      </c>
      <c r="N523">
        <v>4.0999999999999996</v>
      </c>
      <c r="O523">
        <v>0</v>
      </c>
      <c r="Q523" s="1">
        <v>0.62</v>
      </c>
      <c r="R523" s="1">
        <f t="shared" ref="R523:R528" si="203">Q523</f>
        <v>0.62</v>
      </c>
    </row>
    <row r="524" spans="1:18" x14ac:dyDescent="0.2">
      <c r="A524" t="s">
        <v>1116</v>
      </c>
      <c r="B524" t="s">
        <v>1117</v>
      </c>
      <c r="C524" t="str">
        <f t="shared" si="184"/>
        <v>Scott Compton</v>
      </c>
      <c r="D524" t="s">
        <v>38</v>
      </c>
      <c r="E524" t="str">
        <f t="shared" si="185"/>
        <v>Male</v>
      </c>
      <c r="F524">
        <v>36</v>
      </c>
      <c r="G524" t="s">
        <v>129</v>
      </c>
      <c r="H524" t="s">
        <v>130</v>
      </c>
      <c r="I524" t="s">
        <v>7</v>
      </c>
      <c r="J524">
        <v>4</v>
      </c>
      <c r="K524" t="str" cm="1">
        <f t="array" ref="K524">_xlfn.IFS( J524&lt;=5,"0-5", J524&lt;=10,"6-10",J524&lt;=15,"11-15",J524&lt;=20,"16-20",J524&gt;20,"20+")</f>
        <v>0-5</v>
      </c>
      <c r="L524">
        <v>40</v>
      </c>
      <c r="M524" s="2">
        <f t="shared" ref="M524:M526" si="204">L524</f>
        <v>40</v>
      </c>
      <c r="N524">
        <v>2.6</v>
      </c>
      <c r="O524" t="s">
        <v>149</v>
      </c>
      <c r="P524" t="s">
        <v>2074</v>
      </c>
      <c r="Q524" s="1">
        <v>0.9</v>
      </c>
      <c r="R524" s="1">
        <f t="shared" si="203"/>
        <v>0.9</v>
      </c>
    </row>
    <row r="525" spans="1:18" x14ac:dyDescent="0.2">
      <c r="A525" t="s">
        <v>1118</v>
      </c>
      <c r="B525" t="s">
        <v>1119</v>
      </c>
      <c r="C525" t="str">
        <f t="shared" si="184"/>
        <v>Monica West</v>
      </c>
      <c r="D525" t="s">
        <v>10</v>
      </c>
      <c r="E525" t="str">
        <f t="shared" si="185"/>
        <v>Female</v>
      </c>
      <c r="F525">
        <v>45</v>
      </c>
      <c r="G525" t="s">
        <v>48</v>
      </c>
      <c r="H525" t="s">
        <v>12</v>
      </c>
      <c r="I525" t="s">
        <v>63</v>
      </c>
      <c r="J525">
        <v>23</v>
      </c>
      <c r="K525" t="str" cm="1">
        <f t="array" ref="K525">_xlfn.IFS( J525&lt;=5,"0-5", J525&lt;=10,"6-10",J525&lt;=15,"11-15",J525&lt;=20,"16-20",J525&gt;20,"20+")</f>
        <v>20+</v>
      </c>
      <c r="L525">
        <v>100</v>
      </c>
      <c r="M525" s="2">
        <f t="shared" si="204"/>
        <v>100</v>
      </c>
      <c r="N525">
        <v>2.4</v>
      </c>
      <c r="O525" t="b">
        <v>0</v>
      </c>
      <c r="P525" t="s">
        <v>2074</v>
      </c>
      <c r="Q525" s="1">
        <v>0.96</v>
      </c>
      <c r="R525" s="1">
        <f t="shared" si="203"/>
        <v>0.96</v>
      </c>
    </row>
    <row r="526" spans="1:18" x14ac:dyDescent="0.2">
      <c r="A526" t="s">
        <v>1120</v>
      </c>
      <c r="B526" t="s">
        <v>1121</v>
      </c>
      <c r="C526" t="str">
        <f t="shared" si="184"/>
        <v>Theresa Stewart</v>
      </c>
      <c r="D526" t="s">
        <v>24</v>
      </c>
      <c r="E526" t="str">
        <f t="shared" si="185"/>
        <v>Female</v>
      </c>
      <c r="F526">
        <v>51</v>
      </c>
      <c r="G526" t="s">
        <v>48</v>
      </c>
      <c r="H526" t="s">
        <v>12</v>
      </c>
      <c r="I526" t="s">
        <v>7</v>
      </c>
      <c r="J526">
        <v>25</v>
      </c>
      <c r="K526" t="str" cm="1">
        <f t="array" ref="K526">_xlfn.IFS( J526&lt;=5,"0-5", J526&lt;=10,"6-10",J526&lt;=15,"11-15",J526&lt;=20,"16-20",J526&gt;20,"20+")</f>
        <v>20+</v>
      </c>
      <c r="L526">
        <v>50</v>
      </c>
      <c r="M526" s="2">
        <f t="shared" si="204"/>
        <v>50</v>
      </c>
      <c r="N526">
        <v>1.4</v>
      </c>
      <c r="O526" t="s">
        <v>64</v>
      </c>
      <c r="P526" t="s">
        <v>2075</v>
      </c>
      <c r="Q526" s="1">
        <v>0.6</v>
      </c>
      <c r="R526" s="1">
        <f t="shared" si="203"/>
        <v>0.6</v>
      </c>
    </row>
    <row r="527" spans="1:18" x14ac:dyDescent="0.2">
      <c r="A527" t="s">
        <v>1122</v>
      </c>
      <c r="B527" t="s">
        <v>1123</v>
      </c>
      <c r="C527" t="str">
        <f t="shared" si="184"/>
        <v>Steven Kim</v>
      </c>
      <c r="D527" t="s">
        <v>38</v>
      </c>
      <c r="E527" t="str">
        <f t="shared" si="185"/>
        <v>Male</v>
      </c>
      <c r="F527">
        <v>46</v>
      </c>
      <c r="G527" t="s">
        <v>52</v>
      </c>
      <c r="H527" t="s">
        <v>53</v>
      </c>
      <c r="I527" t="s">
        <v>13</v>
      </c>
      <c r="J527">
        <v>10</v>
      </c>
      <c r="K527" t="str" cm="1">
        <f t="array" ref="K527">_xlfn.IFS( J527&lt;=5,"0-5", J527&lt;=10,"6-10",J527&lt;=15,"11-15",J527&lt;=20,"16-20",J527&gt;20,"20+")</f>
        <v>6-10</v>
      </c>
      <c r="M527"/>
      <c r="N527">
        <v>4.5999999999999996</v>
      </c>
      <c r="O527" t="s">
        <v>64</v>
      </c>
      <c r="Q527" s="1">
        <v>0.62</v>
      </c>
      <c r="R527" s="1">
        <f t="shared" si="203"/>
        <v>0.62</v>
      </c>
    </row>
    <row r="528" spans="1:18" x14ac:dyDescent="0.2">
      <c r="A528" t="s">
        <v>1124</v>
      </c>
      <c r="B528" t="s">
        <v>1125</v>
      </c>
      <c r="C528" t="str">
        <f t="shared" ref="C528:C591" si="205">B528</f>
        <v>Kristi Knight</v>
      </c>
      <c r="D528" t="s">
        <v>10</v>
      </c>
      <c r="E528" t="str">
        <f t="shared" ref="E528:E591" si="206">IF(LOWER(LEFT(D528,1)) ="f", "Female", "Male")</f>
        <v>Female</v>
      </c>
      <c r="F528">
        <v>38</v>
      </c>
      <c r="G528" t="s">
        <v>5</v>
      </c>
      <c r="H528" t="s">
        <v>6</v>
      </c>
      <c r="I528" t="s">
        <v>41</v>
      </c>
      <c r="J528">
        <v>18</v>
      </c>
      <c r="K528" t="str" cm="1">
        <f t="array" ref="K528">_xlfn.IFS( J528&lt;=5,"0-5", J528&lt;=10,"6-10",J528&lt;=15,"11-15",J528&lt;=20,"16-20",J528&gt;20,"20+")</f>
        <v>16-20</v>
      </c>
      <c r="L528" t="s">
        <v>45</v>
      </c>
      <c r="M528" t="str">
        <f>_xlfn.TEXTAFTER(L528, " ")</f>
        <v>40</v>
      </c>
      <c r="N528">
        <v>4.9000000000000004</v>
      </c>
      <c r="O528" t="b">
        <v>0</v>
      </c>
      <c r="Q528" s="1">
        <v>0.74</v>
      </c>
      <c r="R528" s="1">
        <f t="shared" si="203"/>
        <v>0.74</v>
      </c>
    </row>
    <row r="529" spans="1:18" x14ac:dyDescent="0.2">
      <c r="A529" t="s">
        <v>1126</v>
      </c>
      <c r="B529" t="s">
        <v>1127</v>
      </c>
      <c r="C529" t="str">
        <f t="shared" si="205"/>
        <v>Jason Bryant</v>
      </c>
      <c r="D529" t="s">
        <v>87</v>
      </c>
      <c r="E529" t="str">
        <f t="shared" si="206"/>
        <v>Male</v>
      </c>
      <c r="F529">
        <v>26</v>
      </c>
      <c r="G529" t="s">
        <v>180</v>
      </c>
      <c r="H529" t="s">
        <v>62</v>
      </c>
      <c r="I529" t="s">
        <v>7</v>
      </c>
      <c r="J529">
        <v>1</v>
      </c>
      <c r="K529" t="str" cm="1">
        <f t="array" ref="K529">_xlfn.IFS( J529&lt;=5,"0-5", J529&lt;=10,"6-10",J529&lt;=15,"11-15",J529&lt;=20,"16-20",J529&gt;20,"20+")</f>
        <v>0-5</v>
      </c>
      <c r="L529" t="s">
        <v>111</v>
      </c>
      <c r="M529" t="str">
        <f>SUBSTITUTE(L529,"$"," ")</f>
        <v xml:space="preserve"> 20</v>
      </c>
      <c r="N529">
        <v>0</v>
      </c>
      <c r="O529">
        <v>1</v>
      </c>
    </row>
    <row r="530" spans="1:18" x14ac:dyDescent="0.2">
      <c r="A530" t="s">
        <v>1128</v>
      </c>
      <c r="B530" t="s">
        <v>1129</v>
      </c>
      <c r="C530" t="str">
        <f t="shared" si="205"/>
        <v>Maureen Keith</v>
      </c>
      <c r="D530" t="s">
        <v>67</v>
      </c>
      <c r="E530" t="str">
        <f t="shared" si="206"/>
        <v>Female</v>
      </c>
      <c r="F530">
        <v>40</v>
      </c>
      <c r="G530" t="s">
        <v>57</v>
      </c>
      <c r="H530" t="s">
        <v>12</v>
      </c>
      <c r="I530" t="s">
        <v>79</v>
      </c>
      <c r="J530">
        <v>12</v>
      </c>
      <c r="K530" t="str" cm="1">
        <f t="array" ref="K530">_xlfn.IFS( J530&lt;=5,"0-5", J530&lt;=10,"6-10",J530&lt;=15,"11-15",J530&lt;=20,"16-20",J530&gt;20,"20+")</f>
        <v>11-15</v>
      </c>
      <c r="L530">
        <v>30</v>
      </c>
      <c r="M530" s="2">
        <f>L530</f>
        <v>30</v>
      </c>
      <c r="N530">
        <v>3.5</v>
      </c>
      <c r="Q530" s="1">
        <v>0.98</v>
      </c>
      <c r="R530" s="1">
        <f t="shared" ref="R530:R531" si="207">Q530</f>
        <v>0.98</v>
      </c>
    </row>
    <row r="531" spans="1:18" x14ac:dyDescent="0.2">
      <c r="A531" t="s">
        <v>1130</v>
      </c>
      <c r="B531" t="s">
        <v>1131</v>
      </c>
      <c r="C531" t="str">
        <f t="shared" si="205"/>
        <v>Shawn Hogan</v>
      </c>
      <c r="D531" t="s">
        <v>87</v>
      </c>
      <c r="E531" t="str">
        <f t="shared" si="206"/>
        <v>Male</v>
      </c>
      <c r="F531">
        <v>37</v>
      </c>
      <c r="G531" t="s">
        <v>18</v>
      </c>
      <c r="H531" t="s">
        <v>19</v>
      </c>
      <c r="I531" t="s">
        <v>104</v>
      </c>
      <c r="K531" t="str" cm="1">
        <f t="array" ref="K531">_xlfn.IFS( J531&lt;=5,"0-5", J531&lt;=10,"6-10",J531&lt;=15,"11-15",J531&lt;=20,"16-20",J531&gt;20,"20+")</f>
        <v>0-5</v>
      </c>
      <c r="M531"/>
      <c r="N531">
        <v>1.7</v>
      </c>
      <c r="O531" t="s">
        <v>58</v>
      </c>
      <c r="Q531" s="1">
        <v>0.63</v>
      </c>
      <c r="R531" s="1">
        <f t="shared" si="207"/>
        <v>0.63</v>
      </c>
    </row>
    <row r="532" spans="1:18" x14ac:dyDescent="0.2">
      <c r="A532" t="s">
        <v>1132</v>
      </c>
      <c r="B532" t="s">
        <v>1133</v>
      </c>
      <c r="C532" t="str">
        <f t="shared" si="205"/>
        <v>William Davis</v>
      </c>
      <c r="D532" t="s">
        <v>82</v>
      </c>
      <c r="E532" t="str">
        <f t="shared" si="206"/>
        <v>Male</v>
      </c>
      <c r="F532">
        <v>28</v>
      </c>
      <c r="G532" t="s">
        <v>118</v>
      </c>
      <c r="H532" t="s">
        <v>12</v>
      </c>
      <c r="I532" t="s">
        <v>7</v>
      </c>
      <c r="J532">
        <v>5</v>
      </c>
      <c r="K532" t="str" cm="1">
        <f t="array" ref="K532">_xlfn.IFS( J532&lt;=5,"0-5", J532&lt;=10,"6-10",J532&lt;=15,"11-15",J532&lt;=20,"16-20",J532&gt;20,"20+")</f>
        <v>0-5</v>
      </c>
      <c r="L532" t="s">
        <v>54</v>
      </c>
      <c r="M532" t="str">
        <f>SUBSTITUTE(L532,"$"," ")</f>
        <v xml:space="preserve"> 50</v>
      </c>
      <c r="N532">
        <v>0</v>
      </c>
      <c r="O532" t="s">
        <v>58</v>
      </c>
      <c r="Q532">
        <v>96</v>
      </c>
      <c r="R532" s="3">
        <f>Q532/100</f>
        <v>0.96</v>
      </c>
    </row>
    <row r="533" spans="1:18" x14ac:dyDescent="0.2">
      <c r="A533" t="s">
        <v>1134</v>
      </c>
      <c r="B533" t="s">
        <v>1135</v>
      </c>
      <c r="C533" t="str">
        <f t="shared" si="205"/>
        <v>Stacy Bailey</v>
      </c>
      <c r="D533" t="s">
        <v>29</v>
      </c>
      <c r="E533" t="str">
        <f t="shared" si="206"/>
        <v>Female</v>
      </c>
      <c r="F533">
        <v>48</v>
      </c>
      <c r="G533" t="s">
        <v>83</v>
      </c>
      <c r="H533" t="s">
        <v>84</v>
      </c>
      <c r="I533" t="s">
        <v>13</v>
      </c>
      <c r="J533">
        <v>28</v>
      </c>
      <c r="K533" t="str" cm="1">
        <f t="array" ref="K533">_xlfn.IFS( J533&lt;=5,"0-5", J533&lt;=10,"6-10",J533&lt;=15,"11-15",J533&lt;=20,"16-20",J533&gt;20,"20+")</f>
        <v>20+</v>
      </c>
      <c r="L533" t="s">
        <v>304</v>
      </c>
      <c r="M533" t="str">
        <f>_xlfn.TEXTAFTER(L533, " ")</f>
        <v>20</v>
      </c>
      <c r="N533">
        <v>0</v>
      </c>
      <c r="O533">
        <v>0</v>
      </c>
      <c r="Q533" s="1">
        <v>0.88</v>
      </c>
      <c r="R533" s="1">
        <f>Q533</f>
        <v>0.88</v>
      </c>
    </row>
    <row r="534" spans="1:18" x14ac:dyDescent="0.2">
      <c r="A534" t="s">
        <v>1136</v>
      </c>
      <c r="B534" t="s">
        <v>1137</v>
      </c>
      <c r="C534" t="str">
        <f t="shared" si="205"/>
        <v>Thomas Dixon</v>
      </c>
      <c r="D534" t="s">
        <v>51</v>
      </c>
      <c r="E534" t="str">
        <f t="shared" si="206"/>
        <v>Male</v>
      </c>
      <c r="F534">
        <v>22</v>
      </c>
      <c r="G534" t="s">
        <v>83</v>
      </c>
      <c r="H534" t="s">
        <v>84</v>
      </c>
      <c r="I534" t="s">
        <v>34</v>
      </c>
      <c r="J534">
        <v>0</v>
      </c>
      <c r="K534" t="str" cm="1">
        <f t="array" ref="K534">_xlfn.IFS( J534&lt;=5,"0-5", J534&lt;=10,"6-10",J534&lt;=15,"11-15",J534&lt;=20,"16-20",J534&gt;20,"20+")</f>
        <v>0-5</v>
      </c>
      <c r="M534"/>
      <c r="N534">
        <v>4.5999999999999996</v>
      </c>
      <c r="O534" t="b">
        <v>0</v>
      </c>
    </row>
    <row r="535" spans="1:18" x14ac:dyDescent="0.2">
      <c r="A535" t="s">
        <v>1138</v>
      </c>
      <c r="B535" t="s">
        <v>1139</v>
      </c>
      <c r="C535" t="str">
        <f t="shared" si="205"/>
        <v>Maria Hall</v>
      </c>
      <c r="D535" t="s">
        <v>29</v>
      </c>
      <c r="E535" t="str">
        <f t="shared" si="206"/>
        <v>Female</v>
      </c>
      <c r="F535">
        <v>41</v>
      </c>
      <c r="G535" t="s">
        <v>18</v>
      </c>
      <c r="H535" t="s">
        <v>19</v>
      </c>
      <c r="I535" t="s">
        <v>25</v>
      </c>
      <c r="J535">
        <v>14</v>
      </c>
      <c r="K535" t="str" cm="1">
        <f t="array" ref="K535">_xlfn.IFS( J535&lt;=5,"0-5", J535&lt;=10,"6-10",J535&lt;=15,"11-15",J535&lt;=20,"16-20",J535&gt;20,"20+")</f>
        <v>11-15</v>
      </c>
      <c r="L535">
        <v>40</v>
      </c>
      <c r="M535" s="2">
        <f>L535</f>
        <v>40</v>
      </c>
      <c r="N535">
        <v>1.1000000000000001</v>
      </c>
      <c r="O535" t="b">
        <v>1</v>
      </c>
      <c r="P535" t="s">
        <v>2075</v>
      </c>
      <c r="Q535" s="1">
        <v>0.73</v>
      </c>
      <c r="R535" s="1">
        <f t="shared" ref="R535:R538" si="208">Q535</f>
        <v>0.73</v>
      </c>
    </row>
    <row r="536" spans="1:18" x14ac:dyDescent="0.2">
      <c r="A536" t="s">
        <v>1140</v>
      </c>
      <c r="B536" t="s">
        <v>1141</v>
      </c>
      <c r="C536" t="str">
        <f t="shared" si="205"/>
        <v>Tony Lee</v>
      </c>
      <c r="D536" t="s">
        <v>51</v>
      </c>
      <c r="E536" t="str">
        <f t="shared" si="206"/>
        <v>Male</v>
      </c>
      <c r="F536">
        <v>38</v>
      </c>
      <c r="G536" t="s">
        <v>48</v>
      </c>
      <c r="H536" t="s">
        <v>12</v>
      </c>
      <c r="I536" t="s">
        <v>20</v>
      </c>
      <c r="J536">
        <v>15</v>
      </c>
      <c r="K536" t="str" cm="1">
        <f t="array" ref="K536">_xlfn.IFS( J536&lt;=5,"0-5", J536&lt;=10,"6-10",J536&lt;=15,"11-15",J536&lt;=20,"16-20",J536&gt;20,"20+")</f>
        <v>11-15</v>
      </c>
      <c r="M536"/>
      <c r="N536">
        <v>4.2</v>
      </c>
      <c r="O536">
        <v>0</v>
      </c>
      <c r="Q536" s="1">
        <v>0.88</v>
      </c>
      <c r="R536" s="1">
        <f t="shared" si="208"/>
        <v>0.88</v>
      </c>
    </row>
    <row r="537" spans="1:18" x14ac:dyDescent="0.2">
      <c r="A537" t="s">
        <v>1142</v>
      </c>
      <c r="B537" t="s">
        <v>1143</v>
      </c>
      <c r="C537" t="str">
        <f t="shared" si="205"/>
        <v>Catherine Mccoy MD</v>
      </c>
      <c r="D537" t="s">
        <v>10</v>
      </c>
      <c r="E537" t="str">
        <f t="shared" si="206"/>
        <v>Female</v>
      </c>
      <c r="F537">
        <v>31</v>
      </c>
      <c r="G537" t="s">
        <v>143</v>
      </c>
      <c r="H537" t="s">
        <v>144</v>
      </c>
      <c r="I537" t="s">
        <v>63</v>
      </c>
      <c r="J537">
        <v>9</v>
      </c>
      <c r="K537" t="str" cm="1">
        <f t="array" ref="K537">_xlfn.IFS( J537&lt;=5,"0-5", J537&lt;=10,"6-10",J537&lt;=15,"11-15",J537&lt;=20,"16-20",J537&gt;20,"20+")</f>
        <v>6-10</v>
      </c>
      <c r="M537"/>
      <c r="N537">
        <v>0</v>
      </c>
      <c r="O537" t="b">
        <v>0</v>
      </c>
      <c r="Q537" s="1">
        <v>0.91</v>
      </c>
      <c r="R537" s="1">
        <f t="shared" si="208"/>
        <v>0.91</v>
      </c>
    </row>
    <row r="538" spans="1:18" x14ac:dyDescent="0.2">
      <c r="A538" t="s">
        <v>1144</v>
      </c>
      <c r="B538" t="s">
        <v>1145</v>
      </c>
      <c r="C538" t="str">
        <f t="shared" si="205"/>
        <v>Maria Benitez</v>
      </c>
      <c r="D538" t="s">
        <v>24</v>
      </c>
      <c r="E538" t="str">
        <f t="shared" si="206"/>
        <v>Female</v>
      </c>
      <c r="F538">
        <v>30</v>
      </c>
      <c r="G538" t="s">
        <v>165</v>
      </c>
      <c r="H538" t="s">
        <v>166</v>
      </c>
      <c r="I538" t="s">
        <v>13</v>
      </c>
      <c r="J538">
        <v>9</v>
      </c>
      <c r="K538" t="str" cm="1">
        <f t="array" ref="K538">_xlfn.IFS( J538&lt;=5,"0-5", J538&lt;=10,"6-10",J538&lt;=15,"11-15",J538&lt;=20,"16-20",J538&gt;20,"20+")</f>
        <v>6-10</v>
      </c>
      <c r="L538" t="s">
        <v>35</v>
      </c>
      <c r="M538" t="str">
        <f>SUBSTITUTE(L538,"$"," ")</f>
        <v xml:space="preserve"> 30</v>
      </c>
      <c r="N538">
        <v>3.9</v>
      </c>
      <c r="O538" t="s">
        <v>149</v>
      </c>
      <c r="Q538" s="1">
        <v>0.65</v>
      </c>
      <c r="R538" s="1">
        <f t="shared" si="208"/>
        <v>0.65</v>
      </c>
    </row>
    <row r="539" spans="1:18" x14ac:dyDescent="0.2">
      <c r="A539" t="s">
        <v>1146</v>
      </c>
      <c r="B539" t="s">
        <v>1147</v>
      </c>
      <c r="C539" t="str">
        <f t="shared" si="205"/>
        <v>Joshua Chambers</v>
      </c>
      <c r="D539" t="s">
        <v>51</v>
      </c>
      <c r="E539" t="str">
        <f t="shared" si="206"/>
        <v>Male</v>
      </c>
      <c r="F539">
        <v>51</v>
      </c>
      <c r="G539" t="s">
        <v>169</v>
      </c>
      <c r="H539" t="s">
        <v>62</v>
      </c>
      <c r="I539" t="s">
        <v>63</v>
      </c>
      <c r="J539">
        <v>22</v>
      </c>
      <c r="K539" t="str" cm="1">
        <f t="array" ref="K539">_xlfn.IFS( J539&lt;=5,"0-5", J539&lt;=10,"6-10",J539&lt;=15,"11-15",J539&lt;=20,"16-20",J539&gt;20,"20+")</f>
        <v>20+</v>
      </c>
      <c r="L539">
        <v>20</v>
      </c>
      <c r="M539" s="2">
        <f>L539</f>
        <v>20</v>
      </c>
      <c r="N539">
        <v>3.4</v>
      </c>
      <c r="O539" t="b">
        <v>1</v>
      </c>
      <c r="P539" t="s">
        <v>2075</v>
      </c>
      <c r="Q539">
        <v>90</v>
      </c>
      <c r="R539" s="3">
        <f>Q539/100</f>
        <v>0.9</v>
      </c>
    </row>
    <row r="540" spans="1:18" x14ac:dyDescent="0.2">
      <c r="A540" t="s">
        <v>1148</v>
      </c>
      <c r="B540" t="s">
        <v>1149</v>
      </c>
      <c r="C540" t="str">
        <f t="shared" si="205"/>
        <v>Janice Daniels</v>
      </c>
      <c r="D540" t="s">
        <v>4</v>
      </c>
      <c r="E540" t="str">
        <f t="shared" si="206"/>
        <v>Female</v>
      </c>
      <c r="F540">
        <v>21</v>
      </c>
      <c r="G540" t="s">
        <v>18</v>
      </c>
      <c r="H540" t="s">
        <v>19</v>
      </c>
      <c r="I540" t="s">
        <v>79</v>
      </c>
      <c r="J540">
        <v>0</v>
      </c>
      <c r="K540" t="str" cm="1">
        <f t="array" ref="K540">_xlfn.IFS( J540&lt;=5,"0-5", J540&lt;=10,"6-10",J540&lt;=15,"11-15",J540&lt;=20,"16-20",J540&gt;20,"20+")</f>
        <v>0-5</v>
      </c>
      <c r="L540" t="s">
        <v>111</v>
      </c>
      <c r="M540" t="str">
        <f>SUBSTITUTE(L540,"$"," ")</f>
        <v xml:space="preserve"> 20</v>
      </c>
      <c r="N540">
        <v>2.6</v>
      </c>
      <c r="O540" t="s">
        <v>21</v>
      </c>
      <c r="Q540" s="1">
        <v>0.72</v>
      </c>
      <c r="R540" s="1">
        <f t="shared" ref="R540:R541" si="209">Q540</f>
        <v>0.72</v>
      </c>
    </row>
    <row r="541" spans="1:18" x14ac:dyDescent="0.2">
      <c r="A541" t="s">
        <v>1150</v>
      </c>
      <c r="B541" t="s">
        <v>1151</v>
      </c>
      <c r="C541" t="str">
        <f t="shared" si="205"/>
        <v>Carla Wood</v>
      </c>
      <c r="D541" t="s">
        <v>10</v>
      </c>
      <c r="E541" t="str">
        <f t="shared" si="206"/>
        <v>Female</v>
      </c>
      <c r="F541">
        <v>20</v>
      </c>
      <c r="G541" t="s">
        <v>5</v>
      </c>
      <c r="H541" t="s">
        <v>6</v>
      </c>
      <c r="I541" t="s">
        <v>79</v>
      </c>
      <c r="J541">
        <v>1</v>
      </c>
      <c r="K541" t="str" cm="1">
        <f t="array" ref="K541">_xlfn.IFS( J541&lt;=5,"0-5", J541&lt;=10,"6-10",J541&lt;=15,"11-15",J541&lt;=20,"16-20",J541&gt;20,"20+")</f>
        <v>0-5</v>
      </c>
      <c r="L541" t="s">
        <v>45</v>
      </c>
      <c r="M541" t="str">
        <f>_xlfn.TEXTAFTER(L541, " ")</f>
        <v>40</v>
      </c>
      <c r="N541">
        <v>2.2999999999999998</v>
      </c>
      <c r="O541">
        <v>1</v>
      </c>
      <c r="Q541" s="1">
        <v>0.72</v>
      </c>
      <c r="R541" s="1">
        <f t="shared" si="209"/>
        <v>0.72</v>
      </c>
    </row>
    <row r="542" spans="1:18" x14ac:dyDescent="0.2">
      <c r="A542" t="s">
        <v>1152</v>
      </c>
      <c r="B542" t="s">
        <v>1153</v>
      </c>
      <c r="C542" t="str">
        <f t="shared" si="205"/>
        <v>Kenneth Vasquez</v>
      </c>
      <c r="D542" t="s">
        <v>87</v>
      </c>
      <c r="E542" t="str">
        <f t="shared" si="206"/>
        <v>Male</v>
      </c>
      <c r="F542">
        <v>30</v>
      </c>
      <c r="G542" t="s">
        <v>75</v>
      </c>
      <c r="H542" t="s">
        <v>76</v>
      </c>
      <c r="I542" t="s">
        <v>7</v>
      </c>
      <c r="J542">
        <v>5</v>
      </c>
      <c r="K542" t="str" cm="1">
        <f t="array" ref="K542">_xlfn.IFS( J542&lt;=5,"0-5", J542&lt;=10,"6-10",J542&lt;=15,"11-15",J542&lt;=20,"16-20",J542&gt;20,"20+")</f>
        <v>0-5</v>
      </c>
      <c r="L542" t="s">
        <v>35</v>
      </c>
      <c r="M542" t="str">
        <f>SUBSTITUTE(L542,"$"," ")</f>
        <v xml:space="preserve"> 30</v>
      </c>
      <c r="N542">
        <v>4.8</v>
      </c>
      <c r="O542" t="s">
        <v>21</v>
      </c>
    </row>
    <row r="543" spans="1:18" x14ac:dyDescent="0.2">
      <c r="A543" t="s">
        <v>1154</v>
      </c>
      <c r="B543" t="s">
        <v>1155</v>
      </c>
      <c r="C543" t="str">
        <f t="shared" si="205"/>
        <v>Kevin Smith</v>
      </c>
      <c r="D543" t="s">
        <v>51</v>
      </c>
      <c r="E543" t="str">
        <f t="shared" si="206"/>
        <v>Male</v>
      </c>
      <c r="F543">
        <v>41</v>
      </c>
      <c r="G543" t="s">
        <v>165</v>
      </c>
      <c r="H543" t="s">
        <v>166</v>
      </c>
      <c r="I543" t="s">
        <v>41</v>
      </c>
      <c r="J543">
        <v>0</v>
      </c>
      <c r="K543" t="str" cm="1">
        <f t="array" ref="K543">_xlfn.IFS( J543&lt;=5,"0-5", J543&lt;=10,"6-10",J543&lt;=15,"11-15",J543&lt;=20,"16-20",J543&gt;20,"20+")</f>
        <v>0-5</v>
      </c>
      <c r="L543" t="s">
        <v>45</v>
      </c>
      <c r="M543" t="str">
        <f>_xlfn.TEXTAFTER(L543, " ")</f>
        <v>40</v>
      </c>
      <c r="N543">
        <v>4.5</v>
      </c>
      <c r="O543" t="s">
        <v>21</v>
      </c>
      <c r="Q543" s="1">
        <v>0.68</v>
      </c>
      <c r="R543" s="1">
        <f t="shared" ref="R543:R546" si="210">Q543</f>
        <v>0.68</v>
      </c>
    </row>
    <row r="544" spans="1:18" x14ac:dyDescent="0.2">
      <c r="A544" t="s">
        <v>1156</v>
      </c>
      <c r="B544" t="s">
        <v>1157</v>
      </c>
      <c r="C544" t="str">
        <f t="shared" si="205"/>
        <v>Thomas Kim</v>
      </c>
      <c r="D544" t="s">
        <v>87</v>
      </c>
      <c r="E544" t="str">
        <f t="shared" si="206"/>
        <v>Male</v>
      </c>
      <c r="F544">
        <v>22</v>
      </c>
      <c r="G544" t="s">
        <v>180</v>
      </c>
      <c r="H544" t="s">
        <v>62</v>
      </c>
      <c r="I544" t="s">
        <v>7</v>
      </c>
      <c r="J544">
        <v>0</v>
      </c>
      <c r="K544" t="str" cm="1">
        <f t="array" ref="K544">_xlfn.IFS( J544&lt;=5,"0-5", J544&lt;=10,"6-10",J544&lt;=15,"11-15",J544&lt;=20,"16-20",J544&gt;20,"20+")</f>
        <v>0-5</v>
      </c>
      <c r="L544" t="s">
        <v>35</v>
      </c>
      <c r="M544" t="str">
        <f>SUBSTITUTE(L544,"$"," ")</f>
        <v xml:space="preserve"> 30</v>
      </c>
      <c r="N544">
        <v>0</v>
      </c>
      <c r="O544">
        <v>0</v>
      </c>
      <c r="Q544" s="1">
        <v>0.87</v>
      </c>
      <c r="R544" s="1">
        <f t="shared" si="210"/>
        <v>0.87</v>
      </c>
    </row>
    <row r="545" spans="1:18" x14ac:dyDescent="0.2">
      <c r="A545" t="s">
        <v>1158</v>
      </c>
      <c r="B545" t="s">
        <v>1159</v>
      </c>
      <c r="C545" t="str">
        <f t="shared" si="205"/>
        <v>Sean Park</v>
      </c>
      <c r="D545" t="s">
        <v>51</v>
      </c>
      <c r="E545" t="str">
        <f t="shared" si="206"/>
        <v>Male</v>
      </c>
      <c r="F545">
        <v>45</v>
      </c>
      <c r="G545" t="s">
        <v>169</v>
      </c>
      <c r="H545" t="s">
        <v>62</v>
      </c>
      <c r="I545" t="s">
        <v>68</v>
      </c>
      <c r="J545">
        <v>19</v>
      </c>
      <c r="K545" t="str" cm="1">
        <f t="array" ref="K545">_xlfn.IFS( J545&lt;=5,"0-5", J545&lt;=10,"6-10",J545&lt;=15,"11-15",J545&lt;=20,"16-20",J545&gt;20,"20+")</f>
        <v>16-20</v>
      </c>
      <c r="L545">
        <v>75</v>
      </c>
      <c r="M545" s="2">
        <f t="shared" ref="M545:M550" si="211">L545</f>
        <v>75</v>
      </c>
      <c r="N545">
        <v>0</v>
      </c>
      <c r="O545" t="s">
        <v>149</v>
      </c>
      <c r="P545" t="s">
        <v>2074</v>
      </c>
      <c r="Q545" s="1">
        <v>0.72</v>
      </c>
      <c r="R545" s="1">
        <f t="shared" si="210"/>
        <v>0.72</v>
      </c>
    </row>
    <row r="546" spans="1:18" x14ac:dyDescent="0.2">
      <c r="A546" t="s">
        <v>1160</v>
      </c>
      <c r="B546" t="s">
        <v>1161</v>
      </c>
      <c r="C546" t="str">
        <f t="shared" si="205"/>
        <v>Judith Poole</v>
      </c>
      <c r="D546" t="s">
        <v>67</v>
      </c>
      <c r="E546" t="str">
        <f t="shared" si="206"/>
        <v>Female</v>
      </c>
      <c r="F546">
        <v>22</v>
      </c>
      <c r="G546" t="s">
        <v>11</v>
      </c>
      <c r="H546" t="s">
        <v>12</v>
      </c>
      <c r="I546" t="s">
        <v>41</v>
      </c>
      <c r="J546">
        <v>2</v>
      </c>
      <c r="K546" t="str" cm="1">
        <f t="array" ref="K546">_xlfn.IFS( J546&lt;=5,"0-5", J546&lt;=10,"6-10",J546&lt;=15,"11-15",J546&lt;=20,"16-20",J546&gt;20,"20+")</f>
        <v>0-5</v>
      </c>
      <c r="L546">
        <v>40</v>
      </c>
      <c r="M546" s="2">
        <f t="shared" si="211"/>
        <v>40</v>
      </c>
      <c r="N546">
        <v>1.1000000000000001</v>
      </c>
      <c r="O546" t="s">
        <v>149</v>
      </c>
      <c r="P546" t="s">
        <v>2074</v>
      </c>
      <c r="Q546" s="1">
        <v>0.76</v>
      </c>
      <c r="R546" s="1">
        <f t="shared" si="210"/>
        <v>0.76</v>
      </c>
    </row>
    <row r="547" spans="1:18" x14ac:dyDescent="0.2">
      <c r="A547" t="s">
        <v>1162</v>
      </c>
      <c r="B547" t="s">
        <v>1163</v>
      </c>
      <c r="C547" t="str">
        <f t="shared" si="205"/>
        <v>Melanie Baird</v>
      </c>
      <c r="D547" t="s">
        <v>4</v>
      </c>
      <c r="E547" t="str">
        <f t="shared" si="206"/>
        <v>Female</v>
      </c>
      <c r="F547">
        <v>20</v>
      </c>
      <c r="G547" t="s">
        <v>52</v>
      </c>
      <c r="H547" t="s">
        <v>53</v>
      </c>
      <c r="I547" t="s">
        <v>13</v>
      </c>
      <c r="J547">
        <v>0</v>
      </c>
      <c r="K547" t="str" cm="1">
        <f t="array" ref="K547">_xlfn.IFS( J547&lt;=5,"0-5", J547&lt;=10,"6-10",J547&lt;=15,"11-15",J547&lt;=20,"16-20",J547&gt;20,"20+")</f>
        <v>0-5</v>
      </c>
      <c r="L547">
        <v>100</v>
      </c>
      <c r="M547" s="2">
        <f t="shared" si="211"/>
        <v>100</v>
      </c>
      <c r="N547">
        <v>0</v>
      </c>
      <c r="O547">
        <v>0</v>
      </c>
      <c r="P547" t="s">
        <v>2074</v>
      </c>
      <c r="Q547">
        <v>63</v>
      </c>
      <c r="R547" s="3">
        <f>Q547/100</f>
        <v>0.63</v>
      </c>
    </row>
    <row r="548" spans="1:18" x14ac:dyDescent="0.2">
      <c r="A548" t="s">
        <v>1164</v>
      </c>
      <c r="B548" t="s">
        <v>1165</v>
      </c>
      <c r="C548" t="str">
        <f t="shared" si="205"/>
        <v>Erika Mitchell</v>
      </c>
      <c r="D548" t="s">
        <v>10</v>
      </c>
      <c r="E548" t="str">
        <f t="shared" si="206"/>
        <v>Female</v>
      </c>
      <c r="F548">
        <v>20</v>
      </c>
      <c r="G548" t="s">
        <v>118</v>
      </c>
      <c r="H548" t="s">
        <v>12</v>
      </c>
      <c r="I548" t="s">
        <v>41</v>
      </c>
      <c r="J548">
        <v>2</v>
      </c>
      <c r="K548" t="str" cm="1">
        <f t="array" ref="K548">_xlfn.IFS( J548&lt;=5,"0-5", J548&lt;=10,"6-10",J548&lt;=15,"11-15",J548&lt;=20,"16-20",J548&gt;20,"20+")</f>
        <v>0-5</v>
      </c>
      <c r="L548">
        <v>40</v>
      </c>
      <c r="M548" s="2">
        <f t="shared" si="211"/>
        <v>40</v>
      </c>
      <c r="O548">
        <v>1</v>
      </c>
      <c r="P548" t="s">
        <v>2075</v>
      </c>
      <c r="Q548" s="1">
        <v>0.91</v>
      </c>
      <c r="R548" s="1">
        <f t="shared" ref="R548:R551" si="212">Q548</f>
        <v>0.91</v>
      </c>
    </row>
    <row r="549" spans="1:18" x14ac:dyDescent="0.2">
      <c r="A549" t="s">
        <v>1166</v>
      </c>
      <c r="B549" t="s">
        <v>1167</v>
      </c>
      <c r="C549" t="str">
        <f t="shared" si="205"/>
        <v>Ricky Martinez</v>
      </c>
      <c r="D549" t="s">
        <v>82</v>
      </c>
      <c r="E549" t="str">
        <f t="shared" si="206"/>
        <v>Male</v>
      </c>
      <c r="F549">
        <v>21</v>
      </c>
      <c r="G549" t="s">
        <v>57</v>
      </c>
      <c r="H549" t="s">
        <v>12</v>
      </c>
      <c r="I549" t="s">
        <v>34</v>
      </c>
      <c r="J549">
        <v>0</v>
      </c>
      <c r="K549" t="str" cm="1">
        <f t="array" ref="K549">_xlfn.IFS( J549&lt;=5,"0-5", J549&lt;=10,"6-10",J549&lt;=15,"11-15",J549&lt;=20,"16-20",J549&gt;20,"20+")</f>
        <v>0-5</v>
      </c>
      <c r="L549">
        <v>100</v>
      </c>
      <c r="M549" s="2">
        <f t="shared" si="211"/>
        <v>100</v>
      </c>
      <c r="O549">
        <v>0</v>
      </c>
      <c r="P549" t="s">
        <v>2074</v>
      </c>
      <c r="Q549" s="1">
        <v>0.73</v>
      </c>
      <c r="R549" s="1">
        <f t="shared" si="212"/>
        <v>0.73</v>
      </c>
    </row>
    <row r="550" spans="1:18" x14ac:dyDescent="0.2">
      <c r="A550" t="s">
        <v>1168</v>
      </c>
      <c r="B550" t="s">
        <v>1169</v>
      </c>
      <c r="C550" t="str">
        <f t="shared" si="205"/>
        <v>John Christian</v>
      </c>
      <c r="D550" t="s">
        <v>87</v>
      </c>
      <c r="E550" t="str">
        <f t="shared" si="206"/>
        <v>Male</v>
      </c>
      <c r="F550">
        <v>22</v>
      </c>
      <c r="G550" t="s">
        <v>32</v>
      </c>
      <c r="H550" t="s">
        <v>33</v>
      </c>
      <c r="I550" t="s">
        <v>68</v>
      </c>
      <c r="J550">
        <v>1</v>
      </c>
      <c r="K550" t="str" cm="1">
        <f t="array" ref="K550">_xlfn.IFS( J550&lt;=5,"0-5", J550&lt;=10,"6-10",J550&lt;=15,"11-15",J550&lt;=20,"16-20",J550&gt;20,"20+")</f>
        <v>0-5</v>
      </c>
      <c r="L550">
        <v>40</v>
      </c>
      <c r="M550" s="2">
        <f t="shared" si="211"/>
        <v>40</v>
      </c>
      <c r="N550">
        <v>0</v>
      </c>
      <c r="O550">
        <v>0</v>
      </c>
      <c r="P550" t="s">
        <v>2074</v>
      </c>
      <c r="Q550" s="1">
        <v>0.63</v>
      </c>
      <c r="R550" s="1">
        <f t="shared" si="212"/>
        <v>0.63</v>
      </c>
    </row>
    <row r="551" spans="1:18" x14ac:dyDescent="0.2">
      <c r="A551" t="s">
        <v>1170</v>
      </c>
      <c r="B551" t="s">
        <v>1171</v>
      </c>
      <c r="C551" t="str">
        <f t="shared" si="205"/>
        <v>Nancy Smith</v>
      </c>
      <c r="D551" t="s">
        <v>24</v>
      </c>
      <c r="E551" t="str">
        <f t="shared" si="206"/>
        <v>Female</v>
      </c>
      <c r="F551">
        <v>28</v>
      </c>
      <c r="G551" t="s">
        <v>57</v>
      </c>
      <c r="H551" t="s">
        <v>12</v>
      </c>
      <c r="I551" t="s">
        <v>79</v>
      </c>
      <c r="J551">
        <v>3</v>
      </c>
      <c r="K551" t="str" cm="1">
        <f t="array" ref="K551">_xlfn.IFS( J551&lt;=5,"0-5", J551&lt;=10,"6-10",J551&lt;=15,"11-15",J551&lt;=20,"16-20",J551&gt;20,"20+")</f>
        <v>0-5</v>
      </c>
      <c r="L551" t="s">
        <v>304</v>
      </c>
      <c r="M551" t="str">
        <f>_xlfn.TEXTAFTER(L551, " ")</f>
        <v>20</v>
      </c>
      <c r="O551">
        <v>1</v>
      </c>
      <c r="Q551" s="1">
        <v>0.79</v>
      </c>
      <c r="R551" s="1">
        <f t="shared" si="212"/>
        <v>0.79</v>
      </c>
    </row>
    <row r="552" spans="1:18" x14ac:dyDescent="0.2">
      <c r="A552" t="s">
        <v>1172</v>
      </c>
      <c r="B552" t="s">
        <v>1173</v>
      </c>
      <c r="C552" t="str">
        <f t="shared" si="205"/>
        <v>Cassandra Stephens</v>
      </c>
      <c r="D552" t="s">
        <v>24</v>
      </c>
      <c r="E552" t="str">
        <f t="shared" si="206"/>
        <v>Female</v>
      </c>
      <c r="F552">
        <v>59</v>
      </c>
      <c r="G552" t="s">
        <v>61</v>
      </c>
      <c r="H552" t="s">
        <v>62</v>
      </c>
      <c r="I552" t="s">
        <v>34</v>
      </c>
      <c r="K552" t="str" cm="1">
        <f t="array" ref="K552">_xlfn.IFS( J552&lt;=5,"0-5", J552&lt;=10,"6-10",J552&lt;=15,"11-15",J552&lt;=20,"16-20",J552&gt;20,"20+")</f>
        <v>0-5</v>
      </c>
      <c r="L552">
        <v>20</v>
      </c>
      <c r="M552" s="2">
        <f>L552</f>
        <v>20</v>
      </c>
      <c r="N552">
        <v>4.0999999999999996</v>
      </c>
      <c r="O552">
        <v>0</v>
      </c>
      <c r="P552" t="s">
        <v>2074</v>
      </c>
      <c r="Q552">
        <v>75</v>
      </c>
      <c r="R552" s="3">
        <f>Q552/100</f>
        <v>0.75</v>
      </c>
    </row>
    <row r="553" spans="1:18" x14ac:dyDescent="0.2">
      <c r="A553" t="s">
        <v>1174</v>
      </c>
      <c r="B553" t="s">
        <v>1175</v>
      </c>
      <c r="C553" t="str">
        <f t="shared" si="205"/>
        <v>Miss Janet Donovan MD</v>
      </c>
      <c r="D553" t="s">
        <v>29</v>
      </c>
      <c r="E553" t="str">
        <f t="shared" si="206"/>
        <v>Female</v>
      </c>
      <c r="F553">
        <v>28</v>
      </c>
      <c r="G553" t="s">
        <v>125</v>
      </c>
      <c r="H553" t="s">
        <v>126</v>
      </c>
      <c r="I553" t="s">
        <v>25</v>
      </c>
      <c r="J553">
        <v>1</v>
      </c>
      <c r="K553" t="str" cm="1">
        <f t="array" ref="K553">_xlfn.IFS( J553&lt;=5,"0-5", J553&lt;=10,"6-10",J553&lt;=15,"11-15",J553&lt;=20,"16-20",J553&gt;20,"20+")</f>
        <v>0-5</v>
      </c>
      <c r="M553"/>
      <c r="N553">
        <v>0</v>
      </c>
      <c r="O553">
        <v>0</v>
      </c>
      <c r="Q553" s="1">
        <v>0.7</v>
      </c>
      <c r="R553" s="1">
        <f t="shared" ref="R553:R554" si="213">Q553</f>
        <v>0.7</v>
      </c>
    </row>
    <row r="554" spans="1:18" x14ac:dyDescent="0.2">
      <c r="A554" t="s">
        <v>1176</v>
      </c>
      <c r="B554" t="s">
        <v>1177</v>
      </c>
      <c r="C554" t="str">
        <f t="shared" si="205"/>
        <v>Kristina Williams</v>
      </c>
      <c r="D554" t="s">
        <v>24</v>
      </c>
      <c r="E554" t="str">
        <f t="shared" si="206"/>
        <v>Female</v>
      </c>
      <c r="F554">
        <v>40</v>
      </c>
      <c r="G554" t="s">
        <v>11</v>
      </c>
      <c r="H554" t="s">
        <v>12</v>
      </c>
      <c r="I554" t="s">
        <v>79</v>
      </c>
      <c r="J554">
        <v>0</v>
      </c>
      <c r="K554" t="str" cm="1">
        <f t="array" ref="K554">_xlfn.IFS( J554&lt;=5,"0-5", J554&lt;=10,"6-10",J554&lt;=15,"11-15",J554&lt;=20,"16-20",J554&gt;20,"20+")</f>
        <v>0-5</v>
      </c>
      <c r="L554" t="s">
        <v>219</v>
      </c>
      <c r="M554" t="str">
        <f>SUBSTITUTE(L554,"$"," ")</f>
        <v xml:space="preserve"> 100</v>
      </c>
      <c r="N554">
        <v>1.2</v>
      </c>
      <c r="Q554" s="1">
        <v>0.87</v>
      </c>
      <c r="R554" s="1">
        <f t="shared" si="213"/>
        <v>0.87</v>
      </c>
    </row>
    <row r="555" spans="1:18" x14ac:dyDescent="0.2">
      <c r="A555" t="s">
        <v>1178</v>
      </c>
      <c r="B555" t="s">
        <v>1179</v>
      </c>
      <c r="C555" t="str">
        <f t="shared" si="205"/>
        <v>Wayne Barnes</v>
      </c>
      <c r="D555" t="s">
        <v>82</v>
      </c>
      <c r="E555" t="str">
        <f t="shared" si="206"/>
        <v>Male</v>
      </c>
      <c r="F555">
        <v>57</v>
      </c>
      <c r="G555" t="s">
        <v>5</v>
      </c>
      <c r="H555" t="s">
        <v>6</v>
      </c>
      <c r="I555" t="s">
        <v>7</v>
      </c>
      <c r="J555">
        <v>7</v>
      </c>
      <c r="K555" t="str" cm="1">
        <f t="array" ref="K555">_xlfn.IFS( J555&lt;=5,"0-5", J555&lt;=10,"6-10",J555&lt;=15,"11-15",J555&lt;=20,"16-20",J555&gt;20,"20+")</f>
        <v>6-10</v>
      </c>
      <c r="L555">
        <v>30</v>
      </c>
      <c r="M555" s="2">
        <f t="shared" ref="M555:M557" si="214">L555</f>
        <v>30</v>
      </c>
      <c r="N555">
        <v>1.6</v>
      </c>
      <c r="O555" t="s">
        <v>149</v>
      </c>
      <c r="P555" t="s">
        <v>2074</v>
      </c>
    </row>
    <row r="556" spans="1:18" x14ac:dyDescent="0.2">
      <c r="A556" t="s">
        <v>1180</v>
      </c>
      <c r="B556" t="s">
        <v>1181</v>
      </c>
      <c r="C556" t="str">
        <f t="shared" si="205"/>
        <v>James Hinton</v>
      </c>
      <c r="D556" t="s">
        <v>51</v>
      </c>
      <c r="E556" t="str">
        <f t="shared" si="206"/>
        <v>Male</v>
      </c>
      <c r="F556">
        <v>47</v>
      </c>
      <c r="G556" t="s">
        <v>52</v>
      </c>
      <c r="H556" t="s">
        <v>53</v>
      </c>
      <c r="I556" t="s">
        <v>79</v>
      </c>
      <c r="J556">
        <v>1</v>
      </c>
      <c r="K556" t="str" cm="1">
        <f t="array" ref="K556">_xlfn.IFS( J556&lt;=5,"0-5", J556&lt;=10,"6-10",J556&lt;=15,"11-15",J556&lt;=20,"16-20",J556&gt;20,"20+")</f>
        <v>0-5</v>
      </c>
      <c r="L556">
        <v>50</v>
      </c>
      <c r="M556" s="2">
        <f t="shared" si="214"/>
        <v>50</v>
      </c>
      <c r="N556">
        <v>3.9</v>
      </c>
      <c r="O556" t="s">
        <v>64</v>
      </c>
      <c r="P556" t="s">
        <v>2075</v>
      </c>
      <c r="Q556" s="1">
        <v>0.88</v>
      </c>
      <c r="R556" s="1">
        <f>Q556</f>
        <v>0.88</v>
      </c>
    </row>
    <row r="557" spans="1:18" x14ac:dyDescent="0.2">
      <c r="A557" t="s">
        <v>1182</v>
      </c>
      <c r="B557" t="s">
        <v>1183</v>
      </c>
      <c r="C557" t="str">
        <f t="shared" si="205"/>
        <v>David Spence</v>
      </c>
      <c r="D557" t="s">
        <v>17</v>
      </c>
      <c r="E557" t="str">
        <f t="shared" si="206"/>
        <v>Male</v>
      </c>
      <c r="F557">
        <v>48</v>
      </c>
      <c r="G557" t="s">
        <v>102</v>
      </c>
      <c r="H557" t="s">
        <v>103</v>
      </c>
      <c r="I557" t="s">
        <v>68</v>
      </c>
      <c r="J557">
        <v>21</v>
      </c>
      <c r="K557" t="str" cm="1">
        <f t="array" ref="K557">_xlfn.IFS( J557&lt;=5,"0-5", J557&lt;=10,"6-10",J557&lt;=15,"11-15",J557&lt;=20,"16-20",J557&gt;20,"20+")</f>
        <v>20+</v>
      </c>
      <c r="L557">
        <v>40</v>
      </c>
      <c r="M557" s="2">
        <f t="shared" si="214"/>
        <v>40</v>
      </c>
      <c r="N557">
        <v>0</v>
      </c>
      <c r="O557">
        <v>1</v>
      </c>
      <c r="P557" t="s">
        <v>2075</v>
      </c>
    </row>
    <row r="558" spans="1:18" x14ac:dyDescent="0.2">
      <c r="A558" t="s">
        <v>1184</v>
      </c>
      <c r="B558" t="s">
        <v>1185</v>
      </c>
      <c r="C558" t="str">
        <f t="shared" si="205"/>
        <v>Tyler Cooper</v>
      </c>
      <c r="D558" t="s">
        <v>87</v>
      </c>
      <c r="E558" t="str">
        <f t="shared" si="206"/>
        <v>Male</v>
      </c>
      <c r="F558">
        <v>28</v>
      </c>
      <c r="G558" t="s">
        <v>48</v>
      </c>
      <c r="H558" t="s">
        <v>12</v>
      </c>
      <c r="I558" t="s">
        <v>63</v>
      </c>
      <c r="J558">
        <v>1</v>
      </c>
      <c r="K558" t="str" cm="1">
        <f t="array" ref="K558">_xlfn.IFS( J558&lt;=5,"0-5", J558&lt;=10,"6-10",J558&lt;=15,"11-15",J558&lt;=20,"16-20",J558&gt;20,"20+")</f>
        <v>0-5</v>
      </c>
      <c r="L558" t="s">
        <v>304</v>
      </c>
      <c r="M558" t="str">
        <f>_xlfn.TEXTAFTER(L558, " ")</f>
        <v>20</v>
      </c>
      <c r="N558">
        <v>4.7</v>
      </c>
      <c r="O558" t="b">
        <v>0</v>
      </c>
      <c r="Q558" s="1">
        <v>0.93</v>
      </c>
      <c r="R558" s="1">
        <f>Q558</f>
        <v>0.93</v>
      </c>
    </row>
    <row r="559" spans="1:18" x14ac:dyDescent="0.2">
      <c r="A559" t="s">
        <v>1186</v>
      </c>
      <c r="B559" t="s">
        <v>1187</v>
      </c>
      <c r="C559" t="str">
        <f t="shared" si="205"/>
        <v>Sean Martinez</v>
      </c>
      <c r="D559" t="s">
        <v>82</v>
      </c>
      <c r="E559" t="str">
        <f t="shared" si="206"/>
        <v>Male</v>
      </c>
      <c r="F559">
        <v>41</v>
      </c>
      <c r="G559" t="s">
        <v>52</v>
      </c>
      <c r="H559" t="s">
        <v>53</v>
      </c>
      <c r="I559" t="s">
        <v>20</v>
      </c>
      <c r="J559">
        <v>15</v>
      </c>
      <c r="K559" t="str" cm="1">
        <f t="array" ref="K559">_xlfn.IFS( J559&lt;=5,"0-5", J559&lt;=10,"6-10",J559&lt;=15,"11-15",J559&lt;=20,"16-20",J559&gt;20,"20+")</f>
        <v>11-15</v>
      </c>
      <c r="M559"/>
      <c r="N559">
        <v>3.8</v>
      </c>
      <c r="O559">
        <v>1</v>
      </c>
    </row>
    <row r="560" spans="1:18" x14ac:dyDescent="0.2">
      <c r="A560" t="s">
        <v>1188</v>
      </c>
      <c r="B560" t="s">
        <v>1189</v>
      </c>
      <c r="C560" t="str">
        <f t="shared" si="205"/>
        <v>Janet Barron</v>
      </c>
      <c r="D560" t="s">
        <v>4</v>
      </c>
      <c r="E560" t="str">
        <f t="shared" si="206"/>
        <v>Female</v>
      </c>
      <c r="F560">
        <v>57</v>
      </c>
      <c r="G560" t="s">
        <v>143</v>
      </c>
      <c r="H560" t="s">
        <v>144</v>
      </c>
      <c r="I560" t="s">
        <v>68</v>
      </c>
      <c r="J560">
        <v>33</v>
      </c>
      <c r="K560" t="str" cm="1">
        <f t="array" ref="K560">_xlfn.IFS( J560&lt;=5,"0-5", J560&lt;=10,"6-10",J560&lt;=15,"11-15",J560&lt;=20,"16-20",J560&gt;20,"20+")</f>
        <v>20+</v>
      </c>
      <c r="L560">
        <v>100</v>
      </c>
      <c r="M560" s="2">
        <f>L560</f>
        <v>100</v>
      </c>
      <c r="N560">
        <v>3.5</v>
      </c>
      <c r="O560" t="s">
        <v>149</v>
      </c>
      <c r="P560" t="s">
        <v>2074</v>
      </c>
      <c r="Q560" s="1">
        <v>0.74</v>
      </c>
      <c r="R560" s="1">
        <f t="shared" ref="R560:R565" si="215">Q560</f>
        <v>0.74</v>
      </c>
    </row>
    <row r="561" spans="1:18" x14ac:dyDescent="0.2">
      <c r="A561" t="s">
        <v>1190</v>
      </c>
      <c r="B561" t="s">
        <v>1191</v>
      </c>
      <c r="C561" t="str">
        <f t="shared" si="205"/>
        <v>Rodney Wilson</v>
      </c>
      <c r="D561" t="s">
        <v>17</v>
      </c>
      <c r="E561" t="str">
        <f t="shared" si="206"/>
        <v>Male</v>
      </c>
      <c r="F561">
        <v>60</v>
      </c>
      <c r="G561" t="s">
        <v>61</v>
      </c>
      <c r="H561" t="s">
        <v>62</v>
      </c>
      <c r="I561" t="s">
        <v>20</v>
      </c>
      <c r="J561">
        <v>39</v>
      </c>
      <c r="K561" t="str" cm="1">
        <f t="array" ref="K561">_xlfn.IFS( J561&lt;=5,"0-5", J561&lt;=10,"6-10",J561&lt;=15,"11-15",J561&lt;=20,"16-20",J561&gt;20,"20+")</f>
        <v>20+</v>
      </c>
      <c r="L561" t="s">
        <v>42</v>
      </c>
      <c r="M561" t="str">
        <f>_xlfn.TEXTAFTER(L561, " ")</f>
        <v>75</v>
      </c>
      <c r="N561">
        <v>4</v>
      </c>
      <c r="Q561" s="1">
        <v>0.7</v>
      </c>
      <c r="R561" s="1">
        <f t="shared" si="215"/>
        <v>0.7</v>
      </c>
    </row>
    <row r="562" spans="1:18" x14ac:dyDescent="0.2">
      <c r="A562" t="s">
        <v>1192</v>
      </c>
      <c r="B562" t="s">
        <v>1193</v>
      </c>
      <c r="C562" t="str">
        <f t="shared" si="205"/>
        <v>Kimberly Fitzgerald</v>
      </c>
      <c r="D562" t="s">
        <v>29</v>
      </c>
      <c r="E562" t="str">
        <f t="shared" si="206"/>
        <v>Female</v>
      </c>
      <c r="F562">
        <v>48</v>
      </c>
      <c r="G562" t="s">
        <v>129</v>
      </c>
      <c r="H562" t="s">
        <v>130</v>
      </c>
      <c r="I562" t="s">
        <v>20</v>
      </c>
      <c r="J562">
        <v>21</v>
      </c>
      <c r="K562" t="str" cm="1">
        <f t="array" ref="K562">_xlfn.IFS( J562&lt;=5,"0-5", J562&lt;=10,"6-10",J562&lt;=15,"11-15",J562&lt;=20,"16-20",J562&gt;20,"20+")</f>
        <v>20+</v>
      </c>
      <c r="L562">
        <v>30</v>
      </c>
      <c r="M562" s="2">
        <f t="shared" ref="M562:M565" si="216">L562</f>
        <v>30</v>
      </c>
      <c r="N562">
        <v>1.6</v>
      </c>
      <c r="O562" t="s">
        <v>64</v>
      </c>
      <c r="P562" t="s">
        <v>2075</v>
      </c>
      <c r="Q562" s="1">
        <v>0.67</v>
      </c>
      <c r="R562" s="1">
        <f t="shared" si="215"/>
        <v>0.67</v>
      </c>
    </row>
    <row r="563" spans="1:18" x14ac:dyDescent="0.2">
      <c r="A563" t="s">
        <v>1194</v>
      </c>
      <c r="B563" t="s">
        <v>1195</v>
      </c>
      <c r="C563" t="str">
        <f t="shared" si="205"/>
        <v>Nicole Davis</v>
      </c>
      <c r="D563" t="s">
        <v>67</v>
      </c>
      <c r="E563" t="str">
        <f t="shared" si="206"/>
        <v>Female</v>
      </c>
      <c r="F563">
        <v>24</v>
      </c>
      <c r="G563" t="s">
        <v>125</v>
      </c>
      <c r="H563" t="s">
        <v>126</v>
      </c>
      <c r="I563" t="s">
        <v>68</v>
      </c>
      <c r="J563">
        <v>5</v>
      </c>
      <c r="K563" t="str" cm="1">
        <f t="array" ref="K563">_xlfn.IFS( J563&lt;=5,"0-5", J563&lt;=10,"6-10",J563&lt;=15,"11-15",J563&lt;=20,"16-20",J563&gt;20,"20+")</f>
        <v>0-5</v>
      </c>
      <c r="L563">
        <v>40</v>
      </c>
      <c r="M563" s="2">
        <f t="shared" si="216"/>
        <v>40</v>
      </c>
      <c r="N563">
        <v>3</v>
      </c>
      <c r="O563" t="s">
        <v>149</v>
      </c>
      <c r="P563" t="s">
        <v>2074</v>
      </c>
      <c r="Q563" s="1">
        <v>0.86</v>
      </c>
      <c r="R563" s="1">
        <f t="shared" si="215"/>
        <v>0.86</v>
      </c>
    </row>
    <row r="564" spans="1:18" x14ac:dyDescent="0.2">
      <c r="A564" t="s">
        <v>1196</v>
      </c>
      <c r="B564" t="s">
        <v>1197</v>
      </c>
      <c r="C564" t="str">
        <f t="shared" si="205"/>
        <v>Elizabeth Hayes</v>
      </c>
      <c r="D564" t="s">
        <v>10</v>
      </c>
      <c r="E564" t="str">
        <f t="shared" si="206"/>
        <v>Female</v>
      </c>
      <c r="F564">
        <v>33</v>
      </c>
      <c r="G564" t="s">
        <v>169</v>
      </c>
      <c r="H564" t="s">
        <v>62</v>
      </c>
      <c r="I564" t="s">
        <v>79</v>
      </c>
      <c r="J564">
        <v>11</v>
      </c>
      <c r="K564" t="str" cm="1">
        <f t="array" ref="K564">_xlfn.IFS( J564&lt;=5,"0-5", J564&lt;=10,"6-10",J564&lt;=15,"11-15",J564&lt;=20,"16-20",J564&gt;20,"20+")</f>
        <v>11-15</v>
      </c>
      <c r="L564">
        <v>50</v>
      </c>
      <c r="M564" s="2">
        <f t="shared" si="216"/>
        <v>50</v>
      </c>
      <c r="N564">
        <v>5</v>
      </c>
      <c r="O564" t="s">
        <v>58</v>
      </c>
      <c r="P564" t="s">
        <v>2075</v>
      </c>
      <c r="Q564" s="1">
        <v>0.69</v>
      </c>
      <c r="R564" s="1">
        <f t="shared" si="215"/>
        <v>0.69</v>
      </c>
    </row>
    <row r="565" spans="1:18" x14ac:dyDescent="0.2">
      <c r="A565" t="s">
        <v>1198</v>
      </c>
      <c r="B565" t="s">
        <v>1199</v>
      </c>
      <c r="C565" t="str">
        <f t="shared" si="205"/>
        <v>Kathy Faulkner</v>
      </c>
      <c r="D565" t="s">
        <v>10</v>
      </c>
      <c r="E565" t="str">
        <f t="shared" si="206"/>
        <v>Female</v>
      </c>
      <c r="F565">
        <v>20</v>
      </c>
      <c r="G565" t="s">
        <v>52</v>
      </c>
      <c r="H565" t="s">
        <v>53</v>
      </c>
      <c r="I565" t="s">
        <v>20</v>
      </c>
      <c r="J565">
        <v>0</v>
      </c>
      <c r="K565" t="str" cm="1">
        <f t="array" ref="K565">_xlfn.IFS( J565&lt;=5,"0-5", J565&lt;=10,"6-10",J565&lt;=15,"11-15",J565&lt;=20,"16-20",J565&gt;20,"20+")</f>
        <v>0-5</v>
      </c>
      <c r="L565">
        <v>30</v>
      </c>
      <c r="M565" s="2">
        <f t="shared" si="216"/>
        <v>30</v>
      </c>
      <c r="N565">
        <v>4.8</v>
      </c>
      <c r="O565" t="s">
        <v>58</v>
      </c>
      <c r="P565" t="s">
        <v>2075</v>
      </c>
      <c r="Q565" s="1">
        <v>0.68</v>
      </c>
      <c r="R565" s="1">
        <f t="shared" si="215"/>
        <v>0.68</v>
      </c>
    </row>
    <row r="566" spans="1:18" x14ac:dyDescent="0.2">
      <c r="A566" t="s">
        <v>1200</v>
      </c>
      <c r="B566" t="s">
        <v>1201</v>
      </c>
      <c r="C566" t="str">
        <f t="shared" si="205"/>
        <v>John Gonzales</v>
      </c>
      <c r="D566" t="s">
        <v>51</v>
      </c>
      <c r="E566" t="str">
        <f t="shared" si="206"/>
        <v>Male</v>
      </c>
      <c r="F566">
        <v>59</v>
      </c>
      <c r="G566" t="s">
        <v>57</v>
      </c>
      <c r="H566" t="s">
        <v>12</v>
      </c>
      <c r="I566" t="s">
        <v>79</v>
      </c>
      <c r="J566">
        <v>15</v>
      </c>
      <c r="K566" t="str" cm="1">
        <f t="array" ref="K566">_xlfn.IFS( J566&lt;=5,"0-5", J566&lt;=10,"6-10",J566&lt;=15,"11-15",J566&lt;=20,"16-20",J566&gt;20,"20+")</f>
        <v>11-15</v>
      </c>
      <c r="L566" t="s">
        <v>54</v>
      </c>
      <c r="M566" t="str">
        <f>SUBSTITUTE(L566,"$"," ")</f>
        <v xml:space="preserve"> 50</v>
      </c>
      <c r="O566" t="s">
        <v>149</v>
      </c>
    </row>
    <row r="567" spans="1:18" x14ac:dyDescent="0.2">
      <c r="A567" t="s">
        <v>1202</v>
      </c>
      <c r="B567" t="s">
        <v>1203</v>
      </c>
      <c r="C567" t="str">
        <f t="shared" si="205"/>
        <v>Shannon Luna</v>
      </c>
      <c r="D567" t="s">
        <v>29</v>
      </c>
      <c r="E567" t="str">
        <f t="shared" si="206"/>
        <v>Female</v>
      </c>
      <c r="F567">
        <v>42</v>
      </c>
      <c r="G567" t="s">
        <v>165</v>
      </c>
      <c r="H567" t="s">
        <v>166</v>
      </c>
      <c r="I567" t="s">
        <v>79</v>
      </c>
      <c r="J567">
        <v>22</v>
      </c>
      <c r="K567" t="str" cm="1">
        <f t="array" ref="K567">_xlfn.IFS( J567&lt;=5,"0-5", J567&lt;=10,"6-10",J567&lt;=15,"11-15",J567&lt;=20,"16-20",J567&gt;20,"20+")</f>
        <v>20+</v>
      </c>
      <c r="M567"/>
      <c r="N567">
        <v>2.9</v>
      </c>
      <c r="O567">
        <v>0</v>
      </c>
      <c r="Q567" s="1">
        <v>0.61</v>
      </c>
      <c r="R567" s="1">
        <f t="shared" ref="R567:R572" si="217">Q567</f>
        <v>0.61</v>
      </c>
    </row>
    <row r="568" spans="1:18" x14ac:dyDescent="0.2">
      <c r="A568" t="s">
        <v>1204</v>
      </c>
      <c r="B568" t="s">
        <v>1205</v>
      </c>
      <c r="C568" t="str">
        <f t="shared" si="205"/>
        <v>Stephanie Burton</v>
      </c>
      <c r="D568" t="s">
        <v>10</v>
      </c>
      <c r="E568" t="str">
        <f t="shared" si="206"/>
        <v>Female</v>
      </c>
      <c r="F568">
        <v>22</v>
      </c>
      <c r="G568" t="s">
        <v>52</v>
      </c>
      <c r="H568" t="s">
        <v>53</v>
      </c>
      <c r="I568" t="s">
        <v>63</v>
      </c>
      <c r="J568">
        <v>3</v>
      </c>
      <c r="K568" t="str" cm="1">
        <f t="array" ref="K568">_xlfn.IFS( J568&lt;=5,"0-5", J568&lt;=10,"6-10",J568&lt;=15,"11-15",J568&lt;=20,"16-20",J568&gt;20,"20+")</f>
        <v>0-5</v>
      </c>
      <c r="M568"/>
      <c r="N568">
        <v>3</v>
      </c>
      <c r="O568" t="b">
        <v>1</v>
      </c>
      <c r="Q568" s="1">
        <v>0.96</v>
      </c>
      <c r="R568" s="1">
        <f t="shared" si="217"/>
        <v>0.96</v>
      </c>
    </row>
    <row r="569" spans="1:18" x14ac:dyDescent="0.2">
      <c r="A569" t="s">
        <v>1206</v>
      </c>
      <c r="B569" t="s">
        <v>1207</v>
      </c>
      <c r="C569" t="str">
        <f t="shared" si="205"/>
        <v>Kevin Gonzales</v>
      </c>
      <c r="D569" t="s">
        <v>82</v>
      </c>
      <c r="E569" t="str">
        <f t="shared" si="206"/>
        <v>Male</v>
      </c>
      <c r="F569">
        <v>41</v>
      </c>
      <c r="G569" t="s">
        <v>118</v>
      </c>
      <c r="H569" t="s">
        <v>12</v>
      </c>
      <c r="I569" t="s">
        <v>68</v>
      </c>
      <c r="J569">
        <v>11</v>
      </c>
      <c r="K569" t="str" cm="1">
        <f t="array" ref="K569">_xlfn.IFS( J569&lt;=5,"0-5", J569&lt;=10,"6-10",J569&lt;=15,"11-15",J569&lt;=20,"16-20",J569&gt;20,"20+")</f>
        <v>11-15</v>
      </c>
      <c r="L569">
        <v>50</v>
      </c>
      <c r="M569" s="2">
        <f t="shared" ref="M569:M571" si="218">L569</f>
        <v>50</v>
      </c>
      <c r="N569">
        <v>3.5</v>
      </c>
      <c r="O569">
        <v>1</v>
      </c>
      <c r="P569" t="s">
        <v>2075</v>
      </c>
      <c r="Q569" s="1">
        <v>0.68</v>
      </c>
      <c r="R569" s="1">
        <f t="shared" si="217"/>
        <v>0.68</v>
      </c>
    </row>
    <row r="570" spans="1:18" x14ac:dyDescent="0.2">
      <c r="A570" t="s">
        <v>1208</v>
      </c>
      <c r="B570" t="s">
        <v>1209</v>
      </c>
      <c r="C570" t="str">
        <f t="shared" si="205"/>
        <v>Dawn Hardy</v>
      </c>
      <c r="D570" t="s">
        <v>67</v>
      </c>
      <c r="E570" t="str">
        <f t="shared" si="206"/>
        <v>Female</v>
      </c>
      <c r="F570">
        <v>25</v>
      </c>
      <c r="G570" t="s">
        <v>61</v>
      </c>
      <c r="H570" t="s">
        <v>62</v>
      </c>
      <c r="I570" t="s">
        <v>25</v>
      </c>
      <c r="J570">
        <v>5</v>
      </c>
      <c r="K570" t="str" cm="1">
        <f t="array" ref="K570">_xlfn.IFS( J570&lt;=5,"0-5", J570&lt;=10,"6-10",J570&lt;=15,"11-15",J570&lt;=20,"16-20",J570&gt;20,"20+")</f>
        <v>0-5</v>
      </c>
      <c r="L570">
        <v>40</v>
      </c>
      <c r="M570" s="2">
        <f t="shared" si="218"/>
        <v>40</v>
      </c>
      <c r="O570" t="b">
        <v>1</v>
      </c>
      <c r="P570" t="s">
        <v>2075</v>
      </c>
      <c r="Q570" s="1">
        <v>0.75</v>
      </c>
      <c r="R570" s="1">
        <f t="shared" si="217"/>
        <v>0.75</v>
      </c>
    </row>
    <row r="571" spans="1:18" x14ac:dyDescent="0.2">
      <c r="A571" t="s">
        <v>1210</v>
      </c>
      <c r="B571" t="s">
        <v>1211</v>
      </c>
      <c r="C571" t="str">
        <f t="shared" si="205"/>
        <v>Margaret Perkins</v>
      </c>
      <c r="D571" t="s">
        <v>4</v>
      </c>
      <c r="E571" t="str">
        <f t="shared" si="206"/>
        <v>Female</v>
      </c>
      <c r="F571">
        <v>38</v>
      </c>
      <c r="G571" t="s">
        <v>118</v>
      </c>
      <c r="H571" t="s">
        <v>12</v>
      </c>
      <c r="I571" t="s">
        <v>63</v>
      </c>
      <c r="J571">
        <v>3</v>
      </c>
      <c r="K571" t="str" cm="1">
        <f t="array" ref="K571">_xlfn.IFS( J571&lt;=5,"0-5", J571&lt;=10,"6-10",J571&lt;=15,"11-15",J571&lt;=20,"16-20",J571&gt;20,"20+")</f>
        <v>0-5</v>
      </c>
      <c r="L571">
        <v>40</v>
      </c>
      <c r="M571" s="2">
        <f t="shared" si="218"/>
        <v>40</v>
      </c>
      <c r="N571">
        <v>4.7</v>
      </c>
      <c r="O571">
        <v>0</v>
      </c>
      <c r="P571" t="s">
        <v>2074</v>
      </c>
      <c r="Q571" s="1">
        <v>0.69</v>
      </c>
      <c r="R571" s="1">
        <f t="shared" si="217"/>
        <v>0.69</v>
      </c>
    </row>
    <row r="572" spans="1:18" x14ac:dyDescent="0.2">
      <c r="A572" t="s">
        <v>1212</v>
      </c>
      <c r="B572" t="s">
        <v>1213</v>
      </c>
      <c r="C572" t="str">
        <f t="shared" si="205"/>
        <v>Amanda Vargas</v>
      </c>
      <c r="D572" t="s">
        <v>29</v>
      </c>
      <c r="E572" t="str">
        <f t="shared" si="206"/>
        <v>Female</v>
      </c>
      <c r="F572">
        <v>43</v>
      </c>
      <c r="G572" t="s">
        <v>48</v>
      </c>
      <c r="H572" t="s">
        <v>12</v>
      </c>
      <c r="I572" t="s">
        <v>79</v>
      </c>
      <c r="J572">
        <v>1</v>
      </c>
      <c r="K572" t="str" cm="1">
        <f t="array" ref="K572">_xlfn.IFS( J572&lt;=5,"0-5", J572&lt;=10,"6-10",J572&lt;=15,"11-15",J572&lt;=20,"16-20",J572&gt;20,"20+")</f>
        <v>0-5</v>
      </c>
      <c r="M572"/>
      <c r="N572">
        <v>2.9</v>
      </c>
      <c r="O572" t="s">
        <v>149</v>
      </c>
      <c r="Q572" s="1">
        <v>0.78</v>
      </c>
      <c r="R572" s="1">
        <f t="shared" si="217"/>
        <v>0.78</v>
      </c>
    </row>
    <row r="573" spans="1:18" x14ac:dyDescent="0.2">
      <c r="A573" t="s">
        <v>1214</v>
      </c>
      <c r="B573" t="s">
        <v>1215</v>
      </c>
      <c r="C573" t="str">
        <f t="shared" si="205"/>
        <v>Tonya Gonzalez</v>
      </c>
      <c r="D573" t="s">
        <v>24</v>
      </c>
      <c r="E573" t="str">
        <f t="shared" si="206"/>
        <v>Female</v>
      </c>
      <c r="F573">
        <v>54</v>
      </c>
      <c r="G573" t="s">
        <v>169</v>
      </c>
      <c r="H573" t="s">
        <v>62</v>
      </c>
      <c r="I573" t="s">
        <v>34</v>
      </c>
      <c r="J573">
        <v>1</v>
      </c>
      <c r="K573" t="str" cm="1">
        <f t="array" ref="K573">_xlfn.IFS( J573&lt;=5,"0-5", J573&lt;=10,"6-10",J573&lt;=15,"11-15",J573&lt;=20,"16-20",J573&gt;20,"20+")</f>
        <v>0-5</v>
      </c>
      <c r="L573">
        <v>75</v>
      </c>
      <c r="M573" s="2">
        <f t="shared" ref="M573:M574" si="219">L573</f>
        <v>75</v>
      </c>
      <c r="N573">
        <v>4.4000000000000004</v>
      </c>
      <c r="O573" t="s">
        <v>64</v>
      </c>
      <c r="P573" t="s">
        <v>2075</v>
      </c>
    </row>
    <row r="574" spans="1:18" x14ac:dyDescent="0.2">
      <c r="A574" t="s">
        <v>1216</v>
      </c>
      <c r="B574" t="s">
        <v>1217</v>
      </c>
      <c r="C574" t="str">
        <f t="shared" si="205"/>
        <v>Elizabeth Bowman</v>
      </c>
      <c r="D574" t="s">
        <v>24</v>
      </c>
      <c r="E574" t="str">
        <f t="shared" si="206"/>
        <v>Female</v>
      </c>
      <c r="F574">
        <v>31</v>
      </c>
      <c r="G574" t="s">
        <v>39</v>
      </c>
      <c r="H574" t="s">
        <v>40</v>
      </c>
      <c r="I574" t="s">
        <v>13</v>
      </c>
      <c r="J574">
        <v>2</v>
      </c>
      <c r="K574" t="str" cm="1">
        <f t="array" ref="K574">_xlfn.IFS( J574&lt;=5,"0-5", J574&lt;=10,"6-10",J574&lt;=15,"11-15",J574&lt;=20,"16-20",J574&gt;20,"20+")</f>
        <v>0-5</v>
      </c>
      <c r="L574">
        <v>40</v>
      </c>
      <c r="M574" s="2">
        <f t="shared" si="219"/>
        <v>40</v>
      </c>
      <c r="N574">
        <v>2.2999999999999998</v>
      </c>
      <c r="O574" t="s">
        <v>21</v>
      </c>
      <c r="P574" t="s">
        <v>2074</v>
      </c>
      <c r="Q574" s="1">
        <v>0.98</v>
      </c>
      <c r="R574" s="1">
        <f t="shared" ref="R574:R580" si="220">Q574</f>
        <v>0.98</v>
      </c>
    </row>
    <row r="575" spans="1:18" x14ac:dyDescent="0.2">
      <c r="A575" t="s">
        <v>1218</v>
      </c>
      <c r="B575" t="s">
        <v>1219</v>
      </c>
      <c r="C575" t="str">
        <f t="shared" si="205"/>
        <v>Ariana Pittman</v>
      </c>
      <c r="D575" t="s">
        <v>4</v>
      </c>
      <c r="E575" t="str">
        <f t="shared" si="206"/>
        <v>Female</v>
      </c>
      <c r="F575">
        <v>56</v>
      </c>
      <c r="G575" t="s">
        <v>169</v>
      </c>
      <c r="H575" t="s">
        <v>62</v>
      </c>
      <c r="I575" t="s">
        <v>34</v>
      </c>
      <c r="J575">
        <v>3</v>
      </c>
      <c r="K575" t="str" cm="1">
        <f t="array" ref="K575">_xlfn.IFS( J575&lt;=5,"0-5", J575&lt;=10,"6-10",J575&lt;=15,"11-15",J575&lt;=20,"16-20",J575&gt;20,"20+")</f>
        <v>0-5</v>
      </c>
      <c r="L575" t="s">
        <v>35</v>
      </c>
      <c r="M575" t="str">
        <f>SUBSTITUTE(L575,"$"," ")</f>
        <v xml:space="preserve"> 30</v>
      </c>
      <c r="N575">
        <v>3.7</v>
      </c>
      <c r="Q575" s="1">
        <v>0.83</v>
      </c>
      <c r="R575" s="1">
        <f t="shared" si="220"/>
        <v>0.83</v>
      </c>
    </row>
    <row r="576" spans="1:18" x14ac:dyDescent="0.2">
      <c r="A576" t="s">
        <v>1220</v>
      </c>
      <c r="B576" t="s">
        <v>1221</v>
      </c>
      <c r="C576" t="str">
        <f t="shared" si="205"/>
        <v>Antonio Johnson</v>
      </c>
      <c r="D576" t="s">
        <v>51</v>
      </c>
      <c r="E576" t="str">
        <f t="shared" si="206"/>
        <v>Male</v>
      </c>
      <c r="F576">
        <v>46</v>
      </c>
      <c r="G576" t="s">
        <v>169</v>
      </c>
      <c r="H576" t="s">
        <v>62</v>
      </c>
      <c r="I576" t="s">
        <v>20</v>
      </c>
      <c r="J576">
        <v>11</v>
      </c>
      <c r="K576" t="str" cm="1">
        <f t="array" ref="K576">_xlfn.IFS( J576&lt;=5,"0-5", J576&lt;=10,"6-10",J576&lt;=15,"11-15",J576&lt;=20,"16-20",J576&gt;20,"20+")</f>
        <v>11-15</v>
      </c>
      <c r="M576"/>
      <c r="N576">
        <v>1.8</v>
      </c>
      <c r="O576">
        <v>1</v>
      </c>
      <c r="Q576" s="1">
        <v>0.91</v>
      </c>
      <c r="R576" s="1">
        <f t="shared" si="220"/>
        <v>0.91</v>
      </c>
    </row>
    <row r="577" spans="1:18" x14ac:dyDescent="0.2">
      <c r="A577" t="s">
        <v>1222</v>
      </c>
      <c r="B577" t="s">
        <v>1223</v>
      </c>
      <c r="C577" t="str">
        <f t="shared" si="205"/>
        <v>Justin Lang</v>
      </c>
      <c r="D577" t="s">
        <v>87</v>
      </c>
      <c r="E577" t="str">
        <f t="shared" si="206"/>
        <v>Male</v>
      </c>
      <c r="F577">
        <v>60</v>
      </c>
      <c r="G577" t="s">
        <v>129</v>
      </c>
      <c r="H577" t="s">
        <v>130</v>
      </c>
      <c r="I577" t="s">
        <v>34</v>
      </c>
      <c r="K577" t="str" cm="1">
        <f t="array" ref="K577">_xlfn.IFS( J577&lt;=5,"0-5", J577&lt;=10,"6-10",J577&lt;=15,"11-15",J577&lt;=20,"16-20",J577&gt;20,"20+")</f>
        <v>0-5</v>
      </c>
      <c r="L577">
        <v>100</v>
      </c>
      <c r="M577" s="2">
        <f>L577</f>
        <v>100</v>
      </c>
      <c r="N577">
        <v>0</v>
      </c>
      <c r="O577">
        <v>1</v>
      </c>
      <c r="P577" t="s">
        <v>2075</v>
      </c>
      <c r="Q577" s="1">
        <v>0.96</v>
      </c>
      <c r="R577" s="1">
        <f t="shared" si="220"/>
        <v>0.96</v>
      </c>
    </row>
    <row r="578" spans="1:18" x14ac:dyDescent="0.2">
      <c r="A578" t="s">
        <v>1224</v>
      </c>
      <c r="B578" t="s">
        <v>1225</v>
      </c>
      <c r="C578" t="str">
        <f t="shared" si="205"/>
        <v>Kelli Ramirez</v>
      </c>
      <c r="D578" t="s">
        <v>24</v>
      </c>
      <c r="E578" t="str">
        <f t="shared" si="206"/>
        <v>Female</v>
      </c>
      <c r="F578">
        <v>28</v>
      </c>
      <c r="G578" t="s">
        <v>102</v>
      </c>
      <c r="H578" t="s">
        <v>103</v>
      </c>
      <c r="I578" t="s">
        <v>20</v>
      </c>
      <c r="J578">
        <v>2</v>
      </c>
      <c r="K578" t="str" cm="1">
        <f t="array" ref="K578">_xlfn.IFS( J578&lt;=5,"0-5", J578&lt;=10,"6-10",J578&lt;=15,"11-15",J578&lt;=20,"16-20",J578&gt;20,"20+")</f>
        <v>0-5</v>
      </c>
      <c r="L578" t="s">
        <v>88</v>
      </c>
      <c r="M578" t="str">
        <f t="shared" ref="M578:M579" si="221">_xlfn.TEXTAFTER(L578, " ")</f>
        <v>50</v>
      </c>
      <c r="O578">
        <v>1</v>
      </c>
      <c r="Q578" s="1">
        <v>0.85</v>
      </c>
      <c r="R578" s="1">
        <f t="shared" si="220"/>
        <v>0.85</v>
      </c>
    </row>
    <row r="579" spans="1:18" x14ac:dyDescent="0.2">
      <c r="A579" t="s">
        <v>1226</v>
      </c>
      <c r="B579" t="s">
        <v>1227</v>
      </c>
      <c r="C579" t="str">
        <f t="shared" si="205"/>
        <v>Deborah Torres</v>
      </c>
      <c r="D579" t="s">
        <v>24</v>
      </c>
      <c r="E579" t="str">
        <f t="shared" si="206"/>
        <v>Female</v>
      </c>
      <c r="F579">
        <v>43</v>
      </c>
      <c r="G579" t="s">
        <v>39</v>
      </c>
      <c r="H579" t="s">
        <v>40</v>
      </c>
      <c r="I579" t="s">
        <v>25</v>
      </c>
      <c r="J579">
        <v>20</v>
      </c>
      <c r="K579" t="str" cm="1">
        <f t="array" ref="K579">_xlfn.IFS( J579&lt;=5,"0-5", J579&lt;=10,"6-10",J579&lt;=15,"11-15",J579&lt;=20,"16-20",J579&gt;20,"20+")</f>
        <v>16-20</v>
      </c>
      <c r="L579" t="s">
        <v>99</v>
      </c>
      <c r="M579" t="str">
        <f t="shared" si="221"/>
        <v>30</v>
      </c>
      <c r="N579">
        <v>2.7</v>
      </c>
      <c r="O579" t="b">
        <v>0</v>
      </c>
      <c r="Q579" s="1">
        <v>0.72</v>
      </c>
      <c r="R579" s="1">
        <f t="shared" si="220"/>
        <v>0.72</v>
      </c>
    </row>
    <row r="580" spans="1:18" x14ac:dyDescent="0.2">
      <c r="A580" t="s">
        <v>1228</v>
      </c>
      <c r="B580" t="s">
        <v>1229</v>
      </c>
      <c r="C580" t="str">
        <f t="shared" si="205"/>
        <v>Joseph Horn</v>
      </c>
      <c r="D580" t="s">
        <v>51</v>
      </c>
      <c r="E580" t="str">
        <f t="shared" si="206"/>
        <v>Male</v>
      </c>
      <c r="F580">
        <v>41</v>
      </c>
      <c r="G580" t="s">
        <v>125</v>
      </c>
      <c r="H580" t="s">
        <v>126</v>
      </c>
      <c r="I580" t="s">
        <v>25</v>
      </c>
      <c r="J580">
        <v>11</v>
      </c>
      <c r="K580" t="str" cm="1">
        <f t="array" ref="K580">_xlfn.IFS( J580&lt;=5,"0-5", J580&lt;=10,"6-10",J580&lt;=15,"11-15",J580&lt;=20,"16-20",J580&gt;20,"20+")</f>
        <v>11-15</v>
      </c>
      <c r="L580" t="s">
        <v>111</v>
      </c>
      <c r="M580" t="str">
        <f t="shared" ref="M580:M581" si="222">SUBSTITUTE(L580,"$"," ")</f>
        <v xml:space="preserve"> 20</v>
      </c>
      <c r="N580">
        <v>4.7</v>
      </c>
      <c r="Q580" s="1">
        <v>0.69</v>
      </c>
      <c r="R580" s="1">
        <f t="shared" si="220"/>
        <v>0.69</v>
      </c>
    </row>
    <row r="581" spans="1:18" x14ac:dyDescent="0.2">
      <c r="A581" t="s">
        <v>1230</v>
      </c>
      <c r="B581" t="s">
        <v>1231</v>
      </c>
      <c r="C581" t="str">
        <f t="shared" si="205"/>
        <v>Christopher Robinson</v>
      </c>
      <c r="D581" t="s">
        <v>17</v>
      </c>
      <c r="E581" t="str">
        <f t="shared" si="206"/>
        <v>Male</v>
      </c>
      <c r="F581">
        <v>41</v>
      </c>
      <c r="G581" t="s">
        <v>57</v>
      </c>
      <c r="H581" t="s">
        <v>12</v>
      </c>
      <c r="I581" t="s">
        <v>79</v>
      </c>
      <c r="J581">
        <v>0</v>
      </c>
      <c r="K581" t="str" cm="1">
        <f t="array" ref="K581">_xlfn.IFS( J581&lt;=5,"0-5", J581&lt;=10,"6-10",J581&lt;=15,"11-15",J581&lt;=20,"16-20",J581&gt;20,"20+")</f>
        <v>0-5</v>
      </c>
      <c r="L581" t="s">
        <v>111</v>
      </c>
      <c r="M581" t="str">
        <f t="shared" si="222"/>
        <v xml:space="preserve"> 20</v>
      </c>
      <c r="N581">
        <v>3.1</v>
      </c>
      <c r="O581">
        <v>0</v>
      </c>
      <c r="Q581">
        <v>90</v>
      </c>
      <c r="R581" s="3">
        <f>Q581/100</f>
        <v>0.9</v>
      </c>
    </row>
    <row r="582" spans="1:18" x14ac:dyDescent="0.2">
      <c r="A582" t="s">
        <v>1232</v>
      </c>
      <c r="B582" t="s">
        <v>1233</v>
      </c>
      <c r="C582" t="str">
        <f t="shared" si="205"/>
        <v>Sandra Mccormick</v>
      </c>
      <c r="D582" t="s">
        <v>24</v>
      </c>
      <c r="E582" t="str">
        <f t="shared" si="206"/>
        <v>Female</v>
      </c>
      <c r="F582">
        <v>40</v>
      </c>
      <c r="G582" t="s">
        <v>57</v>
      </c>
      <c r="H582" t="s">
        <v>12</v>
      </c>
      <c r="I582" t="s">
        <v>13</v>
      </c>
      <c r="J582">
        <v>20</v>
      </c>
      <c r="K582" t="str" cm="1">
        <f t="array" ref="K582">_xlfn.IFS( J582&lt;=5,"0-5", J582&lt;=10,"6-10",J582&lt;=15,"11-15",J582&lt;=20,"16-20",J582&gt;20,"20+")</f>
        <v>16-20</v>
      </c>
      <c r="L582">
        <v>20</v>
      </c>
      <c r="M582" s="2">
        <f>L582</f>
        <v>20</v>
      </c>
      <c r="N582">
        <v>2.2999999999999998</v>
      </c>
      <c r="O582">
        <v>0</v>
      </c>
      <c r="P582" t="s">
        <v>2074</v>
      </c>
      <c r="Q582" s="1">
        <v>0.92</v>
      </c>
      <c r="R582" s="1">
        <f t="shared" ref="R582:R583" si="223">Q582</f>
        <v>0.92</v>
      </c>
    </row>
    <row r="583" spans="1:18" x14ac:dyDescent="0.2">
      <c r="A583" t="s">
        <v>1234</v>
      </c>
      <c r="B583" t="s">
        <v>1235</v>
      </c>
      <c r="C583" t="str">
        <f t="shared" si="205"/>
        <v>Michael Holland</v>
      </c>
      <c r="D583" t="s">
        <v>87</v>
      </c>
      <c r="E583" t="str">
        <f t="shared" si="206"/>
        <v>Male</v>
      </c>
      <c r="F583">
        <v>45</v>
      </c>
      <c r="G583" t="s">
        <v>18</v>
      </c>
      <c r="H583" t="s">
        <v>19</v>
      </c>
      <c r="I583" t="s">
        <v>79</v>
      </c>
      <c r="J583">
        <v>3</v>
      </c>
      <c r="K583" t="str" cm="1">
        <f t="array" ref="K583">_xlfn.IFS( J583&lt;=5,"0-5", J583&lt;=10,"6-10",J583&lt;=15,"11-15",J583&lt;=20,"16-20",J583&gt;20,"20+")</f>
        <v>0-5</v>
      </c>
      <c r="L583" t="s">
        <v>304</v>
      </c>
      <c r="M583" t="str">
        <f t="shared" ref="M583:M584" si="224">_xlfn.TEXTAFTER(L583, " ")</f>
        <v>20</v>
      </c>
      <c r="N583">
        <v>1.3</v>
      </c>
      <c r="O583" t="s">
        <v>64</v>
      </c>
      <c r="Q583" s="1">
        <v>0.91</v>
      </c>
      <c r="R583" s="1">
        <f t="shared" si="223"/>
        <v>0.91</v>
      </c>
    </row>
    <row r="584" spans="1:18" x14ac:dyDescent="0.2">
      <c r="A584" t="s">
        <v>1236</v>
      </c>
      <c r="B584" t="s">
        <v>1237</v>
      </c>
      <c r="C584" t="str">
        <f t="shared" si="205"/>
        <v>Kenneth Stevenson</v>
      </c>
      <c r="D584" t="s">
        <v>51</v>
      </c>
      <c r="E584" t="str">
        <f t="shared" si="206"/>
        <v>Male</v>
      </c>
      <c r="F584">
        <v>47</v>
      </c>
      <c r="G584" t="s">
        <v>129</v>
      </c>
      <c r="H584" t="s">
        <v>130</v>
      </c>
      <c r="I584" t="s">
        <v>79</v>
      </c>
      <c r="J584">
        <v>28</v>
      </c>
      <c r="K584" t="str" cm="1">
        <f t="array" ref="K584">_xlfn.IFS( J584&lt;=5,"0-5", J584&lt;=10,"6-10",J584&lt;=15,"11-15",J584&lt;=20,"16-20",J584&gt;20,"20+")</f>
        <v>20+</v>
      </c>
      <c r="L584" t="s">
        <v>88</v>
      </c>
      <c r="M584" t="str">
        <f t="shared" si="224"/>
        <v>50</v>
      </c>
      <c r="N584">
        <v>2.9</v>
      </c>
      <c r="O584" t="b">
        <v>1</v>
      </c>
    </row>
    <row r="585" spans="1:18" x14ac:dyDescent="0.2">
      <c r="A585" t="s">
        <v>1238</v>
      </c>
      <c r="B585" t="s">
        <v>1239</v>
      </c>
      <c r="C585" t="str">
        <f t="shared" si="205"/>
        <v>Timothy Bennett</v>
      </c>
      <c r="D585" t="s">
        <v>38</v>
      </c>
      <c r="E585" t="str">
        <f t="shared" si="206"/>
        <v>Male</v>
      </c>
      <c r="F585">
        <v>34</v>
      </c>
      <c r="G585" t="s">
        <v>83</v>
      </c>
      <c r="H585" t="s">
        <v>84</v>
      </c>
      <c r="I585" t="s">
        <v>41</v>
      </c>
      <c r="J585">
        <v>0</v>
      </c>
      <c r="K585" t="str" cm="1">
        <f t="array" ref="K585">_xlfn.IFS( J585&lt;=5,"0-5", J585&lt;=10,"6-10",J585&lt;=15,"11-15",J585&lt;=20,"16-20",J585&gt;20,"20+")</f>
        <v>0-5</v>
      </c>
      <c r="L585">
        <v>40</v>
      </c>
      <c r="M585" s="2">
        <f>L585</f>
        <v>40</v>
      </c>
      <c r="N585">
        <v>3.3</v>
      </c>
      <c r="O585">
        <v>0</v>
      </c>
      <c r="P585" t="s">
        <v>2074</v>
      </c>
      <c r="Q585" s="1">
        <v>0.98</v>
      </c>
      <c r="R585" s="1">
        <f t="shared" ref="R585:R587" si="225">Q585</f>
        <v>0.98</v>
      </c>
    </row>
    <row r="586" spans="1:18" x14ac:dyDescent="0.2">
      <c r="A586" t="s">
        <v>1240</v>
      </c>
      <c r="B586" t="s">
        <v>1241</v>
      </c>
      <c r="C586" t="str">
        <f t="shared" si="205"/>
        <v>Gregory Randall</v>
      </c>
      <c r="D586" t="s">
        <v>82</v>
      </c>
      <c r="E586" t="str">
        <f t="shared" si="206"/>
        <v>Male</v>
      </c>
      <c r="F586">
        <v>47</v>
      </c>
      <c r="G586" t="s">
        <v>48</v>
      </c>
      <c r="H586" t="s">
        <v>12</v>
      </c>
      <c r="I586" t="s">
        <v>63</v>
      </c>
      <c r="J586">
        <v>4</v>
      </c>
      <c r="K586" t="str" cm="1">
        <f t="array" ref="K586">_xlfn.IFS( J586&lt;=5,"0-5", J586&lt;=10,"6-10",J586&lt;=15,"11-15",J586&lt;=20,"16-20",J586&gt;20,"20+")</f>
        <v>0-5</v>
      </c>
      <c r="L586" t="s">
        <v>304</v>
      </c>
      <c r="M586" t="str">
        <f t="shared" ref="M586:M587" si="226">_xlfn.TEXTAFTER(L586, " ")</f>
        <v>20</v>
      </c>
      <c r="N586">
        <v>4.2</v>
      </c>
      <c r="Q586" s="1">
        <v>0.82</v>
      </c>
      <c r="R586" s="1">
        <f t="shared" si="225"/>
        <v>0.82</v>
      </c>
    </row>
    <row r="587" spans="1:18" x14ac:dyDescent="0.2">
      <c r="A587" t="s">
        <v>1242</v>
      </c>
      <c r="B587" t="s">
        <v>1243</v>
      </c>
      <c r="C587" t="str">
        <f t="shared" si="205"/>
        <v>Charles Martinez</v>
      </c>
      <c r="D587" t="s">
        <v>82</v>
      </c>
      <c r="E587" t="str">
        <f t="shared" si="206"/>
        <v>Male</v>
      </c>
      <c r="F587">
        <v>32</v>
      </c>
      <c r="G587" t="s">
        <v>169</v>
      </c>
      <c r="H587" t="s">
        <v>62</v>
      </c>
      <c r="I587" t="s">
        <v>63</v>
      </c>
      <c r="J587">
        <v>9</v>
      </c>
      <c r="K587" t="str" cm="1">
        <f t="array" ref="K587">_xlfn.IFS( J587&lt;=5,"0-5", J587&lt;=10,"6-10",J587&lt;=15,"11-15",J587&lt;=20,"16-20",J587&gt;20,"20+")</f>
        <v>6-10</v>
      </c>
      <c r="L587" t="s">
        <v>45</v>
      </c>
      <c r="M587" t="str">
        <f t="shared" si="226"/>
        <v>40</v>
      </c>
      <c r="N587">
        <v>1.3</v>
      </c>
      <c r="O587" t="b">
        <v>1</v>
      </c>
      <c r="Q587" s="1">
        <v>0.83</v>
      </c>
      <c r="R587" s="1">
        <f t="shared" si="225"/>
        <v>0.83</v>
      </c>
    </row>
    <row r="588" spans="1:18" x14ac:dyDescent="0.2">
      <c r="A588" t="s">
        <v>1244</v>
      </c>
      <c r="B588" t="s">
        <v>1245</v>
      </c>
      <c r="C588" t="str">
        <f t="shared" si="205"/>
        <v>James Hall</v>
      </c>
      <c r="D588" t="s">
        <v>82</v>
      </c>
      <c r="E588" t="str">
        <f t="shared" si="206"/>
        <v>Male</v>
      </c>
      <c r="F588">
        <v>28</v>
      </c>
      <c r="G588" t="s">
        <v>57</v>
      </c>
      <c r="H588" t="s">
        <v>12</v>
      </c>
      <c r="I588" t="s">
        <v>13</v>
      </c>
      <c r="J588">
        <v>2</v>
      </c>
      <c r="K588" t="str" cm="1">
        <f t="array" ref="K588">_xlfn.IFS( J588&lt;=5,"0-5", J588&lt;=10,"6-10",J588&lt;=15,"11-15",J588&lt;=20,"16-20",J588&gt;20,"20+")</f>
        <v>0-5</v>
      </c>
      <c r="L588" t="s">
        <v>219</v>
      </c>
      <c r="M588" t="str">
        <f>SUBSTITUTE(L588,"$"," ")</f>
        <v xml:space="preserve"> 100</v>
      </c>
      <c r="N588">
        <v>4.4000000000000004</v>
      </c>
      <c r="O588" t="b">
        <v>1</v>
      </c>
    </row>
    <row r="589" spans="1:18" x14ac:dyDescent="0.2">
      <c r="A589" t="s">
        <v>1246</v>
      </c>
      <c r="B589" t="s">
        <v>1247</v>
      </c>
      <c r="C589" t="str">
        <f t="shared" si="205"/>
        <v>Michael Garcia</v>
      </c>
      <c r="D589" t="s">
        <v>38</v>
      </c>
      <c r="E589" t="str">
        <f t="shared" si="206"/>
        <v>Male</v>
      </c>
      <c r="F589">
        <v>32</v>
      </c>
      <c r="G589" t="s">
        <v>11</v>
      </c>
      <c r="H589" t="s">
        <v>12</v>
      </c>
      <c r="I589" t="s">
        <v>79</v>
      </c>
      <c r="J589">
        <v>1</v>
      </c>
      <c r="K589" t="str" cm="1">
        <f t="array" ref="K589">_xlfn.IFS( J589&lt;=5,"0-5", J589&lt;=10,"6-10",J589&lt;=15,"11-15",J589&lt;=20,"16-20",J589&gt;20,"20+")</f>
        <v>0-5</v>
      </c>
      <c r="L589">
        <v>100</v>
      </c>
      <c r="M589" s="2">
        <f>L589</f>
        <v>100</v>
      </c>
      <c r="N589">
        <v>3.4</v>
      </c>
      <c r="O589" t="b">
        <v>1</v>
      </c>
      <c r="P589" t="s">
        <v>2075</v>
      </c>
    </row>
    <row r="590" spans="1:18" x14ac:dyDescent="0.2">
      <c r="A590" t="s">
        <v>1248</v>
      </c>
      <c r="B590" t="s">
        <v>1249</v>
      </c>
      <c r="C590" t="str">
        <f t="shared" si="205"/>
        <v>Michele Duran</v>
      </c>
      <c r="D590" t="s">
        <v>24</v>
      </c>
      <c r="E590" t="str">
        <f t="shared" si="206"/>
        <v>Female</v>
      </c>
      <c r="F590">
        <v>49</v>
      </c>
      <c r="G590" t="s">
        <v>32</v>
      </c>
      <c r="H590" t="s">
        <v>33</v>
      </c>
      <c r="I590" t="s">
        <v>34</v>
      </c>
      <c r="J590">
        <v>2</v>
      </c>
      <c r="K590" t="str" cm="1">
        <f t="array" ref="K590">_xlfn.IFS( J590&lt;=5,"0-5", J590&lt;=10,"6-10",J590&lt;=15,"11-15",J590&lt;=20,"16-20",J590&gt;20,"20+")</f>
        <v>0-5</v>
      </c>
      <c r="L590" t="s">
        <v>219</v>
      </c>
      <c r="M590" t="str">
        <f>SUBSTITUTE(L590,"$"," ")</f>
        <v xml:space="preserve"> 100</v>
      </c>
      <c r="N590">
        <v>3.4</v>
      </c>
      <c r="O590">
        <v>1</v>
      </c>
      <c r="Q590" s="1">
        <v>0.85</v>
      </c>
      <c r="R590" s="1">
        <f>Q590</f>
        <v>0.85</v>
      </c>
    </row>
    <row r="591" spans="1:18" x14ac:dyDescent="0.2">
      <c r="A591" t="s">
        <v>1250</v>
      </c>
      <c r="B591" t="s">
        <v>1251</v>
      </c>
      <c r="C591" t="str">
        <f t="shared" si="205"/>
        <v>Jessica Gray</v>
      </c>
      <c r="D591" t="s">
        <v>4</v>
      </c>
      <c r="E591" t="str">
        <f t="shared" si="206"/>
        <v>Female</v>
      </c>
      <c r="F591">
        <v>36</v>
      </c>
      <c r="G591" t="s">
        <v>61</v>
      </c>
      <c r="H591" t="s">
        <v>62</v>
      </c>
      <c r="I591" t="s">
        <v>13</v>
      </c>
      <c r="J591">
        <v>16</v>
      </c>
      <c r="K591" t="str" cm="1">
        <f t="array" ref="K591">_xlfn.IFS( J591&lt;=5,"0-5", J591&lt;=10,"6-10",J591&lt;=15,"11-15",J591&lt;=20,"16-20",J591&gt;20,"20+")</f>
        <v>16-20</v>
      </c>
      <c r="L591" t="s">
        <v>304</v>
      </c>
      <c r="M591" t="str">
        <f t="shared" ref="M591:M592" si="227">_xlfn.TEXTAFTER(L591, " ")</f>
        <v>20</v>
      </c>
      <c r="N591">
        <v>3.2</v>
      </c>
    </row>
    <row r="592" spans="1:18" x14ac:dyDescent="0.2">
      <c r="A592" t="s">
        <v>1252</v>
      </c>
      <c r="B592" t="s">
        <v>1253</v>
      </c>
      <c r="C592" t="str">
        <f t="shared" ref="C592:C601" si="228">B592</f>
        <v>Keith Shaffer</v>
      </c>
      <c r="D592" t="s">
        <v>82</v>
      </c>
      <c r="E592" t="str">
        <f t="shared" ref="E592:E601" si="229">IF(LOWER(LEFT(D592,1)) ="f", "Female", "Male")</f>
        <v>Male</v>
      </c>
      <c r="F592">
        <v>59</v>
      </c>
      <c r="G592" t="s">
        <v>169</v>
      </c>
      <c r="H592" t="s">
        <v>62</v>
      </c>
      <c r="I592" t="s">
        <v>7</v>
      </c>
      <c r="J592">
        <v>22</v>
      </c>
      <c r="K592" t="str" cm="1">
        <f t="array" ref="K592">_xlfn.IFS( J592&lt;=5,"0-5", J592&lt;=10,"6-10",J592&lt;=15,"11-15",J592&lt;=20,"16-20",J592&gt;20,"20+")</f>
        <v>20+</v>
      </c>
      <c r="L592" t="s">
        <v>304</v>
      </c>
      <c r="M592" t="str">
        <f t="shared" si="227"/>
        <v>20</v>
      </c>
      <c r="N592">
        <v>3.6</v>
      </c>
      <c r="O592" t="s">
        <v>21</v>
      </c>
      <c r="Q592" s="1">
        <v>0.63</v>
      </c>
      <c r="R592" s="1">
        <f>Q592</f>
        <v>0.63</v>
      </c>
    </row>
    <row r="593" spans="1:18" x14ac:dyDescent="0.2">
      <c r="A593" t="s">
        <v>1254</v>
      </c>
      <c r="B593" t="s">
        <v>1255</v>
      </c>
      <c r="C593" t="str">
        <f t="shared" si="228"/>
        <v>Jessica Decker</v>
      </c>
      <c r="D593" t="s">
        <v>29</v>
      </c>
      <c r="E593" t="str">
        <f t="shared" si="229"/>
        <v>Female</v>
      </c>
      <c r="F593">
        <v>52</v>
      </c>
      <c r="G593" t="s">
        <v>118</v>
      </c>
      <c r="H593" t="s">
        <v>12</v>
      </c>
      <c r="I593" t="s">
        <v>68</v>
      </c>
      <c r="J593">
        <v>22</v>
      </c>
      <c r="K593" t="str" cm="1">
        <f t="array" ref="K593">_xlfn.IFS( J593&lt;=5,"0-5", J593&lt;=10,"6-10",J593&lt;=15,"11-15",J593&lt;=20,"16-20",J593&gt;20,"20+")</f>
        <v>20+</v>
      </c>
      <c r="L593" t="s">
        <v>111</v>
      </c>
      <c r="M593" t="str">
        <f>SUBSTITUTE(L593,"$"," ")</f>
        <v xml:space="preserve"> 20</v>
      </c>
      <c r="N593">
        <v>0</v>
      </c>
      <c r="O593">
        <v>0</v>
      </c>
    </row>
    <row r="594" spans="1:18" x14ac:dyDescent="0.2">
      <c r="A594" t="s">
        <v>1256</v>
      </c>
      <c r="B594" t="s">
        <v>1257</v>
      </c>
      <c r="C594" t="str">
        <f t="shared" si="228"/>
        <v>Brianna Pittman</v>
      </c>
      <c r="D594" t="s">
        <v>29</v>
      </c>
      <c r="E594" t="str">
        <f t="shared" si="229"/>
        <v>Female</v>
      </c>
      <c r="F594">
        <v>24</v>
      </c>
      <c r="G594" t="s">
        <v>165</v>
      </c>
      <c r="H594" t="s">
        <v>166</v>
      </c>
      <c r="I594" t="s">
        <v>7</v>
      </c>
      <c r="J594">
        <v>5</v>
      </c>
      <c r="K594" t="str" cm="1">
        <f t="array" ref="K594">_xlfn.IFS( J594&lt;=5,"0-5", J594&lt;=10,"6-10",J594&lt;=15,"11-15",J594&lt;=20,"16-20",J594&gt;20,"20+")</f>
        <v>0-5</v>
      </c>
      <c r="L594">
        <v>40</v>
      </c>
      <c r="M594" s="2">
        <f>L594</f>
        <v>40</v>
      </c>
      <c r="N594">
        <v>1.8</v>
      </c>
      <c r="O594">
        <v>1</v>
      </c>
      <c r="P594" t="s">
        <v>2075</v>
      </c>
      <c r="Q594" s="1">
        <v>0.86</v>
      </c>
      <c r="R594" s="1">
        <f>Q594</f>
        <v>0.86</v>
      </c>
    </row>
    <row r="595" spans="1:18" x14ac:dyDescent="0.2">
      <c r="A595" t="s">
        <v>1258</v>
      </c>
      <c r="B595" t="s">
        <v>1259</v>
      </c>
      <c r="C595" t="str">
        <f t="shared" si="228"/>
        <v>Kimberly Hunter</v>
      </c>
      <c r="D595" t="s">
        <v>10</v>
      </c>
      <c r="E595" t="str">
        <f t="shared" si="229"/>
        <v>Female</v>
      </c>
      <c r="F595">
        <v>26</v>
      </c>
      <c r="G595" t="s">
        <v>11</v>
      </c>
      <c r="H595" t="s">
        <v>12</v>
      </c>
      <c r="I595" t="s">
        <v>20</v>
      </c>
      <c r="J595">
        <v>2</v>
      </c>
      <c r="K595" t="str" cm="1">
        <f t="array" ref="K595">_xlfn.IFS( J595&lt;=5,"0-5", J595&lt;=10,"6-10",J595&lt;=15,"11-15",J595&lt;=20,"16-20",J595&gt;20,"20+")</f>
        <v>0-5</v>
      </c>
      <c r="L595" t="s">
        <v>42</v>
      </c>
      <c r="M595" t="str">
        <f>_xlfn.TEXTAFTER(L595, " ")</f>
        <v>75</v>
      </c>
      <c r="N595">
        <v>2.5</v>
      </c>
      <c r="O595" t="s">
        <v>58</v>
      </c>
      <c r="Q595">
        <v>60</v>
      </c>
      <c r="R595" s="3">
        <f t="shared" ref="R595:R596" si="230">Q595/100</f>
        <v>0.6</v>
      </c>
    </row>
    <row r="596" spans="1:18" x14ac:dyDescent="0.2">
      <c r="A596" t="s">
        <v>1260</v>
      </c>
      <c r="B596" t="s">
        <v>1261</v>
      </c>
      <c r="C596" t="str">
        <f t="shared" si="228"/>
        <v>Daniel Martin</v>
      </c>
      <c r="D596" t="s">
        <v>82</v>
      </c>
      <c r="E596" t="str">
        <f t="shared" si="229"/>
        <v>Male</v>
      </c>
      <c r="F596">
        <v>55</v>
      </c>
      <c r="G596" t="s">
        <v>118</v>
      </c>
      <c r="H596" t="s">
        <v>12</v>
      </c>
      <c r="I596" t="s">
        <v>68</v>
      </c>
      <c r="J596">
        <v>24</v>
      </c>
      <c r="K596" t="str" cm="1">
        <f t="array" ref="K596">_xlfn.IFS( J596&lt;=5,"0-5", J596&lt;=10,"6-10",J596&lt;=15,"11-15",J596&lt;=20,"16-20",J596&gt;20,"20+")</f>
        <v>20+</v>
      </c>
      <c r="L596">
        <v>40</v>
      </c>
      <c r="M596" s="2">
        <f t="shared" ref="M596:M597" si="231">L596</f>
        <v>40</v>
      </c>
      <c r="N596">
        <v>2</v>
      </c>
      <c r="O596">
        <v>1</v>
      </c>
      <c r="P596" t="s">
        <v>2075</v>
      </c>
      <c r="Q596">
        <v>88</v>
      </c>
      <c r="R596" s="3">
        <f t="shared" si="230"/>
        <v>0.88</v>
      </c>
    </row>
    <row r="597" spans="1:18" x14ac:dyDescent="0.2">
      <c r="A597" t="s">
        <v>1262</v>
      </c>
      <c r="B597" t="s">
        <v>1263</v>
      </c>
      <c r="C597" t="str">
        <f t="shared" si="228"/>
        <v>Rachel Smith</v>
      </c>
      <c r="D597" t="s">
        <v>10</v>
      </c>
      <c r="E597" t="str">
        <f t="shared" si="229"/>
        <v>Female</v>
      </c>
      <c r="F597">
        <v>56</v>
      </c>
      <c r="G597" t="s">
        <v>5</v>
      </c>
      <c r="H597" t="s">
        <v>6</v>
      </c>
      <c r="I597" t="s">
        <v>13</v>
      </c>
      <c r="J597">
        <v>37</v>
      </c>
      <c r="K597" t="str" cm="1">
        <f t="array" ref="K597">_xlfn.IFS( J597&lt;=5,"0-5", J597&lt;=10,"6-10",J597&lt;=15,"11-15",J597&lt;=20,"16-20",J597&gt;20,"20+")</f>
        <v>20+</v>
      </c>
      <c r="L597">
        <v>40</v>
      </c>
      <c r="M597" s="2">
        <f t="shared" si="231"/>
        <v>40</v>
      </c>
      <c r="N597">
        <v>0</v>
      </c>
      <c r="O597" t="s">
        <v>21</v>
      </c>
      <c r="P597" t="s">
        <v>2074</v>
      </c>
      <c r="Q597" s="1">
        <v>0.7</v>
      </c>
      <c r="R597" s="1">
        <f t="shared" ref="R597:R599" si="232">Q597</f>
        <v>0.7</v>
      </c>
    </row>
    <row r="598" spans="1:18" x14ac:dyDescent="0.2">
      <c r="A598" t="s">
        <v>1264</v>
      </c>
      <c r="B598" t="s">
        <v>1265</v>
      </c>
      <c r="C598" t="str">
        <f t="shared" si="228"/>
        <v>Michael Miller</v>
      </c>
      <c r="D598" t="s">
        <v>38</v>
      </c>
      <c r="E598" t="str">
        <f t="shared" si="229"/>
        <v>Male</v>
      </c>
      <c r="F598">
        <v>36</v>
      </c>
      <c r="G598" t="s">
        <v>125</v>
      </c>
      <c r="H598" t="s">
        <v>126</v>
      </c>
      <c r="I598" t="s">
        <v>20</v>
      </c>
      <c r="J598">
        <v>3</v>
      </c>
      <c r="K598" t="str" cm="1">
        <f t="array" ref="K598">_xlfn.IFS( J598&lt;=5,"0-5", J598&lt;=10,"6-10",J598&lt;=15,"11-15",J598&lt;=20,"16-20",J598&gt;20,"20+")</f>
        <v>0-5</v>
      </c>
      <c r="L598" t="s">
        <v>88</v>
      </c>
      <c r="M598" t="str">
        <f>_xlfn.TEXTAFTER(L598, " ")</f>
        <v>50</v>
      </c>
      <c r="N598">
        <v>1.3</v>
      </c>
      <c r="O598">
        <v>1</v>
      </c>
      <c r="Q598" s="1">
        <v>0.77</v>
      </c>
      <c r="R598" s="1">
        <f t="shared" si="232"/>
        <v>0.77</v>
      </c>
    </row>
    <row r="599" spans="1:18" x14ac:dyDescent="0.2">
      <c r="A599" t="s">
        <v>1266</v>
      </c>
      <c r="B599" t="s">
        <v>1267</v>
      </c>
      <c r="C599" t="str">
        <f t="shared" si="228"/>
        <v>Willie Clark</v>
      </c>
      <c r="D599" t="s">
        <v>82</v>
      </c>
      <c r="E599" t="str">
        <f t="shared" si="229"/>
        <v>Male</v>
      </c>
      <c r="F599">
        <v>48</v>
      </c>
      <c r="G599" t="s">
        <v>61</v>
      </c>
      <c r="H599" t="s">
        <v>62</v>
      </c>
      <c r="I599" t="s">
        <v>25</v>
      </c>
      <c r="J599">
        <v>18</v>
      </c>
      <c r="K599" t="str" cm="1">
        <f t="array" ref="K599">_xlfn.IFS( J599&lt;=5,"0-5", J599&lt;=10,"6-10",J599&lt;=15,"11-15",J599&lt;=20,"16-20",J599&gt;20,"20+")</f>
        <v>16-20</v>
      </c>
      <c r="L599">
        <v>75</v>
      </c>
      <c r="M599" s="2">
        <f>L599</f>
        <v>75</v>
      </c>
      <c r="N599">
        <v>0</v>
      </c>
      <c r="O599">
        <v>0</v>
      </c>
      <c r="P599" t="s">
        <v>2074</v>
      </c>
      <c r="Q599" s="1">
        <v>0.8</v>
      </c>
      <c r="R599" s="1">
        <f t="shared" si="232"/>
        <v>0.8</v>
      </c>
    </row>
    <row r="600" spans="1:18" x14ac:dyDescent="0.2">
      <c r="A600" t="s">
        <v>1268</v>
      </c>
      <c r="B600" t="s">
        <v>1269</v>
      </c>
      <c r="C600" t="str">
        <f t="shared" si="228"/>
        <v>Jeremy Hernandez</v>
      </c>
      <c r="D600" t="s">
        <v>87</v>
      </c>
      <c r="E600" t="str">
        <f t="shared" si="229"/>
        <v>Male</v>
      </c>
      <c r="F600">
        <v>55</v>
      </c>
      <c r="G600" t="s">
        <v>129</v>
      </c>
      <c r="H600" t="s">
        <v>130</v>
      </c>
      <c r="I600" t="s">
        <v>104</v>
      </c>
      <c r="J600">
        <v>6</v>
      </c>
      <c r="K600" t="str" cm="1">
        <f t="array" ref="K600">_xlfn.IFS( J600&lt;=5,"0-5", J600&lt;=10,"6-10",J600&lt;=15,"11-15",J600&lt;=20,"16-20",J600&gt;20,"20+")</f>
        <v>6-10</v>
      </c>
      <c r="L600" t="s">
        <v>26</v>
      </c>
      <c r="M600" t="str">
        <f>SUBSTITUTE(L600,"$"," ")</f>
        <v xml:space="preserve"> 40</v>
      </c>
      <c r="N600">
        <v>3.6</v>
      </c>
      <c r="O600" t="s">
        <v>64</v>
      </c>
    </row>
    <row r="601" spans="1:18" x14ac:dyDescent="0.2">
      <c r="A601" t="s">
        <v>1270</v>
      </c>
      <c r="B601" t="s">
        <v>1271</v>
      </c>
      <c r="C601" t="str">
        <f t="shared" si="228"/>
        <v>Tina Shelton</v>
      </c>
      <c r="D601" t="s">
        <v>29</v>
      </c>
      <c r="E601" t="str">
        <f t="shared" si="229"/>
        <v>Female</v>
      </c>
      <c r="F601">
        <v>56</v>
      </c>
      <c r="G601" t="s">
        <v>180</v>
      </c>
      <c r="H601" t="s">
        <v>62</v>
      </c>
      <c r="I601" t="s">
        <v>79</v>
      </c>
      <c r="J601">
        <v>17</v>
      </c>
      <c r="K601" t="str" cm="1">
        <f t="array" ref="K601">_xlfn.IFS( J601&lt;=5,"0-5", J601&lt;=10,"6-10",J601&lt;=15,"11-15",J601&lt;=20,"16-20",J601&gt;20,"20+")</f>
        <v>16-20</v>
      </c>
      <c r="M601"/>
      <c r="N601">
        <v>1.3</v>
      </c>
      <c r="Q601" s="1">
        <v>0.87</v>
      </c>
      <c r="R601" s="1">
        <f t="shared" ref="R601:R602" si="233">Q601</f>
        <v>0.87</v>
      </c>
    </row>
    <row r="602" spans="1:18" x14ac:dyDescent="0.2">
      <c r="A602" t="s">
        <v>1272</v>
      </c>
      <c r="B602" t="s">
        <v>1273</v>
      </c>
      <c r="C602" t="str">
        <f>_xlfn.TEXTAFTER(B602,".",)</f>
        <v xml:space="preserve"> Pamela Larson</v>
      </c>
      <c r="D602" t="s">
        <v>67</v>
      </c>
      <c r="F602">
        <v>28</v>
      </c>
      <c r="G602" t="s">
        <v>118</v>
      </c>
      <c r="H602" t="s">
        <v>12</v>
      </c>
      <c r="I602" t="s">
        <v>7</v>
      </c>
      <c r="J602">
        <v>1</v>
      </c>
      <c r="K602" t="str" cm="1">
        <f t="array" ref="K602">_xlfn.IFS( J602&lt;=5,"0-5", J602&lt;=10,"6-10",J602&lt;=15,"11-15",J602&lt;=20,"16-20",J602&gt;20,"20+")</f>
        <v>0-5</v>
      </c>
      <c r="L602">
        <v>75</v>
      </c>
      <c r="M602" s="2">
        <f>L602</f>
        <v>75</v>
      </c>
      <c r="N602">
        <v>2.7</v>
      </c>
      <c r="O602" t="b">
        <v>1</v>
      </c>
      <c r="P602" t="s">
        <v>2075</v>
      </c>
      <c r="Q602" s="1">
        <v>0.93</v>
      </c>
      <c r="R602" s="1">
        <f t="shared" si="233"/>
        <v>0.93</v>
      </c>
    </row>
    <row r="603" spans="1:18" x14ac:dyDescent="0.2">
      <c r="A603" t="s">
        <v>1274</v>
      </c>
      <c r="B603" t="s">
        <v>1275</v>
      </c>
      <c r="C603" t="str">
        <f t="shared" ref="C603:C666" si="234">B603</f>
        <v>Ryan Ewing</v>
      </c>
      <c r="D603" t="s">
        <v>17</v>
      </c>
      <c r="E603" t="str">
        <f t="shared" ref="E603:E666" si="235">IF(LOWER(LEFT(D603,1)) ="f", "Female", "Male")</f>
        <v>Male</v>
      </c>
      <c r="F603">
        <v>60</v>
      </c>
      <c r="G603" t="s">
        <v>48</v>
      </c>
      <c r="H603" t="s">
        <v>12</v>
      </c>
      <c r="I603" t="s">
        <v>34</v>
      </c>
      <c r="J603">
        <v>39</v>
      </c>
      <c r="K603" t="str" cm="1">
        <f t="array" ref="K603">_xlfn.IFS( J603&lt;=5,"0-5", J603&lt;=10,"6-10",J603&lt;=15,"11-15",J603&lt;=20,"16-20",J603&gt;20,"20+")</f>
        <v>20+</v>
      </c>
      <c r="L603" t="s">
        <v>14</v>
      </c>
      <c r="M603" t="str">
        <f>_xlfn.TEXTAFTER(L603, " ")</f>
        <v>100</v>
      </c>
      <c r="N603">
        <v>1.5</v>
      </c>
      <c r="Q603">
        <v>88</v>
      </c>
      <c r="R603" s="3">
        <f>Q603/100</f>
        <v>0.88</v>
      </c>
    </row>
    <row r="604" spans="1:18" x14ac:dyDescent="0.2">
      <c r="A604" t="s">
        <v>1276</v>
      </c>
      <c r="B604" t="s">
        <v>1277</v>
      </c>
      <c r="C604" t="str">
        <f t="shared" si="234"/>
        <v>Mark Cochran</v>
      </c>
      <c r="D604" t="s">
        <v>17</v>
      </c>
      <c r="E604" t="str">
        <f t="shared" si="235"/>
        <v>Male</v>
      </c>
      <c r="F604">
        <v>34</v>
      </c>
      <c r="G604" t="s">
        <v>102</v>
      </c>
      <c r="H604" t="s">
        <v>103</v>
      </c>
      <c r="I604" t="s">
        <v>7</v>
      </c>
      <c r="J604">
        <v>15</v>
      </c>
      <c r="K604" t="str" cm="1">
        <f t="array" ref="K604">_xlfn.IFS( J604&lt;=5,"0-5", J604&lt;=10,"6-10",J604&lt;=15,"11-15",J604&lt;=20,"16-20",J604&gt;20,"20+")</f>
        <v>11-15</v>
      </c>
      <c r="L604">
        <v>20</v>
      </c>
      <c r="M604" s="2">
        <f>L604</f>
        <v>20</v>
      </c>
      <c r="N604">
        <v>0</v>
      </c>
      <c r="O604">
        <v>0</v>
      </c>
      <c r="P604" t="s">
        <v>2074</v>
      </c>
      <c r="Q604" s="1">
        <v>1</v>
      </c>
      <c r="R604" s="1">
        <f>Q604</f>
        <v>1</v>
      </c>
    </row>
    <row r="605" spans="1:18" x14ac:dyDescent="0.2">
      <c r="A605" t="s">
        <v>1278</v>
      </c>
      <c r="B605" t="s">
        <v>1279</v>
      </c>
      <c r="C605" t="str">
        <f t="shared" si="234"/>
        <v>Martha Carson</v>
      </c>
      <c r="D605" t="s">
        <v>29</v>
      </c>
      <c r="E605" t="str">
        <f t="shared" si="235"/>
        <v>Female</v>
      </c>
      <c r="F605">
        <v>38</v>
      </c>
      <c r="G605" t="s">
        <v>39</v>
      </c>
      <c r="H605" t="s">
        <v>40</v>
      </c>
      <c r="I605" t="s">
        <v>34</v>
      </c>
      <c r="J605">
        <v>13</v>
      </c>
      <c r="K605" t="str" cm="1">
        <f t="array" ref="K605">_xlfn.IFS( J605&lt;=5,"0-5", J605&lt;=10,"6-10",J605&lt;=15,"11-15",J605&lt;=20,"16-20",J605&gt;20,"20+")</f>
        <v>11-15</v>
      </c>
      <c r="L605" t="s">
        <v>26</v>
      </c>
      <c r="M605" t="str">
        <f>SUBSTITUTE(L605,"$"," ")</f>
        <v xml:space="preserve"> 40</v>
      </c>
      <c r="N605">
        <v>0</v>
      </c>
      <c r="O605">
        <v>1</v>
      </c>
      <c r="Q605">
        <v>61</v>
      </c>
      <c r="R605" s="3">
        <f>Q605/100</f>
        <v>0.61</v>
      </c>
    </row>
    <row r="606" spans="1:18" x14ac:dyDescent="0.2">
      <c r="A606" t="s">
        <v>1280</v>
      </c>
      <c r="B606" t="s">
        <v>1281</v>
      </c>
      <c r="C606" t="str">
        <f t="shared" si="234"/>
        <v>Heather Jackson</v>
      </c>
      <c r="D606" t="s">
        <v>10</v>
      </c>
      <c r="E606" t="str">
        <f t="shared" si="235"/>
        <v>Female</v>
      </c>
      <c r="F606">
        <v>51</v>
      </c>
      <c r="G606" t="s">
        <v>102</v>
      </c>
      <c r="H606" t="s">
        <v>103</v>
      </c>
      <c r="I606" t="s">
        <v>25</v>
      </c>
      <c r="J606">
        <v>17</v>
      </c>
      <c r="K606" t="str" cm="1">
        <f t="array" ref="K606">_xlfn.IFS( J606&lt;=5,"0-5", J606&lt;=10,"6-10",J606&lt;=15,"11-15",J606&lt;=20,"16-20",J606&gt;20,"20+")</f>
        <v>16-20</v>
      </c>
      <c r="L606">
        <v>100</v>
      </c>
      <c r="M606" s="2">
        <f t="shared" ref="M606:M607" si="236">L606</f>
        <v>100</v>
      </c>
      <c r="N606">
        <v>3</v>
      </c>
      <c r="O606" t="b">
        <v>0</v>
      </c>
      <c r="P606" t="s">
        <v>2074</v>
      </c>
      <c r="Q606" s="1">
        <v>0.79</v>
      </c>
      <c r="R606" s="1">
        <f t="shared" ref="R606:R608" si="237">Q606</f>
        <v>0.79</v>
      </c>
    </row>
    <row r="607" spans="1:18" x14ac:dyDescent="0.2">
      <c r="A607" t="s">
        <v>1282</v>
      </c>
      <c r="B607" t="s">
        <v>1283</v>
      </c>
      <c r="C607" t="str">
        <f t="shared" si="234"/>
        <v>Megan Young</v>
      </c>
      <c r="D607" t="s">
        <v>4</v>
      </c>
      <c r="E607" t="str">
        <f t="shared" si="235"/>
        <v>Female</v>
      </c>
      <c r="F607">
        <v>21</v>
      </c>
      <c r="G607" t="s">
        <v>75</v>
      </c>
      <c r="H607" t="s">
        <v>76</v>
      </c>
      <c r="I607" t="s">
        <v>13</v>
      </c>
      <c r="J607">
        <v>1</v>
      </c>
      <c r="K607" t="str" cm="1">
        <f t="array" ref="K607">_xlfn.IFS( J607&lt;=5,"0-5", J607&lt;=10,"6-10",J607&lt;=15,"11-15",J607&lt;=20,"16-20",J607&gt;20,"20+")</f>
        <v>0-5</v>
      </c>
      <c r="L607">
        <v>30</v>
      </c>
      <c r="M607" s="2">
        <f t="shared" si="236"/>
        <v>30</v>
      </c>
      <c r="N607">
        <v>1.2</v>
      </c>
      <c r="Q607" s="1">
        <v>0.73</v>
      </c>
      <c r="R607" s="1">
        <f t="shared" si="237"/>
        <v>0.73</v>
      </c>
    </row>
    <row r="608" spans="1:18" x14ac:dyDescent="0.2">
      <c r="A608" t="s">
        <v>1284</v>
      </c>
      <c r="B608" t="s">
        <v>1285</v>
      </c>
      <c r="C608" t="str">
        <f t="shared" si="234"/>
        <v>Thomas Davis</v>
      </c>
      <c r="D608" t="s">
        <v>82</v>
      </c>
      <c r="E608" t="str">
        <f t="shared" si="235"/>
        <v>Male</v>
      </c>
      <c r="F608">
        <v>35</v>
      </c>
      <c r="G608" t="s">
        <v>5</v>
      </c>
      <c r="H608" t="s">
        <v>6</v>
      </c>
      <c r="I608" t="s">
        <v>63</v>
      </c>
      <c r="J608">
        <v>16</v>
      </c>
      <c r="K608" t="str" cm="1">
        <f t="array" ref="K608">_xlfn.IFS( J608&lt;=5,"0-5", J608&lt;=10,"6-10",J608&lt;=15,"11-15",J608&lt;=20,"16-20",J608&gt;20,"20+")</f>
        <v>16-20</v>
      </c>
      <c r="M608"/>
      <c r="N608">
        <v>1.3</v>
      </c>
      <c r="O608">
        <v>1</v>
      </c>
      <c r="Q608" s="1">
        <v>0.64</v>
      </c>
      <c r="R608" s="1">
        <f t="shared" si="237"/>
        <v>0.64</v>
      </c>
    </row>
    <row r="609" spans="1:18" x14ac:dyDescent="0.2">
      <c r="A609" t="s">
        <v>1286</v>
      </c>
      <c r="B609" t="s">
        <v>1287</v>
      </c>
      <c r="C609" t="str">
        <f t="shared" si="234"/>
        <v>Thomas Mooney</v>
      </c>
      <c r="D609" t="s">
        <v>82</v>
      </c>
      <c r="E609" t="str">
        <f t="shared" si="235"/>
        <v>Male</v>
      </c>
      <c r="F609">
        <v>27</v>
      </c>
      <c r="G609" t="s">
        <v>97</v>
      </c>
      <c r="H609" t="s">
        <v>98</v>
      </c>
      <c r="I609" t="s">
        <v>25</v>
      </c>
      <c r="J609">
        <v>9</v>
      </c>
      <c r="K609" t="str" cm="1">
        <f t="array" ref="K609">_xlfn.IFS( J609&lt;=5,"0-5", J609&lt;=10,"6-10",J609&lt;=15,"11-15",J609&lt;=20,"16-20",J609&gt;20,"20+")</f>
        <v>6-10</v>
      </c>
      <c r="L609" t="s">
        <v>219</v>
      </c>
      <c r="M609" t="str">
        <f>SUBSTITUTE(L609,"$"," ")</f>
        <v xml:space="preserve"> 100</v>
      </c>
      <c r="O609" t="b">
        <v>1</v>
      </c>
    </row>
    <row r="610" spans="1:18" x14ac:dyDescent="0.2">
      <c r="A610" t="s">
        <v>1288</v>
      </c>
      <c r="B610" t="s">
        <v>1289</v>
      </c>
      <c r="C610" t="str">
        <f t="shared" si="234"/>
        <v>Susan Smith</v>
      </c>
      <c r="D610" t="s">
        <v>10</v>
      </c>
      <c r="E610" t="str">
        <f t="shared" si="235"/>
        <v>Female</v>
      </c>
      <c r="F610">
        <v>42</v>
      </c>
      <c r="G610" t="s">
        <v>52</v>
      </c>
      <c r="H610" t="s">
        <v>53</v>
      </c>
      <c r="I610" t="s">
        <v>13</v>
      </c>
      <c r="J610">
        <v>20</v>
      </c>
      <c r="K610" t="str" cm="1">
        <f t="array" ref="K610">_xlfn.IFS( J610&lt;=5,"0-5", J610&lt;=10,"6-10",J610&lt;=15,"11-15",J610&lt;=20,"16-20",J610&gt;20,"20+")</f>
        <v>16-20</v>
      </c>
      <c r="L610" t="s">
        <v>88</v>
      </c>
      <c r="M610" t="str">
        <f>_xlfn.TEXTAFTER(L610, " ")</f>
        <v>50</v>
      </c>
      <c r="N610">
        <v>3.8</v>
      </c>
      <c r="O610" t="s">
        <v>21</v>
      </c>
      <c r="Q610" s="1">
        <v>0.93</v>
      </c>
      <c r="R610" s="1">
        <f t="shared" ref="R610:R612" si="238">Q610</f>
        <v>0.93</v>
      </c>
    </row>
    <row r="611" spans="1:18" x14ac:dyDescent="0.2">
      <c r="A611" t="s">
        <v>1290</v>
      </c>
      <c r="B611" t="s">
        <v>1291</v>
      </c>
      <c r="C611" t="str">
        <f t="shared" si="234"/>
        <v>Brianna Orr</v>
      </c>
      <c r="D611" t="s">
        <v>24</v>
      </c>
      <c r="E611" t="str">
        <f t="shared" si="235"/>
        <v>Female</v>
      </c>
      <c r="F611">
        <v>52</v>
      </c>
      <c r="G611" t="s">
        <v>118</v>
      </c>
      <c r="H611" t="s">
        <v>12</v>
      </c>
      <c r="I611" t="s">
        <v>7</v>
      </c>
      <c r="J611">
        <v>29</v>
      </c>
      <c r="K611" t="str" cm="1">
        <f t="array" ref="K611">_xlfn.IFS( J611&lt;=5,"0-5", J611&lt;=10,"6-10",J611&lt;=15,"11-15",J611&lt;=20,"16-20",J611&gt;20,"20+")</f>
        <v>20+</v>
      </c>
      <c r="L611">
        <v>30</v>
      </c>
      <c r="M611" s="2">
        <f t="shared" ref="M611:M612" si="239">L611</f>
        <v>30</v>
      </c>
      <c r="N611">
        <v>3.8</v>
      </c>
      <c r="O611">
        <v>0</v>
      </c>
      <c r="P611" t="s">
        <v>2074</v>
      </c>
      <c r="Q611" s="1">
        <v>0.68</v>
      </c>
      <c r="R611" s="1">
        <f t="shared" si="238"/>
        <v>0.68</v>
      </c>
    </row>
    <row r="612" spans="1:18" x14ac:dyDescent="0.2">
      <c r="A612" t="s">
        <v>1292</v>
      </c>
      <c r="B612" t="s">
        <v>1293</v>
      </c>
      <c r="C612" t="str">
        <f t="shared" si="234"/>
        <v>Dustin Smith</v>
      </c>
      <c r="D612" t="s">
        <v>17</v>
      </c>
      <c r="E612" t="str">
        <f t="shared" si="235"/>
        <v>Male</v>
      </c>
      <c r="F612">
        <v>53</v>
      </c>
      <c r="G612" t="s">
        <v>102</v>
      </c>
      <c r="H612" t="s">
        <v>103</v>
      </c>
      <c r="I612" t="s">
        <v>25</v>
      </c>
      <c r="J612">
        <v>21</v>
      </c>
      <c r="K612" t="str" cm="1">
        <f t="array" ref="K612">_xlfn.IFS( J612&lt;=5,"0-5", J612&lt;=10,"6-10",J612&lt;=15,"11-15",J612&lt;=20,"16-20",J612&gt;20,"20+")</f>
        <v>20+</v>
      </c>
      <c r="L612">
        <v>40</v>
      </c>
      <c r="M612" s="2">
        <f t="shared" si="239"/>
        <v>40</v>
      </c>
      <c r="N612">
        <v>4.7</v>
      </c>
      <c r="O612">
        <v>1</v>
      </c>
      <c r="P612" t="s">
        <v>2075</v>
      </c>
      <c r="Q612" s="1">
        <v>0.62</v>
      </c>
      <c r="R612" s="1">
        <f t="shared" si="238"/>
        <v>0.62</v>
      </c>
    </row>
    <row r="613" spans="1:18" x14ac:dyDescent="0.2">
      <c r="A613" t="s">
        <v>1294</v>
      </c>
      <c r="B613" t="s">
        <v>1295</v>
      </c>
      <c r="C613" t="str">
        <f t="shared" si="234"/>
        <v>Sarah White</v>
      </c>
      <c r="D613" t="s">
        <v>10</v>
      </c>
      <c r="E613" t="str">
        <f t="shared" si="235"/>
        <v>Female</v>
      </c>
      <c r="F613">
        <v>54</v>
      </c>
      <c r="G613" t="s">
        <v>5</v>
      </c>
      <c r="H613" t="s">
        <v>6</v>
      </c>
      <c r="I613" t="s">
        <v>13</v>
      </c>
      <c r="J613">
        <v>28</v>
      </c>
      <c r="K613" t="str" cm="1">
        <f t="array" ref="K613">_xlfn.IFS( J613&lt;=5,"0-5", J613&lt;=10,"6-10",J613&lt;=15,"11-15",J613&lt;=20,"16-20",J613&gt;20,"20+")</f>
        <v>20+</v>
      </c>
      <c r="L613" t="s">
        <v>45</v>
      </c>
      <c r="M613" t="str">
        <f>_xlfn.TEXTAFTER(L613, " ")</f>
        <v>40</v>
      </c>
      <c r="N613">
        <v>1.1000000000000001</v>
      </c>
      <c r="O613" t="s">
        <v>149</v>
      </c>
    </row>
    <row r="614" spans="1:18" x14ac:dyDescent="0.2">
      <c r="A614" t="s">
        <v>1296</v>
      </c>
      <c r="B614" t="s">
        <v>1297</v>
      </c>
      <c r="C614" t="str">
        <f t="shared" si="234"/>
        <v>Michael Davis</v>
      </c>
      <c r="D614" t="s">
        <v>51</v>
      </c>
      <c r="E614" t="str">
        <f t="shared" si="235"/>
        <v>Male</v>
      </c>
      <c r="F614">
        <v>51</v>
      </c>
      <c r="G614" t="s">
        <v>75</v>
      </c>
      <c r="H614" t="s">
        <v>76</v>
      </c>
      <c r="I614" t="s">
        <v>20</v>
      </c>
      <c r="J614">
        <v>5</v>
      </c>
      <c r="K614" t="str" cm="1">
        <f t="array" ref="K614">_xlfn.IFS( J614&lt;=5,"0-5", J614&lt;=10,"6-10",J614&lt;=15,"11-15",J614&lt;=20,"16-20",J614&gt;20,"20+")</f>
        <v>0-5</v>
      </c>
      <c r="L614">
        <v>50</v>
      </c>
      <c r="M614" s="2">
        <f>L614</f>
        <v>50</v>
      </c>
      <c r="N614">
        <v>4.2</v>
      </c>
      <c r="O614">
        <v>1</v>
      </c>
      <c r="P614" t="s">
        <v>2075</v>
      </c>
      <c r="Q614" s="1">
        <v>0.82</v>
      </c>
      <c r="R614" s="1">
        <f>Q614</f>
        <v>0.82</v>
      </c>
    </row>
    <row r="615" spans="1:18" x14ac:dyDescent="0.2">
      <c r="A615" t="s">
        <v>1298</v>
      </c>
      <c r="B615" t="s">
        <v>1299</v>
      </c>
      <c r="C615" t="str">
        <f t="shared" si="234"/>
        <v>Jennifer Phillips</v>
      </c>
      <c r="D615" t="s">
        <v>4</v>
      </c>
      <c r="E615" t="str">
        <f t="shared" si="235"/>
        <v>Female</v>
      </c>
      <c r="F615">
        <v>30</v>
      </c>
      <c r="G615" t="s">
        <v>102</v>
      </c>
      <c r="H615" t="s">
        <v>103</v>
      </c>
      <c r="I615" t="s">
        <v>25</v>
      </c>
      <c r="J615">
        <v>0</v>
      </c>
      <c r="K615" t="str" cm="1">
        <f t="array" ref="K615">_xlfn.IFS( J615&lt;=5,"0-5", J615&lt;=10,"6-10",J615&lt;=15,"11-15",J615&lt;=20,"16-20",J615&gt;20,"20+")</f>
        <v>0-5</v>
      </c>
      <c r="M615"/>
      <c r="N615">
        <v>0</v>
      </c>
      <c r="O615">
        <v>0</v>
      </c>
    </row>
    <row r="616" spans="1:18" x14ac:dyDescent="0.2">
      <c r="A616" t="s">
        <v>1300</v>
      </c>
      <c r="B616" t="s">
        <v>1301</v>
      </c>
      <c r="C616" t="str">
        <f t="shared" si="234"/>
        <v>Dana Sanders</v>
      </c>
      <c r="D616" t="s">
        <v>67</v>
      </c>
      <c r="E616" t="str">
        <f t="shared" si="235"/>
        <v>Female</v>
      </c>
      <c r="F616">
        <v>45</v>
      </c>
      <c r="G616" t="s">
        <v>32</v>
      </c>
      <c r="H616" t="s">
        <v>33</v>
      </c>
      <c r="I616" t="s">
        <v>104</v>
      </c>
      <c r="J616">
        <v>27</v>
      </c>
      <c r="K616" t="str" cm="1">
        <f t="array" ref="K616">_xlfn.IFS( J616&lt;=5,"0-5", J616&lt;=10,"6-10",J616&lt;=15,"11-15",J616&lt;=20,"16-20",J616&gt;20,"20+")</f>
        <v>20+</v>
      </c>
      <c r="L616" t="s">
        <v>42</v>
      </c>
      <c r="M616" t="str">
        <f t="shared" ref="M616:M617" si="240">_xlfn.TEXTAFTER(L616, " ")</f>
        <v>75</v>
      </c>
      <c r="N616">
        <v>0</v>
      </c>
      <c r="Q616" s="1">
        <v>0.85</v>
      </c>
      <c r="R616" s="1">
        <f t="shared" ref="R616:R622" si="241">Q616</f>
        <v>0.85</v>
      </c>
    </row>
    <row r="617" spans="1:18" x14ac:dyDescent="0.2">
      <c r="A617" t="s">
        <v>1302</v>
      </c>
      <c r="B617" t="s">
        <v>1303</v>
      </c>
      <c r="C617" t="str">
        <f t="shared" si="234"/>
        <v>Daniel Quinn</v>
      </c>
      <c r="D617" t="s">
        <v>17</v>
      </c>
      <c r="E617" t="str">
        <f t="shared" si="235"/>
        <v>Male</v>
      </c>
      <c r="F617">
        <v>57</v>
      </c>
      <c r="G617" t="s">
        <v>39</v>
      </c>
      <c r="H617" t="s">
        <v>40</v>
      </c>
      <c r="I617" t="s">
        <v>20</v>
      </c>
      <c r="J617">
        <v>26</v>
      </c>
      <c r="K617" t="str" cm="1">
        <f t="array" ref="K617">_xlfn.IFS( J617&lt;=5,"0-5", J617&lt;=10,"6-10",J617&lt;=15,"11-15",J617&lt;=20,"16-20",J617&gt;20,"20+")</f>
        <v>20+</v>
      </c>
      <c r="L617" t="s">
        <v>14</v>
      </c>
      <c r="M617" t="str">
        <f t="shared" si="240"/>
        <v>100</v>
      </c>
      <c r="N617">
        <v>2.4</v>
      </c>
      <c r="O617">
        <v>1</v>
      </c>
      <c r="Q617" s="1">
        <v>0.78</v>
      </c>
      <c r="R617" s="1">
        <f t="shared" si="241"/>
        <v>0.78</v>
      </c>
    </row>
    <row r="618" spans="1:18" x14ac:dyDescent="0.2">
      <c r="A618" t="s">
        <v>1304</v>
      </c>
      <c r="B618" t="s">
        <v>1305</v>
      </c>
      <c r="C618" t="str">
        <f t="shared" si="234"/>
        <v>Matthew Steele</v>
      </c>
      <c r="D618" t="s">
        <v>87</v>
      </c>
      <c r="E618" t="str">
        <f t="shared" si="235"/>
        <v>Male</v>
      </c>
      <c r="F618">
        <v>38</v>
      </c>
      <c r="G618" t="s">
        <v>52</v>
      </c>
      <c r="H618" t="s">
        <v>53</v>
      </c>
      <c r="I618" t="s">
        <v>7</v>
      </c>
      <c r="J618">
        <v>19</v>
      </c>
      <c r="K618" t="str" cm="1">
        <f t="array" ref="K618">_xlfn.IFS( J618&lt;=5,"0-5", J618&lt;=10,"6-10",J618&lt;=15,"11-15",J618&lt;=20,"16-20",J618&gt;20,"20+")</f>
        <v>16-20</v>
      </c>
      <c r="L618">
        <v>40</v>
      </c>
      <c r="M618" s="2">
        <f>L618</f>
        <v>40</v>
      </c>
      <c r="N618">
        <v>0</v>
      </c>
      <c r="O618">
        <v>1</v>
      </c>
      <c r="P618" t="s">
        <v>2075</v>
      </c>
      <c r="Q618" s="1">
        <v>0.86</v>
      </c>
      <c r="R618" s="1">
        <f t="shared" si="241"/>
        <v>0.86</v>
      </c>
    </row>
    <row r="619" spans="1:18" x14ac:dyDescent="0.2">
      <c r="A619" t="s">
        <v>1306</v>
      </c>
      <c r="B619" t="s">
        <v>1307</v>
      </c>
      <c r="C619" t="str">
        <f t="shared" si="234"/>
        <v>Michele Taylor</v>
      </c>
      <c r="D619" t="s">
        <v>10</v>
      </c>
      <c r="E619" t="str">
        <f t="shared" si="235"/>
        <v>Female</v>
      </c>
      <c r="F619">
        <v>42</v>
      </c>
      <c r="G619" t="s">
        <v>114</v>
      </c>
      <c r="H619" t="s">
        <v>115</v>
      </c>
      <c r="I619" t="s">
        <v>79</v>
      </c>
      <c r="J619">
        <v>24</v>
      </c>
      <c r="K619" t="str" cm="1">
        <f t="array" ref="K619">_xlfn.IFS( J619&lt;=5,"0-5", J619&lt;=10,"6-10",J619&lt;=15,"11-15",J619&lt;=20,"16-20",J619&gt;20,"20+")</f>
        <v>20+</v>
      </c>
      <c r="L619" t="s">
        <v>45</v>
      </c>
      <c r="M619" t="str">
        <f>_xlfn.TEXTAFTER(L619, " ")</f>
        <v>40</v>
      </c>
      <c r="O619" t="b">
        <v>0</v>
      </c>
      <c r="Q619" s="1">
        <v>0.88</v>
      </c>
      <c r="R619" s="1">
        <f t="shared" si="241"/>
        <v>0.88</v>
      </c>
    </row>
    <row r="620" spans="1:18" x14ac:dyDescent="0.2">
      <c r="A620" t="s">
        <v>1308</v>
      </c>
      <c r="B620" t="s">
        <v>1309</v>
      </c>
      <c r="C620" t="str">
        <f t="shared" si="234"/>
        <v>Ashley Hammond</v>
      </c>
      <c r="D620" t="s">
        <v>67</v>
      </c>
      <c r="E620" t="str">
        <f t="shared" si="235"/>
        <v>Female</v>
      </c>
      <c r="F620">
        <v>30</v>
      </c>
      <c r="G620" t="s">
        <v>143</v>
      </c>
      <c r="H620" t="s">
        <v>144</v>
      </c>
      <c r="I620" t="s">
        <v>79</v>
      </c>
      <c r="J620">
        <v>7</v>
      </c>
      <c r="K620" t="str" cm="1">
        <f t="array" ref="K620">_xlfn.IFS( J620&lt;=5,"0-5", J620&lt;=10,"6-10",J620&lt;=15,"11-15",J620&lt;=20,"16-20",J620&gt;20,"20+")</f>
        <v>6-10</v>
      </c>
      <c r="L620">
        <v>30</v>
      </c>
      <c r="M620" s="2">
        <f>L620</f>
        <v>30</v>
      </c>
      <c r="N620">
        <v>3.3</v>
      </c>
      <c r="Q620" s="1">
        <v>0.68</v>
      </c>
      <c r="R620" s="1">
        <f t="shared" si="241"/>
        <v>0.68</v>
      </c>
    </row>
    <row r="621" spans="1:18" x14ac:dyDescent="0.2">
      <c r="A621" t="s">
        <v>1310</v>
      </c>
      <c r="B621" t="s">
        <v>1311</v>
      </c>
      <c r="C621" t="str">
        <f t="shared" si="234"/>
        <v>Nicole Taylor</v>
      </c>
      <c r="D621" t="s">
        <v>29</v>
      </c>
      <c r="E621" t="str">
        <f t="shared" si="235"/>
        <v>Female</v>
      </c>
      <c r="F621">
        <v>43</v>
      </c>
      <c r="G621" t="s">
        <v>11</v>
      </c>
      <c r="H621" t="s">
        <v>12</v>
      </c>
      <c r="I621" t="s">
        <v>25</v>
      </c>
      <c r="J621">
        <v>13</v>
      </c>
      <c r="K621" t="str" cm="1">
        <f t="array" ref="K621">_xlfn.IFS( J621&lt;=5,"0-5", J621&lt;=10,"6-10",J621&lt;=15,"11-15",J621&lt;=20,"16-20",J621&gt;20,"20+")</f>
        <v>11-15</v>
      </c>
      <c r="L621" t="s">
        <v>219</v>
      </c>
      <c r="M621" t="str">
        <f t="shared" ref="M621:M622" si="242">SUBSTITUTE(L621,"$"," ")</f>
        <v xml:space="preserve"> 100</v>
      </c>
      <c r="N621">
        <v>1.4</v>
      </c>
      <c r="O621">
        <v>1</v>
      </c>
      <c r="Q621" s="1">
        <v>0.97</v>
      </c>
      <c r="R621" s="1">
        <f t="shared" si="241"/>
        <v>0.97</v>
      </c>
    </row>
    <row r="622" spans="1:18" x14ac:dyDescent="0.2">
      <c r="A622" t="s">
        <v>1312</v>
      </c>
      <c r="B622" t="s">
        <v>1313</v>
      </c>
      <c r="C622" t="str">
        <f t="shared" si="234"/>
        <v>Casey Bush</v>
      </c>
      <c r="D622" t="s">
        <v>87</v>
      </c>
      <c r="E622" t="str">
        <f t="shared" si="235"/>
        <v>Male</v>
      </c>
      <c r="F622">
        <v>22</v>
      </c>
      <c r="G622" t="s">
        <v>129</v>
      </c>
      <c r="H622" t="s">
        <v>130</v>
      </c>
      <c r="I622" t="s">
        <v>63</v>
      </c>
      <c r="J622">
        <v>2</v>
      </c>
      <c r="K622" t="str" cm="1">
        <f t="array" ref="K622">_xlfn.IFS( J622&lt;=5,"0-5", J622&lt;=10,"6-10",J622&lt;=15,"11-15",J622&lt;=20,"16-20",J622&gt;20,"20+")</f>
        <v>0-5</v>
      </c>
      <c r="L622" t="s">
        <v>160</v>
      </c>
      <c r="M622" t="str">
        <f t="shared" si="242"/>
        <v xml:space="preserve"> 75</v>
      </c>
      <c r="N622">
        <v>1.7</v>
      </c>
      <c r="O622" t="s">
        <v>149</v>
      </c>
      <c r="Q622" s="1">
        <v>0.91</v>
      </c>
      <c r="R622" s="1">
        <f t="shared" si="241"/>
        <v>0.91</v>
      </c>
    </row>
    <row r="623" spans="1:18" x14ac:dyDescent="0.2">
      <c r="A623" t="s">
        <v>1314</v>
      </c>
      <c r="B623" t="s">
        <v>1315</v>
      </c>
      <c r="C623" t="str">
        <f t="shared" si="234"/>
        <v>Samuel Patterson</v>
      </c>
      <c r="D623" t="s">
        <v>82</v>
      </c>
      <c r="E623" t="str">
        <f t="shared" si="235"/>
        <v>Male</v>
      </c>
      <c r="F623">
        <v>57</v>
      </c>
      <c r="G623" t="s">
        <v>169</v>
      </c>
      <c r="H623" t="s">
        <v>62</v>
      </c>
      <c r="I623" t="s">
        <v>104</v>
      </c>
      <c r="J623">
        <v>37</v>
      </c>
      <c r="K623" t="str" cm="1">
        <f t="array" ref="K623">_xlfn.IFS( J623&lt;=5,"0-5", J623&lt;=10,"6-10",J623&lt;=15,"11-15",J623&lt;=20,"16-20",J623&gt;20,"20+")</f>
        <v>20+</v>
      </c>
      <c r="L623">
        <v>30</v>
      </c>
      <c r="M623" s="2">
        <f>L623</f>
        <v>30</v>
      </c>
      <c r="N623">
        <v>4.8</v>
      </c>
      <c r="O623" t="b">
        <v>0</v>
      </c>
      <c r="P623" t="s">
        <v>2074</v>
      </c>
    </row>
    <row r="624" spans="1:18" x14ac:dyDescent="0.2">
      <c r="A624" t="s">
        <v>1316</v>
      </c>
      <c r="B624" t="s">
        <v>1317</v>
      </c>
      <c r="C624" t="str">
        <f t="shared" si="234"/>
        <v>Craig Dennis</v>
      </c>
      <c r="D624" t="s">
        <v>51</v>
      </c>
      <c r="E624" t="str">
        <f t="shared" si="235"/>
        <v>Male</v>
      </c>
      <c r="F624">
        <v>44</v>
      </c>
      <c r="G624" t="s">
        <v>57</v>
      </c>
      <c r="H624" t="s">
        <v>12</v>
      </c>
      <c r="I624" t="s">
        <v>20</v>
      </c>
      <c r="J624">
        <v>1</v>
      </c>
      <c r="K624" t="str" cm="1">
        <f t="array" ref="K624">_xlfn.IFS( J624&lt;=5,"0-5", J624&lt;=10,"6-10",J624&lt;=15,"11-15",J624&lt;=20,"16-20",J624&gt;20,"20+")</f>
        <v>0-5</v>
      </c>
      <c r="M624"/>
      <c r="N624">
        <v>4.8</v>
      </c>
      <c r="O624" t="s">
        <v>21</v>
      </c>
      <c r="Q624" s="1">
        <v>0.97</v>
      </c>
      <c r="R624" s="1">
        <f t="shared" ref="R624:R626" si="243">Q624</f>
        <v>0.97</v>
      </c>
    </row>
    <row r="625" spans="1:18" x14ac:dyDescent="0.2">
      <c r="A625" t="s">
        <v>1318</v>
      </c>
      <c r="B625" t="s">
        <v>1319</v>
      </c>
      <c r="C625" t="str">
        <f t="shared" si="234"/>
        <v>Heidi Dixon</v>
      </c>
      <c r="D625" t="s">
        <v>29</v>
      </c>
      <c r="E625" t="str">
        <f t="shared" si="235"/>
        <v>Female</v>
      </c>
      <c r="F625">
        <v>46</v>
      </c>
      <c r="G625" t="s">
        <v>165</v>
      </c>
      <c r="H625" t="s">
        <v>166</v>
      </c>
      <c r="I625" t="s">
        <v>79</v>
      </c>
      <c r="J625">
        <v>5</v>
      </c>
      <c r="K625" t="str" cm="1">
        <f t="array" ref="K625">_xlfn.IFS( J625&lt;=5,"0-5", J625&lt;=10,"6-10",J625&lt;=15,"11-15",J625&lt;=20,"16-20",J625&gt;20,"20+")</f>
        <v>0-5</v>
      </c>
      <c r="L625" t="s">
        <v>99</v>
      </c>
      <c r="M625" t="str">
        <f t="shared" ref="M625:M626" si="244">_xlfn.TEXTAFTER(L625, " ")</f>
        <v>30</v>
      </c>
      <c r="N625">
        <v>2</v>
      </c>
      <c r="O625" t="s">
        <v>58</v>
      </c>
      <c r="Q625" s="1">
        <v>0.64</v>
      </c>
      <c r="R625" s="1">
        <f t="shared" si="243"/>
        <v>0.64</v>
      </c>
    </row>
    <row r="626" spans="1:18" x14ac:dyDescent="0.2">
      <c r="A626" t="s">
        <v>1320</v>
      </c>
      <c r="B626" t="s">
        <v>1321</v>
      </c>
      <c r="C626" t="str">
        <f t="shared" si="234"/>
        <v>David Bishop</v>
      </c>
      <c r="D626" t="s">
        <v>87</v>
      </c>
      <c r="E626" t="str">
        <f t="shared" si="235"/>
        <v>Male</v>
      </c>
      <c r="G626" t="s">
        <v>180</v>
      </c>
      <c r="H626" t="s">
        <v>62</v>
      </c>
      <c r="I626" t="s">
        <v>7</v>
      </c>
      <c r="J626">
        <v>1</v>
      </c>
      <c r="K626" t="str" cm="1">
        <f t="array" ref="K626">_xlfn.IFS( J626&lt;=5,"0-5", J626&lt;=10,"6-10",J626&lt;=15,"11-15",J626&lt;=20,"16-20",J626&gt;20,"20+")</f>
        <v>0-5</v>
      </c>
      <c r="L626" t="s">
        <v>88</v>
      </c>
      <c r="M626" t="str">
        <f t="shared" si="244"/>
        <v>50</v>
      </c>
      <c r="N626">
        <v>2.8</v>
      </c>
      <c r="O626" t="s">
        <v>149</v>
      </c>
      <c r="Q626" s="1">
        <v>0.87</v>
      </c>
      <c r="R626" s="1">
        <f t="shared" si="243"/>
        <v>0.87</v>
      </c>
    </row>
    <row r="627" spans="1:18" x14ac:dyDescent="0.2">
      <c r="A627" t="s">
        <v>1322</v>
      </c>
      <c r="B627" t="s">
        <v>1323</v>
      </c>
      <c r="C627" t="str">
        <f t="shared" si="234"/>
        <v>Laura Butler</v>
      </c>
      <c r="D627" t="s">
        <v>67</v>
      </c>
      <c r="E627" t="str">
        <f t="shared" si="235"/>
        <v>Female</v>
      </c>
      <c r="F627">
        <v>34</v>
      </c>
      <c r="G627" t="s">
        <v>11</v>
      </c>
      <c r="H627" t="s">
        <v>12</v>
      </c>
      <c r="I627" t="s">
        <v>41</v>
      </c>
      <c r="J627">
        <v>2</v>
      </c>
      <c r="K627" t="str" cm="1">
        <f t="array" ref="K627">_xlfn.IFS( J627&lt;=5,"0-5", J627&lt;=10,"6-10",J627&lt;=15,"11-15",J627&lt;=20,"16-20",J627&gt;20,"20+")</f>
        <v>0-5</v>
      </c>
      <c r="L627">
        <v>100</v>
      </c>
      <c r="M627" s="2">
        <f>L627</f>
        <v>100</v>
      </c>
      <c r="N627">
        <v>0</v>
      </c>
      <c r="O627">
        <v>0</v>
      </c>
      <c r="P627" t="s">
        <v>2074</v>
      </c>
      <c r="Q627">
        <v>86</v>
      </c>
      <c r="R627" s="3">
        <f t="shared" ref="R627:R628" si="245">Q627/100</f>
        <v>0.86</v>
      </c>
    </row>
    <row r="628" spans="1:18" x14ac:dyDescent="0.2">
      <c r="A628" t="s">
        <v>1324</v>
      </c>
      <c r="B628" t="s">
        <v>1325</v>
      </c>
      <c r="C628" t="str">
        <f t="shared" si="234"/>
        <v>Denise Erickson</v>
      </c>
      <c r="D628" t="s">
        <v>24</v>
      </c>
      <c r="E628" t="str">
        <f t="shared" si="235"/>
        <v>Female</v>
      </c>
      <c r="F628">
        <v>46</v>
      </c>
      <c r="G628" t="s">
        <v>5</v>
      </c>
      <c r="H628" t="s">
        <v>6</v>
      </c>
      <c r="I628" t="s">
        <v>13</v>
      </c>
      <c r="K628" t="str" cm="1">
        <f t="array" ref="K628">_xlfn.IFS( J628&lt;=5,"0-5", J628&lt;=10,"6-10",J628&lt;=15,"11-15",J628&lt;=20,"16-20",J628&gt;20,"20+")</f>
        <v>0-5</v>
      </c>
      <c r="L628" t="s">
        <v>219</v>
      </c>
      <c r="M628" t="str">
        <f>SUBSTITUTE(L628,"$"," ")</f>
        <v xml:space="preserve"> 100</v>
      </c>
      <c r="N628">
        <v>4.4000000000000004</v>
      </c>
      <c r="O628">
        <v>1</v>
      </c>
      <c r="Q628">
        <v>97</v>
      </c>
      <c r="R628" s="3">
        <f t="shared" si="245"/>
        <v>0.97</v>
      </c>
    </row>
    <row r="629" spans="1:18" x14ac:dyDescent="0.2">
      <c r="A629" t="s">
        <v>1326</v>
      </c>
      <c r="B629" t="s">
        <v>1327</v>
      </c>
      <c r="C629" t="str">
        <f t="shared" si="234"/>
        <v>Nicole Austin</v>
      </c>
      <c r="D629" t="s">
        <v>4</v>
      </c>
      <c r="E629" t="str">
        <f t="shared" si="235"/>
        <v>Female</v>
      </c>
      <c r="F629">
        <v>22</v>
      </c>
      <c r="G629" t="s">
        <v>125</v>
      </c>
      <c r="H629" t="s">
        <v>126</v>
      </c>
      <c r="I629" t="s">
        <v>7</v>
      </c>
      <c r="J629">
        <v>0</v>
      </c>
      <c r="K629" t="str" cm="1">
        <f t="array" ref="K629">_xlfn.IFS( J629&lt;=5,"0-5", J629&lt;=10,"6-10",J629&lt;=15,"11-15",J629&lt;=20,"16-20",J629&gt;20,"20+")</f>
        <v>0-5</v>
      </c>
      <c r="L629" t="s">
        <v>99</v>
      </c>
      <c r="M629" t="str">
        <f t="shared" ref="M629:M630" si="246">_xlfn.TEXTAFTER(L629, " ")</f>
        <v>30</v>
      </c>
      <c r="N629">
        <v>4.9000000000000004</v>
      </c>
      <c r="O629" t="b">
        <v>0</v>
      </c>
      <c r="Q629" s="1">
        <v>0.73</v>
      </c>
      <c r="R629" s="1">
        <f t="shared" ref="R629:R630" si="247">Q629</f>
        <v>0.73</v>
      </c>
    </row>
    <row r="630" spans="1:18" x14ac:dyDescent="0.2">
      <c r="A630" t="s">
        <v>1328</v>
      </c>
      <c r="B630" t="s">
        <v>1329</v>
      </c>
      <c r="C630" t="str">
        <f t="shared" si="234"/>
        <v>Summer Williams</v>
      </c>
      <c r="D630" t="s">
        <v>29</v>
      </c>
      <c r="E630" t="str">
        <f t="shared" si="235"/>
        <v>Female</v>
      </c>
      <c r="F630">
        <v>23</v>
      </c>
      <c r="G630" t="s">
        <v>143</v>
      </c>
      <c r="H630" t="s">
        <v>144</v>
      </c>
      <c r="I630" t="s">
        <v>34</v>
      </c>
      <c r="J630">
        <v>0</v>
      </c>
      <c r="K630" t="str" cm="1">
        <f t="array" ref="K630">_xlfn.IFS( J630&lt;=5,"0-5", J630&lt;=10,"6-10",J630&lt;=15,"11-15",J630&lt;=20,"16-20",J630&gt;20,"20+")</f>
        <v>0-5</v>
      </c>
      <c r="L630" t="s">
        <v>42</v>
      </c>
      <c r="M630" t="str">
        <f t="shared" si="246"/>
        <v>75</v>
      </c>
      <c r="N630">
        <v>2.2999999999999998</v>
      </c>
      <c r="Q630" s="1">
        <v>0.6</v>
      </c>
      <c r="R630" s="1">
        <f t="shared" si="247"/>
        <v>0.6</v>
      </c>
    </row>
    <row r="631" spans="1:18" x14ac:dyDescent="0.2">
      <c r="A631" t="s">
        <v>1330</v>
      </c>
      <c r="B631" t="s">
        <v>1331</v>
      </c>
      <c r="C631" t="str">
        <f t="shared" si="234"/>
        <v>Angela Blackwell</v>
      </c>
      <c r="D631" t="s">
        <v>24</v>
      </c>
      <c r="E631" t="str">
        <f t="shared" si="235"/>
        <v>Female</v>
      </c>
      <c r="F631">
        <v>60</v>
      </c>
      <c r="G631" t="s">
        <v>52</v>
      </c>
      <c r="H631" t="s">
        <v>53</v>
      </c>
      <c r="I631" t="s">
        <v>25</v>
      </c>
      <c r="J631">
        <v>41</v>
      </c>
      <c r="K631" t="str" cm="1">
        <f t="array" ref="K631">_xlfn.IFS( J631&lt;=5,"0-5", J631&lt;=10,"6-10",J631&lt;=15,"11-15",J631&lt;=20,"16-20",J631&gt;20,"20+")</f>
        <v>20+</v>
      </c>
      <c r="L631" t="s">
        <v>26</v>
      </c>
      <c r="M631" t="str">
        <f t="shared" ref="M631:M633" si="248">SUBSTITUTE(L631,"$"," ")</f>
        <v xml:space="preserve"> 40</v>
      </c>
      <c r="N631">
        <v>4.9000000000000004</v>
      </c>
      <c r="O631">
        <v>1</v>
      </c>
      <c r="Q631">
        <v>66</v>
      </c>
      <c r="R631" s="3">
        <f>Q631/100</f>
        <v>0.66</v>
      </c>
    </row>
    <row r="632" spans="1:18" x14ac:dyDescent="0.2">
      <c r="A632" t="s">
        <v>1332</v>
      </c>
      <c r="B632" t="s">
        <v>1333</v>
      </c>
      <c r="C632" t="str">
        <f t="shared" si="234"/>
        <v>Thomas Wall</v>
      </c>
      <c r="D632" t="s">
        <v>38</v>
      </c>
      <c r="E632" t="str">
        <f t="shared" si="235"/>
        <v>Male</v>
      </c>
      <c r="F632">
        <v>20</v>
      </c>
      <c r="G632" t="s">
        <v>118</v>
      </c>
      <c r="H632" t="s">
        <v>12</v>
      </c>
      <c r="I632" t="s">
        <v>79</v>
      </c>
      <c r="K632" t="str" cm="1">
        <f t="array" ref="K632">_xlfn.IFS( J632&lt;=5,"0-5", J632&lt;=10,"6-10",J632&lt;=15,"11-15",J632&lt;=20,"16-20",J632&gt;20,"20+")</f>
        <v>0-5</v>
      </c>
      <c r="L632" t="s">
        <v>160</v>
      </c>
      <c r="M632" t="str">
        <f t="shared" si="248"/>
        <v xml:space="preserve"> 75</v>
      </c>
      <c r="N632">
        <v>4.3</v>
      </c>
      <c r="O632">
        <v>0</v>
      </c>
      <c r="Q632" s="1">
        <v>0.9</v>
      </c>
      <c r="R632" s="1">
        <f>Q632</f>
        <v>0.9</v>
      </c>
    </row>
    <row r="633" spans="1:18" x14ac:dyDescent="0.2">
      <c r="A633" t="s">
        <v>1334</v>
      </c>
      <c r="B633" t="s">
        <v>1335</v>
      </c>
      <c r="C633" t="str">
        <f t="shared" si="234"/>
        <v>Sarah Anderson</v>
      </c>
      <c r="D633" t="s">
        <v>4</v>
      </c>
      <c r="E633" t="str">
        <f t="shared" si="235"/>
        <v>Female</v>
      </c>
      <c r="F633">
        <v>41</v>
      </c>
      <c r="G633" t="s">
        <v>102</v>
      </c>
      <c r="H633" t="s">
        <v>103</v>
      </c>
      <c r="I633" t="s">
        <v>63</v>
      </c>
      <c r="J633">
        <v>23</v>
      </c>
      <c r="K633" t="str" cm="1">
        <f t="array" ref="K633">_xlfn.IFS( J633&lt;=5,"0-5", J633&lt;=10,"6-10",J633&lt;=15,"11-15",J633&lt;=20,"16-20",J633&gt;20,"20+")</f>
        <v>20+</v>
      </c>
      <c r="L633" t="s">
        <v>160</v>
      </c>
      <c r="M633" t="str">
        <f t="shared" si="248"/>
        <v xml:space="preserve"> 75</v>
      </c>
      <c r="N633">
        <v>1.4</v>
      </c>
      <c r="O633">
        <v>0</v>
      </c>
    </row>
    <row r="634" spans="1:18" x14ac:dyDescent="0.2">
      <c r="A634" t="s">
        <v>1336</v>
      </c>
      <c r="B634" t="s">
        <v>1337</v>
      </c>
      <c r="C634" t="str">
        <f t="shared" si="234"/>
        <v>Christian Lane</v>
      </c>
      <c r="D634" t="s">
        <v>38</v>
      </c>
      <c r="E634" t="str">
        <f t="shared" si="235"/>
        <v>Male</v>
      </c>
      <c r="F634">
        <v>24</v>
      </c>
      <c r="G634" t="s">
        <v>125</v>
      </c>
      <c r="H634" t="s">
        <v>126</v>
      </c>
      <c r="I634" t="s">
        <v>13</v>
      </c>
      <c r="J634">
        <v>0</v>
      </c>
      <c r="K634" t="str" cm="1">
        <f t="array" ref="K634">_xlfn.IFS( J634&lt;=5,"0-5", J634&lt;=10,"6-10",J634&lt;=15,"11-15",J634&lt;=20,"16-20",J634&gt;20,"20+")</f>
        <v>0-5</v>
      </c>
      <c r="L634">
        <v>100</v>
      </c>
      <c r="M634" s="2">
        <f>L634</f>
        <v>100</v>
      </c>
      <c r="O634" t="s">
        <v>149</v>
      </c>
      <c r="P634" t="s">
        <v>2074</v>
      </c>
    </row>
    <row r="635" spans="1:18" x14ac:dyDescent="0.2">
      <c r="A635" t="s">
        <v>1338</v>
      </c>
      <c r="B635" t="s">
        <v>1339</v>
      </c>
      <c r="C635" t="str">
        <f t="shared" si="234"/>
        <v>Todd Casey</v>
      </c>
      <c r="D635" t="s">
        <v>38</v>
      </c>
      <c r="E635" t="str">
        <f t="shared" si="235"/>
        <v>Male</v>
      </c>
      <c r="F635">
        <v>44</v>
      </c>
      <c r="G635" t="s">
        <v>32</v>
      </c>
      <c r="H635" t="s">
        <v>33</v>
      </c>
      <c r="I635" t="s">
        <v>104</v>
      </c>
      <c r="J635">
        <v>4</v>
      </c>
      <c r="K635" t="str" cm="1">
        <f t="array" ref="K635">_xlfn.IFS( J635&lt;=5,"0-5", J635&lt;=10,"6-10",J635&lt;=15,"11-15",J635&lt;=20,"16-20",J635&gt;20,"20+")</f>
        <v>0-5</v>
      </c>
      <c r="M635"/>
      <c r="N635">
        <v>1.3</v>
      </c>
      <c r="O635" t="s">
        <v>58</v>
      </c>
      <c r="Q635">
        <v>77</v>
      </c>
      <c r="R635" s="3">
        <f>Q635/100</f>
        <v>0.77</v>
      </c>
    </row>
    <row r="636" spans="1:18" x14ac:dyDescent="0.2">
      <c r="A636" t="s">
        <v>1340</v>
      </c>
      <c r="B636" t="s">
        <v>1341</v>
      </c>
      <c r="C636" t="str">
        <f t="shared" si="234"/>
        <v>David Martinez</v>
      </c>
      <c r="D636" t="s">
        <v>51</v>
      </c>
      <c r="E636" t="str">
        <f t="shared" si="235"/>
        <v>Male</v>
      </c>
      <c r="F636">
        <v>52</v>
      </c>
      <c r="G636" t="s">
        <v>165</v>
      </c>
      <c r="H636" t="s">
        <v>166</v>
      </c>
      <c r="I636" t="s">
        <v>63</v>
      </c>
      <c r="J636">
        <v>4</v>
      </c>
      <c r="K636" t="str" cm="1">
        <f t="array" ref="K636">_xlfn.IFS( J636&lt;=5,"0-5", J636&lt;=10,"6-10",J636&lt;=15,"11-15",J636&lt;=20,"16-20",J636&gt;20,"20+")</f>
        <v>0-5</v>
      </c>
      <c r="L636">
        <v>75</v>
      </c>
      <c r="M636" s="2">
        <f t="shared" ref="M636:M637" si="249">L636</f>
        <v>75</v>
      </c>
      <c r="N636">
        <v>2.2999999999999998</v>
      </c>
      <c r="O636">
        <v>1</v>
      </c>
      <c r="P636" t="s">
        <v>2075</v>
      </c>
      <c r="Q636" s="1">
        <v>0.79</v>
      </c>
      <c r="R636" s="1">
        <f t="shared" ref="R636:R644" si="250">Q636</f>
        <v>0.79</v>
      </c>
    </row>
    <row r="637" spans="1:18" x14ac:dyDescent="0.2">
      <c r="A637" t="s">
        <v>1342</v>
      </c>
      <c r="B637" t="s">
        <v>1343</v>
      </c>
      <c r="C637" t="str">
        <f t="shared" si="234"/>
        <v>Donald Salas</v>
      </c>
      <c r="D637" t="s">
        <v>82</v>
      </c>
      <c r="E637" t="str">
        <f t="shared" si="235"/>
        <v>Male</v>
      </c>
      <c r="F637">
        <v>35</v>
      </c>
      <c r="G637" t="s">
        <v>180</v>
      </c>
      <c r="H637" t="s">
        <v>62</v>
      </c>
      <c r="I637" t="s">
        <v>104</v>
      </c>
      <c r="J637">
        <v>13</v>
      </c>
      <c r="K637" t="str" cm="1">
        <f t="array" ref="K637">_xlfn.IFS( J637&lt;=5,"0-5", J637&lt;=10,"6-10",J637&lt;=15,"11-15",J637&lt;=20,"16-20",J637&gt;20,"20+")</f>
        <v>11-15</v>
      </c>
      <c r="L637">
        <v>40</v>
      </c>
      <c r="M637" s="2">
        <f t="shared" si="249"/>
        <v>40</v>
      </c>
      <c r="N637">
        <v>3.6</v>
      </c>
      <c r="O637">
        <v>0</v>
      </c>
      <c r="P637" t="s">
        <v>2074</v>
      </c>
      <c r="Q637" s="1">
        <v>0.83</v>
      </c>
      <c r="R637" s="1">
        <f t="shared" si="250"/>
        <v>0.83</v>
      </c>
    </row>
    <row r="638" spans="1:18" x14ac:dyDescent="0.2">
      <c r="A638" t="s">
        <v>1344</v>
      </c>
      <c r="B638" t="s">
        <v>1345</v>
      </c>
      <c r="C638" t="str">
        <f t="shared" si="234"/>
        <v>Emma Hicks</v>
      </c>
      <c r="D638" t="s">
        <v>67</v>
      </c>
      <c r="E638" t="str">
        <f t="shared" si="235"/>
        <v>Female</v>
      </c>
      <c r="F638">
        <v>24</v>
      </c>
      <c r="G638" t="s">
        <v>32</v>
      </c>
      <c r="H638" t="s">
        <v>33</v>
      </c>
      <c r="I638" t="s">
        <v>79</v>
      </c>
      <c r="J638">
        <v>2</v>
      </c>
      <c r="K638" t="str" cm="1">
        <f t="array" ref="K638">_xlfn.IFS( J638&lt;=5,"0-5", J638&lt;=10,"6-10",J638&lt;=15,"11-15",J638&lt;=20,"16-20",J638&gt;20,"20+")</f>
        <v>0-5</v>
      </c>
      <c r="L638" t="s">
        <v>54</v>
      </c>
      <c r="M638" t="str">
        <f t="shared" ref="M638:M639" si="251">SUBSTITUTE(L638,"$"," ")</f>
        <v xml:space="preserve"> 50</v>
      </c>
      <c r="O638" t="s">
        <v>21</v>
      </c>
      <c r="Q638" s="1">
        <v>0.64</v>
      </c>
      <c r="R638" s="1">
        <f t="shared" si="250"/>
        <v>0.64</v>
      </c>
    </row>
    <row r="639" spans="1:18" x14ac:dyDescent="0.2">
      <c r="A639" t="s">
        <v>1346</v>
      </c>
      <c r="B639" t="s">
        <v>1347</v>
      </c>
      <c r="C639" t="str">
        <f t="shared" si="234"/>
        <v>Alison Clark</v>
      </c>
      <c r="D639" t="s">
        <v>10</v>
      </c>
      <c r="E639" t="str">
        <f t="shared" si="235"/>
        <v>Female</v>
      </c>
      <c r="F639">
        <v>46</v>
      </c>
      <c r="G639" t="s">
        <v>11</v>
      </c>
      <c r="H639" t="s">
        <v>12</v>
      </c>
      <c r="I639" t="s">
        <v>68</v>
      </c>
      <c r="J639">
        <v>25</v>
      </c>
      <c r="K639" t="str" cm="1">
        <f t="array" ref="K639">_xlfn.IFS( J639&lt;=5,"0-5", J639&lt;=10,"6-10",J639&lt;=15,"11-15",J639&lt;=20,"16-20",J639&gt;20,"20+")</f>
        <v>20+</v>
      </c>
      <c r="L639" t="s">
        <v>219</v>
      </c>
      <c r="M639" t="str">
        <f t="shared" si="251"/>
        <v xml:space="preserve"> 100</v>
      </c>
      <c r="N639">
        <v>1.3</v>
      </c>
      <c r="O639" t="s">
        <v>149</v>
      </c>
      <c r="Q639" s="1">
        <v>0.8</v>
      </c>
      <c r="R639" s="1">
        <f t="shared" si="250"/>
        <v>0.8</v>
      </c>
    </row>
    <row r="640" spans="1:18" x14ac:dyDescent="0.2">
      <c r="A640" t="s">
        <v>1348</v>
      </c>
      <c r="B640" t="s">
        <v>1349</v>
      </c>
      <c r="C640" t="str">
        <f t="shared" si="234"/>
        <v>Andrew Barnes</v>
      </c>
      <c r="D640" t="s">
        <v>82</v>
      </c>
      <c r="E640" t="str">
        <f t="shared" si="235"/>
        <v>Male</v>
      </c>
      <c r="F640">
        <v>57</v>
      </c>
      <c r="G640" t="s">
        <v>169</v>
      </c>
      <c r="H640" t="s">
        <v>62</v>
      </c>
      <c r="I640" t="s">
        <v>13</v>
      </c>
      <c r="J640">
        <v>18</v>
      </c>
      <c r="K640" t="str" cm="1">
        <f t="array" ref="K640">_xlfn.IFS( J640&lt;=5,"0-5", J640&lt;=10,"6-10",J640&lt;=15,"11-15",J640&lt;=20,"16-20",J640&gt;20,"20+")</f>
        <v>16-20</v>
      </c>
      <c r="L640" t="s">
        <v>99</v>
      </c>
      <c r="M640" t="str">
        <f>_xlfn.TEXTAFTER(L640, " ")</f>
        <v>30</v>
      </c>
      <c r="N640">
        <v>1.1000000000000001</v>
      </c>
      <c r="O640" t="b">
        <v>0</v>
      </c>
      <c r="Q640" s="1">
        <v>0.9</v>
      </c>
      <c r="R640" s="1">
        <f t="shared" si="250"/>
        <v>0.9</v>
      </c>
    </row>
    <row r="641" spans="1:18" x14ac:dyDescent="0.2">
      <c r="A641" t="s">
        <v>1350</v>
      </c>
      <c r="B641" t="s">
        <v>1351</v>
      </c>
      <c r="C641" t="str">
        <f t="shared" si="234"/>
        <v>Gina Snyder</v>
      </c>
      <c r="D641" t="s">
        <v>24</v>
      </c>
      <c r="E641" t="str">
        <f t="shared" si="235"/>
        <v>Female</v>
      </c>
      <c r="F641">
        <v>49</v>
      </c>
      <c r="G641" t="s">
        <v>169</v>
      </c>
      <c r="H641" t="s">
        <v>62</v>
      </c>
      <c r="I641" t="s">
        <v>25</v>
      </c>
      <c r="J641">
        <v>24</v>
      </c>
      <c r="K641" t="str" cm="1">
        <f t="array" ref="K641">_xlfn.IFS( J641&lt;=5,"0-5", J641&lt;=10,"6-10",J641&lt;=15,"11-15",J641&lt;=20,"16-20",J641&gt;20,"20+")</f>
        <v>20+</v>
      </c>
      <c r="L641" t="s">
        <v>54</v>
      </c>
      <c r="M641" t="str">
        <f>SUBSTITUTE(L641,"$"," ")</f>
        <v xml:space="preserve"> 50</v>
      </c>
      <c r="N641">
        <v>0</v>
      </c>
      <c r="O641">
        <v>0</v>
      </c>
      <c r="Q641" s="1">
        <v>0.94</v>
      </c>
      <c r="R641" s="1">
        <f t="shared" si="250"/>
        <v>0.94</v>
      </c>
    </row>
    <row r="642" spans="1:18" x14ac:dyDescent="0.2">
      <c r="A642" t="s">
        <v>1352</v>
      </c>
      <c r="B642" t="s">
        <v>1353</v>
      </c>
      <c r="C642" t="str">
        <f t="shared" si="234"/>
        <v>David Watson</v>
      </c>
      <c r="D642" t="s">
        <v>51</v>
      </c>
      <c r="E642" t="str">
        <f t="shared" si="235"/>
        <v>Male</v>
      </c>
      <c r="F642">
        <v>41</v>
      </c>
      <c r="G642" t="s">
        <v>75</v>
      </c>
      <c r="H642" t="s">
        <v>76</v>
      </c>
      <c r="I642" t="s">
        <v>34</v>
      </c>
      <c r="J642">
        <v>7</v>
      </c>
      <c r="K642" t="str" cm="1">
        <f t="array" ref="K642">_xlfn.IFS( J642&lt;=5,"0-5", J642&lt;=10,"6-10",J642&lt;=15,"11-15",J642&lt;=20,"16-20",J642&gt;20,"20+")</f>
        <v>6-10</v>
      </c>
      <c r="L642">
        <v>40</v>
      </c>
      <c r="M642" s="2">
        <f>L642</f>
        <v>40</v>
      </c>
      <c r="N642">
        <v>1.8</v>
      </c>
      <c r="O642" t="b">
        <v>0</v>
      </c>
      <c r="P642" t="s">
        <v>2074</v>
      </c>
      <c r="Q642" s="1">
        <v>0.7</v>
      </c>
      <c r="R642" s="1">
        <f t="shared" si="250"/>
        <v>0.7</v>
      </c>
    </row>
    <row r="643" spans="1:18" x14ac:dyDescent="0.2">
      <c r="A643" t="s">
        <v>1354</v>
      </c>
      <c r="B643" t="s">
        <v>1355</v>
      </c>
      <c r="C643" t="str">
        <f t="shared" si="234"/>
        <v>John Davis</v>
      </c>
      <c r="D643" t="s">
        <v>17</v>
      </c>
      <c r="E643" t="str">
        <f t="shared" si="235"/>
        <v>Male</v>
      </c>
      <c r="F643">
        <v>22</v>
      </c>
      <c r="G643" t="s">
        <v>169</v>
      </c>
      <c r="H643" t="s">
        <v>62</v>
      </c>
      <c r="I643" t="s">
        <v>104</v>
      </c>
      <c r="J643">
        <v>1</v>
      </c>
      <c r="K643" t="str" cm="1">
        <f t="array" ref="K643">_xlfn.IFS( J643&lt;=5,"0-5", J643&lt;=10,"6-10",J643&lt;=15,"11-15",J643&lt;=20,"16-20",J643&gt;20,"20+")</f>
        <v>0-5</v>
      </c>
      <c r="L643" t="s">
        <v>304</v>
      </c>
      <c r="M643" t="str">
        <f>_xlfn.TEXTAFTER(L643, " ")</f>
        <v>20</v>
      </c>
      <c r="O643" t="s">
        <v>58</v>
      </c>
      <c r="Q643" s="1">
        <v>0.75</v>
      </c>
      <c r="R643" s="1">
        <f t="shared" si="250"/>
        <v>0.75</v>
      </c>
    </row>
    <row r="644" spans="1:18" x14ac:dyDescent="0.2">
      <c r="A644" t="s">
        <v>1356</v>
      </c>
      <c r="B644" t="s">
        <v>1357</v>
      </c>
      <c r="C644" t="str">
        <f t="shared" si="234"/>
        <v>Joseph Thomas</v>
      </c>
      <c r="D644" t="s">
        <v>17</v>
      </c>
      <c r="E644" t="str">
        <f t="shared" si="235"/>
        <v>Male</v>
      </c>
      <c r="F644">
        <v>50</v>
      </c>
      <c r="G644" t="s">
        <v>11</v>
      </c>
      <c r="H644" t="s">
        <v>12</v>
      </c>
      <c r="I644" t="s">
        <v>7</v>
      </c>
      <c r="J644">
        <v>17</v>
      </c>
      <c r="K644" t="str" cm="1">
        <f t="array" ref="K644">_xlfn.IFS( J644&lt;=5,"0-5", J644&lt;=10,"6-10",J644&lt;=15,"11-15",J644&lt;=20,"16-20",J644&gt;20,"20+")</f>
        <v>16-20</v>
      </c>
      <c r="L644">
        <v>75</v>
      </c>
      <c r="M644" s="2">
        <f>L644</f>
        <v>75</v>
      </c>
      <c r="N644">
        <v>3.3</v>
      </c>
      <c r="O644">
        <v>1</v>
      </c>
      <c r="P644" t="s">
        <v>2075</v>
      </c>
      <c r="Q644" s="1">
        <v>0.69</v>
      </c>
      <c r="R644" s="1">
        <f t="shared" si="250"/>
        <v>0.69</v>
      </c>
    </row>
    <row r="645" spans="1:18" x14ac:dyDescent="0.2">
      <c r="A645" t="s">
        <v>1358</v>
      </c>
      <c r="B645" t="s">
        <v>1359</v>
      </c>
      <c r="C645" t="str">
        <f t="shared" si="234"/>
        <v>Dean Finley</v>
      </c>
      <c r="D645" t="s">
        <v>17</v>
      </c>
      <c r="E645" t="str">
        <f t="shared" si="235"/>
        <v>Male</v>
      </c>
      <c r="F645">
        <v>57</v>
      </c>
      <c r="G645" t="s">
        <v>18</v>
      </c>
      <c r="H645" t="s">
        <v>19</v>
      </c>
      <c r="I645" t="s">
        <v>20</v>
      </c>
      <c r="J645">
        <v>4</v>
      </c>
      <c r="K645" t="str" cm="1">
        <f t="array" ref="K645">_xlfn.IFS( J645&lt;=5,"0-5", J645&lt;=10,"6-10",J645&lt;=15,"11-15",J645&lt;=20,"16-20",J645&gt;20,"20+")</f>
        <v>0-5</v>
      </c>
      <c r="L645" t="s">
        <v>99</v>
      </c>
      <c r="M645" t="str">
        <f>_xlfn.TEXTAFTER(L645, " ")</f>
        <v>30</v>
      </c>
      <c r="N645">
        <v>4.2</v>
      </c>
      <c r="O645">
        <v>0</v>
      </c>
    </row>
    <row r="646" spans="1:18" x14ac:dyDescent="0.2">
      <c r="A646" t="s">
        <v>1360</v>
      </c>
      <c r="B646" t="s">
        <v>1361</v>
      </c>
      <c r="C646" t="str">
        <f t="shared" si="234"/>
        <v>Ashley Kemp</v>
      </c>
      <c r="D646" t="s">
        <v>10</v>
      </c>
      <c r="E646" t="str">
        <f t="shared" si="235"/>
        <v>Female</v>
      </c>
      <c r="F646">
        <v>47</v>
      </c>
      <c r="G646" t="s">
        <v>169</v>
      </c>
      <c r="H646" t="s">
        <v>62</v>
      </c>
      <c r="I646" t="s">
        <v>34</v>
      </c>
      <c r="J646">
        <v>29</v>
      </c>
      <c r="K646" t="str" cm="1">
        <f t="array" ref="K646">_xlfn.IFS( J646&lt;=5,"0-5", J646&lt;=10,"6-10",J646&lt;=15,"11-15",J646&lt;=20,"16-20",J646&gt;20,"20+")</f>
        <v>20+</v>
      </c>
      <c r="L646" t="s">
        <v>54</v>
      </c>
      <c r="M646" t="str">
        <f t="shared" ref="M646:M647" si="252">SUBSTITUTE(L646,"$"," ")</f>
        <v xml:space="preserve"> 50</v>
      </c>
      <c r="O646">
        <v>1</v>
      </c>
      <c r="Q646" s="1">
        <v>0.79</v>
      </c>
      <c r="R646" s="1">
        <f t="shared" ref="R646:R650" si="253">Q646</f>
        <v>0.79</v>
      </c>
    </row>
    <row r="647" spans="1:18" x14ac:dyDescent="0.2">
      <c r="A647" t="s">
        <v>1362</v>
      </c>
      <c r="B647" t="s">
        <v>1363</v>
      </c>
      <c r="C647" t="str">
        <f t="shared" si="234"/>
        <v>Kenneth Evans</v>
      </c>
      <c r="D647" t="s">
        <v>82</v>
      </c>
      <c r="E647" t="str">
        <f t="shared" si="235"/>
        <v>Male</v>
      </c>
      <c r="F647">
        <v>24</v>
      </c>
      <c r="G647" t="s">
        <v>143</v>
      </c>
      <c r="H647" t="s">
        <v>144</v>
      </c>
      <c r="I647" t="s">
        <v>41</v>
      </c>
      <c r="J647">
        <v>2</v>
      </c>
      <c r="K647" t="str" cm="1">
        <f t="array" ref="K647">_xlfn.IFS( J647&lt;=5,"0-5", J647&lt;=10,"6-10",J647&lt;=15,"11-15",J647&lt;=20,"16-20",J647&gt;20,"20+")</f>
        <v>0-5</v>
      </c>
      <c r="L647" t="s">
        <v>219</v>
      </c>
      <c r="M647" t="str">
        <f t="shared" si="252"/>
        <v xml:space="preserve"> 100</v>
      </c>
      <c r="N647">
        <v>3.8</v>
      </c>
      <c r="O647">
        <v>1</v>
      </c>
      <c r="Q647" s="1">
        <v>0.71</v>
      </c>
      <c r="R647" s="1">
        <f t="shared" si="253"/>
        <v>0.71</v>
      </c>
    </row>
    <row r="648" spans="1:18" x14ac:dyDescent="0.2">
      <c r="A648" t="s">
        <v>1364</v>
      </c>
      <c r="B648" t="s">
        <v>1365</v>
      </c>
      <c r="C648" t="str">
        <f t="shared" si="234"/>
        <v>Brandon Newman</v>
      </c>
      <c r="D648" t="s">
        <v>17</v>
      </c>
      <c r="E648" t="str">
        <f t="shared" si="235"/>
        <v>Male</v>
      </c>
      <c r="G648" t="s">
        <v>83</v>
      </c>
      <c r="H648" t="s">
        <v>84</v>
      </c>
      <c r="I648" t="s">
        <v>68</v>
      </c>
      <c r="J648">
        <v>9</v>
      </c>
      <c r="K648" t="str" cm="1">
        <f t="array" ref="K648">_xlfn.IFS( J648&lt;=5,"0-5", J648&lt;=10,"6-10",J648&lt;=15,"11-15",J648&lt;=20,"16-20",J648&gt;20,"20+")</f>
        <v>6-10</v>
      </c>
      <c r="L648">
        <v>100</v>
      </c>
      <c r="M648" s="2">
        <f>L648</f>
        <v>100</v>
      </c>
      <c r="N648">
        <v>4.8</v>
      </c>
      <c r="O648" t="s">
        <v>64</v>
      </c>
      <c r="P648" t="s">
        <v>2075</v>
      </c>
      <c r="Q648" s="1">
        <v>0.72</v>
      </c>
      <c r="R648" s="1">
        <f t="shared" si="253"/>
        <v>0.72</v>
      </c>
    </row>
    <row r="649" spans="1:18" x14ac:dyDescent="0.2">
      <c r="A649" t="s">
        <v>1366</v>
      </c>
      <c r="B649" t="s">
        <v>1367</v>
      </c>
      <c r="C649" t="str">
        <f t="shared" si="234"/>
        <v>Katie Hensley</v>
      </c>
      <c r="D649" t="s">
        <v>10</v>
      </c>
      <c r="E649" t="str">
        <f t="shared" si="235"/>
        <v>Female</v>
      </c>
      <c r="F649">
        <v>50</v>
      </c>
      <c r="G649" t="s">
        <v>18</v>
      </c>
      <c r="H649" t="s">
        <v>19</v>
      </c>
      <c r="I649" t="s">
        <v>79</v>
      </c>
      <c r="J649">
        <v>10</v>
      </c>
      <c r="K649" t="str" cm="1">
        <f t="array" ref="K649">_xlfn.IFS( J649&lt;=5,"0-5", J649&lt;=10,"6-10",J649&lt;=15,"11-15",J649&lt;=20,"16-20",J649&gt;20,"20+")</f>
        <v>6-10</v>
      </c>
      <c r="L649" t="s">
        <v>219</v>
      </c>
      <c r="M649" t="str">
        <f>SUBSTITUTE(L649,"$"," ")</f>
        <v xml:space="preserve"> 100</v>
      </c>
      <c r="N649">
        <v>4.3</v>
      </c>
      <c r="O649" t="s">
        <v>21</v>
      </c>
      <c r="Q649" s="1">
        <v>0.93</v>
      </c>
      <c r="R649" s="1">
        <f t="shared" si="253"/>
        <v>0.93</v>
      </c>
    </row>
    <row r="650" spans="1:18" x14ac:dyDescent="0.2">
      <c r="A650" t="s">
        <v>1368</v>
      </c>
      <c r="B650" t="s">
        <v>1369</v>
      </c>
      <c r="C650" t="str">
        <f t="shared" si="234"/>
        <v>Joel Randolph</v>
      </c>
      <c r="D650" t="s">
        <v>82</v>
      </c>
      <c r="E650" t="str">
        <f t="shared" si="235"/>
        <v>Male</v>
      </c>
      <c r="F650">
        <v>46</v>
      </c>
      <c r="G650" t="s">
        <v>97</v>
      </c>
      <c r="H650" t="s">
        <v>98</v>
      </c>
      <c r="I650" t="s">
        <v>104</v>
      </c>
      <c r="J650">
        <v>20</v>
      </c>
      <c r="K650" t="str" cm="1">
        <f t="array" ref="K650">_xlfn.IFS( J650&lt;=5,"0-5", J650&lt;=10,"6-10",J650&lt;=15,"11-15",J650&lt;=20,"16-20",J650&gt;20,"20+")</f>
        <v>16-20</v>
      </c>
      <c r="M650"/>
      <c r="N650">
        <v>4.8</v>
      </c>
      <c r="O650">
        <v>1</v>
      </c>
      <c r="Q650" s="1">
        <v>0.82</v>
      </c>
      <c r="R650" s="1">
        <f t="shared" si="253"/>
        <v>0.82</v>
      </c>
    </row>
    <row r="651" spans="1:18" x14ac:dyDescent="0.2">
      <c r="A651" t="s">
        <v>1370</v>
      </c>
      <c r="B651" t="s">
        <v>1371</v>
      </c>
      <c r="C651" t="str">
        <f t="shared" si="234"/>
        <v>Andrew Scott</v>
      </c>
      <c r="D651" t="s">
        <v>17</v>
      </c>
      <c r="E651" t="str">
        <f t="shared" si="235"/>
        <v>Male</v>
      </c>
      <c r="F651">
        <v>51</v>
      </c>
      <c r="G651" t="s">
        <v>11</v>
      </c>
      <c r="H651" t="s">
        <v>12</v>
      </c>
      <c r="I651" t="s">
        <v>68</v>
      </c>
      <c r="J651">
        <v>9</v>
      </c>
      <c r="K651" t="str" cm="1">
        <f t="array" ref="K651">_xlfn.IFS( J651&lt;=5,"0-5", J651&lt;=10,"6-10",J651&lt;=15,"11-15",J651&lt;=20,"16-20",J651&gt;20,"20+")</f>
        <v>6-10</v>
      </c>
      <c r="L651" t="s">
        <v>26</v>
      </c>
      <c r="M651" t="str">
        <f>SUBSTITUTE(L651,"$"," ")</f>
        <v xml:space="preserve"> 40</v>
      </c>
      <c r="O651" t="s">
        <v>21</v>
      </c>
      <c r="Q651">
        <v>60</v>
      </c>
      <c r="R651" s="3">
        <f t="shared" ref="R651:R652" si="254">Q651/100</f>
        <v>0.6</v>
      </c>
    </row>
    <row r="652" spans="1:18" x14ac:dyDescent="0.2">
      <c r="A652" t="s">
        <v>1372</v>
      </c>
      <c r="B652" t="s">
        <v>1373</v>
      </c>
      <c r="C652" t="str">
        <f t="shared" si="234"/>
        <v>Zachary Ochoa</v>
      </c>
      <c r="D652" t="s">
        <v>51</v>
      </c>
      <c r="E652" t="str">
        <f t="shared" si="235"/>
        <v>Male</v>
      </c>
      <c r="F652">
        <v>51</v>
      </c>
      <c r="G652" t="s">
        <v>57</v>
      </c>
      <c r="H652" t="s">
        <v>12</v>
      </c>
      <c r="I652" t="s">
        <v>34</v>
      </c>
      <c r="J652">
        <v>12</v>
      </c>
      <c r="K652" t="str" cm="1">
        <f t="array" ref="K652">_xlfn.IFS( J652&lt;=5,"0-5", J652&lt;=10,"6-10",J652&lt;=15,"11-15",J652&lt;=20,"16-20",J652&gt;20,"20+")</f>
        <v>11-15</v>
      </c>
      <c r="L652">
        <v>20</v>
      </c>
      <c r="M652" s="2">
        <f>L652</f>
        <v>20</v>
      </c>
      <c r="N652">
        <v>4</v>
      </c>
      <c r="O652">
        <v>0</v>
      </c>
      <c r="P652" t="s">
        <v>2074</v>
      </c>
      <c r="Q652">
        <v>93</v>
      </c>
      <c r="R652" s="3">
        <f t="shared" si="254"/>
        <v>0.93</v>
      </c>
    </row>
    <row r="653" spans="1:18" x14ac:dyDescent="0.2">
      <c r="A653" t="s">
        <v>1374</v>
      </c>
      <c r="B653" t="s">
        <v>1375</v>
      </c>
      <c r="C653" t="str">
        <f t="shared" si="234"/>
        <v>John Arroyo</v>
      </c>
      <c r="D653" t="s">
        <v>38</v>
      </c>
      <c r="E653" t="str">
        <f t="shared" si="235"/>
        <v>Male</v>
      </c>
      <c r="F653">
        <v>27</v>
      </c>
      <c r="G653" t="s">
        <v>57</v>
      </c>
      <c r="H653" t="s">
        <v>12</v>
      </c>
      <c r="I653" t="s">
        <v>34</v>
      </c>
      <c r="J653">
        <v>3</v>
      </c>
      <c r="K653" t="str" cm="1">
        <f t="array" ref="K653">_xlfn.IFS( J653&lt;=5,"0-5", J653&lt;=10,"6-10",J653&lt;=15,"11-15",J653&lt;=20,"16-20",J653&gt;20,"20+")</f>
        <v>0-5</v>
      </c>
      <c r="L653" t="s">
        <v>88</v>
      </c>
      <c r="M653" t="str">
        <f>_xlfn.TEXTAFTER(L653, " ")</f>
        <v>50</v>
      </c>
      <c r="O653" t="b">
        <v>0</v>
      </c>
    </row>
    <row r="654" spans="1:18" x14ac:dyDescent="0.2">
      <c r="A654" t="s">
        <v>1376</v>
      </c>
      <c r="B654" t="s">
        <v>1377</v>
      </c>
      <c r="C654" t="str">
        <f t="shared" si="234"/>
        <v>Matthew Fernandez</v>
      </c>
      <c r="D654" t="s">
        <v>51</v>
      </c>
      <c r="E654" t="str">
        <f t="shared" si="235"/>
        <v>Male</v>
      </c>
      <c r="F654">
        <v>42</v>
      </c>
      <c r="G654" t="s">
        <v>180</v>
      </c>
      <c r="H654" t="s">
        <v>62</v>
      </c>
      <c r="I654" t="s">
        <v>25</v>
      </c>
      <c r="J654">
        <v>13</v>
      </c>
      <c r="K654" t="str" cm="1">
        <f t="array" ref="K654">_xlfn.IFS( J654&lt;=5,"0-5", J654&lt;=10,"6-10",J654&lt;=15,"11-15",J654&lt;=20,"16-20",J654&gt;20,"20+")</f>
        <v>11-15</v>
      </c>
      <c r="L654">
        <v>30</v>
      </c>
      <c r="M654" s="2">
        <f>L654</f>
        <v>30</v>
      </c>
      <c r="N654">
        <v>0</v>
      </c>
      <c r="O654" t="b">
        <v>0</v>
      </c>
      <c r="P654" t="s">
        <v>2074</v>
      </c>
      <c r="Q654" s="1">
        <v>0.74</v>
      </c>
      <c r="R654" s="1">
        <f>Q654</f>
        <v>0.74</v>
      </c>
    </row>
    <row r="655" spans="1:18" x14ac:dyDescent="0.2">
      <c r="A655" t="s">
        <v>1378</v>
      </c>
      <c r="B655" t="s">
        <v>1379</v>
      </c>
      <c r="C655" t="str">
        <f t="shared" si="234"/>
        <v>Benjamin Stark</v>
      </c>
      <c r="D655" t="s">
        <v>51</v>
      </c>
      <c r="E655" t="str">
        <f t="shared" si="235"/>
        <v>Male</v>
      </c>
      <c r="F655">
        <v>25</v>
      </c>
      <c r="G655" t="s">
        <v>18</v>
      </c>
      <c r="H655" t="s">
        <v>19</v>
      </c>
      <c r="I655" t="s">
        <v>63</v>
      </c>
      <c r="J655">
        <v>4</v>
      </c>
      <c r="K655" t="str" cm="1">
        <f t="array" ref="K655">_xlfn.IFS( J655&lt;=5,"0-5", J655&lt;=10,"6-10",J655&lt;=15,"11-15",J655&lt;=20,"16-20",J655&gt;20,"20+")</f>
        <v>0-5</v>
      </c>
      <c r="L655" t="s">
        <v>26</v>
      </c>
      <c r="M655" t="str">
        <f>SUBSTITUTE(L655,"$"," ")</f>
        <v xml:space="preserve"> 40</v>
      </c>
      <c r="N655">
        <v>2.2999999999999998</v>
      </c>
      <c r="O655" t="s">
        <v>58</v>
      </c>
      <c r="Q655">
        <v>73</v>
      </c>
      <c r="R655" s="3">
        <f>Q655/100</f>
        <v>0.73</v>
      </c>
    </row>
    <row r="656" spans="1:18" x14ac:dyDescent="0.2">
      <c r="A656" t="s">
        <v>1380</v>
      </c>
      <c r="B656" t="s">
        <v>1381</v>
      </c>
      <c r="C656" t="str">
        <f t="shared" si="234"/>
        <v>Tammy Greer</v>
      </c>
      <c r="D656" t="s">
        <v>67</v>
      </c>
      <c r="E656" t="str">
        <f t="shared" si="235"/>
        <v>Female</v>
      </c>
      <c r="F656">
        <v>32</v>
      </c>
      <c r="G656" t="s">
        <v>18</v>
      </c>
      <c r="H656" t="s">
        <v>19</v>
      </c>
      <c r="I656" t="s">
        <v>41</v>
      </c>
      <c r="J656">
        <v>9</v>
      </c>
      <c r="K656" t="str" cm="1">
        <f t="array" ref="K656">_xlfn.IFS( J656&lt;=5,"0-5", J656&lt;=10,"6-10",J656&lt;=15,"11-15",J656&lt;=20,"16-20",J656&gt;20,"20+")</f>
        <v>6-10</v>
      </c>
      <c r="L656">
        <v>75</v>
      </c>
      <c r="M656" s="2">
        <f t="shared" ref="M656:M658" si="255">L656</f>
        <v>75</v>
      </c>
      <c r="O656" t="s">
        <v>21</v>
      </c>
      <c r="P656" t="s">
        <v>2074</v>
      </c>
      <c r="Q656" s="1">
        <v>0.96</v>
      </c>
      <c r="R656" s="1">
        <f t="shared" ref="R656:R661" si="256">Q656</f>
        <v>0.96</v>
      </c>
    </row>
    <row r="657" spans="1:18" x14ac:dyDescent="0.2">
      <c r="A657" t="s">
        <v>1382</v>
      </c>
      <c r="B657" t="s">
        <v>1383</v>
      </c>
      <c r="C657" t="str">
        <f t="shared" si="234"/>
        <v>Cynthia Mckinney</v>
      </c>
      <c r="D657" t="s">
        <v>29</v>
      </c>
      <c r="E657" t="str">
        <f t="shared" si="235"/>
        <v>Female</v>
      </c>
      <c r="F657">
        <v>59</v>
      </c>
      <c r="G657" t="s">
        <v>118</v>
      </c>
      <c r="H657" t="s">
        <v>12</v>
      </c>
      <c r="I657" t="s">
        <v>20</v>
      </c>
      <c r="J657">
        <v>14</v>
      </c>
      <c r="K657" t="str" cm="1">
        <f t="array" ref="K657">_xlfn.IFS( J657&lt;=5,"0-5", J657&lt;=10,"6-10",J657&lt;=15,"11-15",J657&lt;=20,"16-20",J657&gt;20,"20+")</f>
        <v>11-15</v>
      </c>
      <c r="L657">
        <v>30</v>
      </c>
      <c r="M657" s="2">
        <f t="shared" si="255"/>
        <v>30</v>
      </c>
      <c r="N657">
        <v>3.8</v>
      </c>
      <c r="Q657" s="1">
        <v>0.66</v>
      </c>
      <c r="R657" s="1">
        <f t="shared" si="256"/>
        <v>0.66</v>
      </c>
    </row>
    <row r="658" spans="1:18" x14ac:dyDescent="0.2">
      <c r="A658" t="s">
        <v>1384</v>
      </c>
      <c r="B658" t="s">
        <v>1385</v>
      </c>
      <c r="C658" t="str">
        <f t="shared" si="234"/>
        <v>Wendy Rice</v>
      </c>
      <c r="D658" t="s">
        <v>10</v>
      </c>
      <c r="E658" t="str">
        <f t="shared" si="235"/>
        <v>Female</v>
      </c>
      <c r="F658">
        <v>59</v>
      </c>
      <c r="G658" t="s">
        <v>125</v>
      </c>
      <c r="H658" t="s">
        <v>126</v>
      </c>
      <c r="I658" t="s">
        <v>68</v>
      </c>
      <c r="J658">
        <v>37</v>
      </c>
      <c r="K658" t="str" cm="1">
        <f t="array" ref="K658">_xlfn.IFS( J658&lt;=5,"0-5", J658&lt;=10,"6-10",J658&lt;=15,"11-15",J658&lt;=20,"16-20",J658&gt;20,"20+")</f>
        <v>20+</v>
      </c>
      <c r="L658">
        <v>30</v>
      </c>
      <c r="M658" s="2">
        <f t="shared" si="255"/>
        <v>30</v>
      </c>
      <c r="N658">
        <v>4</v>
      </c>
      <c r="O658" t="b">
        <v>0</v>
      </c>
      <c r="P658" t="s">
        <v>2074</v>
      </c>
      <c r="Q658" s="1">
        <v>0.62</v>
      </c>
      <c r="R658" s="1">
        <f t="shared" si="256"/>
        <v>0.62</v>
      </c>
    </row>
    <row r="659" spans="1:18" x14ac:dyDescent="0.2">
      <c r="A659" t="s">
        <v>1386</v>
      </c>
      <c r="B659" t="s">
        <v>1387</v>
      </c>
      <c r="C659" t="str">
        <f t="shared" si="234"/>
        <v>Randy Bender</v>
      </c>
      <c r="D659" t="s">
        <v>87</v>
      </c>
      <c r="E659" t="str">
        <f t="shared" si="235"/>
        <v>Male</v>
      </c>
      <c r="F659">
        <v>29</v>
      </c>
      <c r="G659" t="s">
        <v>18</v>
      </c>
      <c r="H659" t="s">
        <v>19</v>
      </c>
      <c r="I659" t="s">
        <v>20</v>
      </c>
      <c r="J659">
        <v>2</v>
      </c>
      <c r="K659" t="str" cm="1">
        <f t="array" ref="K659">_xlfn.IFS( J659&lt;=5,"0-5", J659&lt;=10,"6-10",J659&lt;=15,"11-15",J659&lt;=20,"16-20",J659&gt;20,"20+")</f>
        <v>0-5</v>
      </c>
      <c r="L659" t="s">
        <v>42</v>
      </c>
      <c r="M659" t="str">
        <f>_xlfn.TEXTAFTER(L659, " ")</f>
        <v>75</v>
      </c>
      <c r="N659">
        <v>2.2000000000000002</v>
      </c>
      <c r="O659" t="s">
        <v>64</v>
      </c>
      <c r="Q659" s="1">
        <v>0.85</v>
      </c>
      <c r="R659" s="1">
        <f t="shared" si="256"/>
        <v>0.85</v>
      </c>
    </row>
    <row r="660" spans="1:18" x14ac:dyDescent="0.2">
      <c r="A660" t="s">
        <v>1388</v>
      </c>
      <c r="B660" t="s">
        <v>1389</v>
      </c>
      <c r="C660" t="str">
        <f t="shared" si="234"/>
        <v>Richard Dominguez</v>
      </c>
      <c r="D660" t="s">
        <v>51</v>
      </c>
      <c r="E660" t="str">
        <f t="shared" si="235"/>
        <v>Male</v>
      </c>
      <c r="F660">
        <v>58</v>
      </c>
      <c r="G660" t="s">
        <v>165</v>
      </c>
      <c r="H660" t="s">
        <v>166</v>
      </c>
      <c r="I660" t="s">
        <v>34</v>
      </c>
      <c r="J660">
        <v>11</v>
      </c>
      <c r="K660" t="str" cm="1">
        <f t="array" ref="K660">_xlfn.IFS( J660&lt;=5,"0-5", J660&lt;=10,"6-10",J660&lt;=15,"11-15",J660&lt;=20,"16-20",J660&gt;20,"20+")</f>
        <v>11-15</v>
      </c>
      <c r="L660">
        <v>100</v>
      </c>
      <c r="M660" s="2">
        <f t="shared" ref="M660:M663" si="257">L660</f>
        <v>100</v>
      </c>
      <c r="N660">
        <v>4.3</v>
      </c>
      <c r="O660">
        <v>0</v>
      </c>
      <c r="P660" t="s">
        <v>2074</v>
      </c>
      <c r="Q660" s="1">
        <v>0.66</v>
      </c>
      <c r="R660" s="1">
        <f t="shared" si="256"/>
        <v>0.66</v>
      </c>
    </row>
    <row r="661" spans="1:18" x14ac:dyDescent="0.2">
      <c r="A661" t="s">
        <v>1390</v>
      </c>
      <c r="B661" t="s">
        <v>1391</v>
      </c>
      <c r="C661" t="str">
        <f t="shared" si="234"/>
        <v>Melissa Maldonado</v>
      </c>
      <c r="D661" t="s">
        <v>4</v>
      </c>
      <c r="E661" t="str">
        <f t="shared" si="235"/>
        <v>Female</v>
      </c>
      <c r="F661">
        <v>56</v>
      </c>
      <c r="G661" t="s">
        <v>118</v>
      </c>
      <c r="H661" t="s">
        <v>12</v>
      </c>
      <c r="I661" t="s">
        <v>68</v>
      </c>
      <c r="J661">
        <v>19</v>
      </c>
      <c r="K661" t="str" cm="1">
        <f t="array" ref="K661">_xlfn.IFS( J661&lt;=5,"0-5", J661&lt;=10,"6-10",J661&lt;=15,"11-15",J661&lt;=20,"16-20",J661&gt;20,"20+")</f>
        <v>16-20</v>
      </c>
      <c r="L661">
        <v>20</v>
      </c>
      <c r="M661" s="2">
        <f t="shared" si="257"/>
        <v>20</v>
      </c>
      <c r="N661">
        <v>0</v>
      </c>
      <c r="O661">
        <v>0</v>
      </c>
      <c r="P661" t="s">
        <v>2074</v>
      </c>
      <c r="Q661" s="1">
        <v>0.87</v>
      </c>
      <c r="R661" s="1">
        <f t="shared" si="256"/>
        <v>0.87</v>
      </c>
    </row>
    <row r="662" spans="1:18" x14ac:dyDescent="0.2">
      <c r="A662" t="s">
        <v>1392</v>
      </c>
      <c r="B662" t="s">
        <v>1393</v>
      </c>
      <c r="C662" t="str">
        <f t="shared" si="234"/>
        <v>Leah Harris</v>
      </c>
      <c r="D662" t="s">
        <v>24</v>
      </c>
      <c r="E662" t="str">
        <f t="shared" si="235"/>
        <v>Female</v>
      </c>
      <c r="F662">
        <v>36</v>
      </c>
      <c r="G662" t="s">
        <v>48</v>
      </c>
      <c r="H662" t="s">
        <v>12</v>
      </c>
      <c r="I662" t="s">
        <v>104</v>
      </c>
      <c r="J662">
        <v>9</v>
      </c>
      <c r="K662" t="str" cm="1">
        <f t="array" ref="K662">_xlfn.IFS( J662&lt;=5,"0-5", J662&lt;=10,"6-10",J662&lt;=15,"11-15",J662&lt;=20,"16-20",J662&gt;20,"20+")</f>
        <v>6-10</v>
      </c>
      <c r="L662">
        <v>20</v>
      </c>
      <c r="M662" s="2">
        <f t="shared" si="257"/>
        <v>20</v>
      </c>
      <c r="N662">
        <v>0</v>
      </c>
      <c r="O662">
        <v>1</v>
      </c>
      <c r="P662" t="s">
        <v>2075</v>
      </c>
      <c r="Q662">
        <v>68</v>
      </c>
      <c r="R662" s="3">
        <f>Q662/100</f>
        <v>0.68</v>
      </c>
    </row>
    <row r="663" spans="1:18" x14ac:dyDescent="0.2">
      <c r="A663" t="s">
        <v>1394</v>
      </c>
      <c r="B663" t="s">
        <v>1395</v>
      </c>
      <c r="C663" t="str">
        <f t="shared" si="234"/>
        <v>Lynn French</v>
      </c>
      <c r="D663" t="s">
        <v>67</v>
      </c>
      <c r="E663" t="str">
        <f t="shared" si="235"/>
        <v>Female</v>
      </c>
      <c r="F663">
        <v>52</v>
      </c>
      <c r="G663" t="s">
        <v>118</v>
      </c>
      <c r="H663" t="s">
        <v>12</v>
      </c>
      <c r="I663" t="s">
        <v>63</v>
      </c>
      <c r="J663">
        <v>16</v>
      </c>
      <c r="K663" t="str" cm="1">
        <f t="array" ref="K663">_xlfn.IFS( J663&lt;=5,"0-5", J663&lt;=10,"6-10",J663&lt;=15,"11-15",J663&lt;=20,"16-20",J663&gt;20,"20+")</f>
        <v>16-20</v>
      </c>
      <c r="L663">
        <v>100</v>
      </c>
      <c r="M663" s="2">
        <f t="shared" si="257"/>
        <v>100</v>
      </c>
      <c r="N663">
        <v>4</v>
      </c>
      <c r="O663">
        <v>1</v>
      </c>
      <c r="P663" t="s">
        <v>2075</v>
      </c>
    </row>
    <row r="664" spans="1:18" x14ac:dyDescent="0.2">
      <c r="A664" t="s">
        <v>1396</v>
      </c>
      <c r="B664" t="s">
        <v>1397</v>
      </c>
      <c r="C664" t="str">
        <f t="shared" si="234"/>
        <v>Angela Johnson</v>
      </c>
      <c r="D664" t="s">
        <v>67</v>
      </c>
      <c r="E664" t="str">
        <f t="shared" si="235"/>
        <v>Female</v>
      </c>
      <c r="F664">
        <v>42</v>
      </c>
      <c r="G664" t="s">
        <v>32</v>
      </c>
      <c r="H664" t="s">
        <v>33</v>
      </c>
      <c r="I664" t="s">
        <v>13</v>
      </c>
      <c r="J664">
        <v>8</v>
      </c>
      <c r="K664" t="str" cm="1">
        <f t="array" ref="K664">_xlfn.IFS( J664&lt;=5,"0-5", J664&lt;=10,"6-10",J664&lt;=15,"11-15",J664&lt;=20,"16-20",J664&gt;20,"20+")</f>
        <v>6-10</v>
      </c>
      <c r="L664" t="s">
        <v>88</v>
      </c>
      <c r="M664" t="str">
        <f>_xlfn.TEXTAFTER(L664, " ")</f>
        <v>50</v>
      </c>
    </row>
    <row r="665" spans="1:18" x14ac:dyDescent="0.2">
      <c r="A665" t="s">
        <v>1398</v>
      </c>
      <c r="B665" t="s">
        <v>1399</v>
      </c>
      <c r="C665" t="str">
        <f t="shared" si="234"/>
        <v>Sarah Edwards</v>
      </c>
      <c r="D665" t="s">
        <v>10</v>
      </c>
      <c r="E665" t="str">
        <f t="shared" si="235"/>
        <v>Female</v>
      </c>
      <c r="F665">
        <v>59</v>
      </c>
      <c r="G665" t="s">
        <v>83</v>
      </c>
      <c r="H665" t="s">
        <v>84</v>
      </c>
      <c r="I665" t="s">
        <v>13</v>
      </c>
      <c r="J665">
        <v>34</v>
      </c>
      <c r="K665" t="str" cm="1">
        <f t="array" ref="K665">_xlfn.IFS( J665&lt;=5,"0-5", J665&lt;=10,"6-10",J665&lt;=15,"11-15",J665&lt;=20,"16-20",J665&gt;20,"20+")</f>
        <v>20+</v>
      </c>
      <c r="L665">
        <v>100</v>
      </c>
      <c r="M665" s="2">
        <f>L665</f>
        <v>100</v>
      </c>
      <c r="N665">
        <v>2</v>
      </c>
      <c r="O665">
        <v>1</v>
      </c>
      <c r="P665" t="s">
        <v>2075</v>
      </c>
      <c r="Q665" s="1">
        <v>0.79</v>
      </c>
      <c r="R665" s="1">
        <f t="shared" ref="R665:R667" si="258">Q665</f>
        <v>0.79</v>
      </c>
    </row>
    <row r="666" spans="1:18" x14ac:dyDescent="0.2">
      <c r="A666" t="s">
        <v>1400</v>
      </c>
      <c r="B666" t="s">
        <v>1401</v>
      </c>
      <c r="C666" t="str">
        <f t="shared" si="234"/>
        <v>Roy Collins</v>
      </c>
      <c r="D666" t="s">
        <v>17</v>
      </c>
      <c r="E666" t="str">
        <f t="shared" si="235"/>
        <v>Male</v>
      </c>
      <c r="F666">
        <v>33</v>
      </c>
      <c r="G666" t="s">
        <v>32</v>
      </c>
      <c r="H666" t="s">
        <v>33</v>
      </c>
      <c r="I666" t="s">
        <v>13</v>
      </c>
      <c r="J666">
        <v>5</v>
      </c>
      <c r="K666" t="str" cm="1">
        <f t="array" ref="K666">_xlfn.IFS( J666&lt;=5,"0-5", J666&lt;=10,"6-10",J666&lt;=15,"11-15",J666&lt;=20,"16-20",J666&gt;20,"20+")</f>
        <v>0-5</v>
      </c>
      <c r="L666" t="s">
        <v>54</v>
      </c>
      <c r="M666" t="str">
        <f>SUBSTITUTE(L666,"$"," ")</f>
        <v xml:space="preserve"> 50</v>
      </c>
      <c r="N666">
        <v>4.7</v>
      </c>
      <c r="O666">
        <v>1</v>
      </c>
      <c r="Q666" s="1">
        <v>0.88</v>
      </c>
      <c r="R666" s="1">
        <f t="shared" si="258"/>
        <v>0.88</v>
      </c>
    </row>
    <row r="667" spans="1:18" x14ac:dyDescent="0.2">
      <c r="A667" t="s">
        <v>1402</v>
      </c>
      <c r="B667" t="s">
        <v>1403</v>
      </c>
      <c r="C667" t="str">
        <f t="shared" ref="C667:C730" si="259">B667</f>
        <v>Samantha Porter</v>
      </c>
      <c r="D667" t="s">
        <v>24</v>
      </c>
      <c r="E667" t="str">
        <f t="shared" ref="E667:E730" si="260">IF(LOWER(LEFT(D667,1)) ="f", "Female", "Male")</f>
        <v>Female</v>
      </c>
      <c r="F667">
        <v>55</v>
      </c>
      <c r="G667" t="s">
        <v>118</v>
      </c>
      <c r="H667" t="s">
        <v>12</v>
      </c>
      <c r="I667" t="s">
        <v>25</v>
      </c>
      <c r="J667">
        <v>14</v>
      </c>
      <c r="K667" t="str" cm="1">
        <f t="array" ref="K667">_xlfn.IFS( J667&lt;=5,"0-5", J667&lt;=10,"6-10",J667&lt;=15,"11-15",J667&lt;=20,"16-20",J667&gt;20,"20+")</f>
        <v>11-15</v>
      </c>
      <c r="L667" t="s">
        <v>88</v>
      </c>
      <c r="M667" t="str">
        <f>_xlfn.TEXTAFTER(L667, " ")</f>
        <v>50</v>
      </c>
      <c r="N667">
        <v>3.6</v>
      </c>
      <c r="O667">
        <v>1</v>
      </c>
      <c r="Q667" s="1">
        <v>0.81</v>
      </c>
      <c r="R667" s="1">
        <f t="shared" si="258"/>
        <v>0.81</v>
      </c>
    </row>
    <row r="668" spans="1:18" x14ac:dyDescent="0.2">
      <c r="A668" t="s">
        <v>1404</v>
      </c>
      <c r="B668" t="s">
        <v>1405</v>
      </c>
      <c r="C668" t="str">
        <f t="shared" si="259"/>
        <v>Juan Elliott</v>
      </c>
      <c r="D668" t="s">
        <v>17</v>
      </c>
      <c r="E668" t="str">
        <f t="shared" si="260"/>
        <v>Male</v>
      </c>
      <c r="F668">
        <v>47</v>
      </c>
      <c r="G668" t="s">
        <v>102</v>
      </c>
      <c r="H668" t="s">
        <v>103</v>
      </c>
      <c r="I668" t="s">
        <v>63</v>
      </c>
      <c r="J668">
        <v>17</v>
      </c>
      <c r="K668" t="str" cm="1">
        <f t="array" ref="K668">_xlfn.IFS( J668&lt;=5,"0-5", J668&lt;=10,"6-10",J668&lt;=15,"11-15",J668&lt;=20,"16-20",J668&gt;20,"20+")</f>
        <v>16-20</v>
      </c>
      <c r="L668">
        <v>50</v>
      </c>
      <c r="M668" s="2">
        <f>L668</f>
        <v>50</v>
      </c>
      <c r="N668">
        <v>1.2</v>
      </c>
      <c r="O668" t="s">
        <v>21</v>
      </c>
      <c r="P668" t="s">
        <v>2074</v>
      </c>
    </row>
    <row r="669" spans="1:18" x14ac:dyDescent="0.2">
      <c r="A669" t="s">
        <v>1406</v>
      </c>
      <c r="B669" t="s">
        <v>1407</v>
      </c>
      <c r="C669" t="str">
        <f t="shared" si="259"/>
        <v>Elizabeth Phillips</v>
      </c>
      <c r="D669" t="s">
        <v>10</v>
      </c>
      <c r="E669" t="str">
        <f t="shared" si="260"/>
        <v>Female</v>
      </c>
      <c r="F669">
        <v>29</v>
      </c>
      <c r="G669" t="s">
        <v>169</v>
      </c>
      <c r="H669" t="s">
        <v>62</v>
      </c>
      <c r="I669" t="s">
        <v>34</v>
      </c>
      <c r="J669">
        <v>10</v>
      </c>
      <c r="K669" t="str" cm="1">
        <f t="array" ref="K669">_xlfn.IFS( J669&lt;=5,"0-5", J669&lt;=10,"6-10",J669&lt;=15,"11-15",J669&lt;=20,"16-20",J669&gt;20,"20+")</f>
        <v>6-10</v>
      </c>
      <c r="M669"/>
      <c r="N669">
        <v>4.4000000000000004</v>
      </c>
      <c r="O669" t="s">
        <v>64</v>
      </c>
      <c r="Q669" s="1">
        <v>0.67</v>
      </c>
      <c r="R669" s="1">
        <f>Q669</f>
        <v>0.67</v>
      </c>
    </row>
    <row r="670" spans="1:18" x14ac:dyDescent="0.2">
      <c r="A670" t="s">
        <v>1408</v>
      </c>
      <c r="B670" t="s">
        <v>1409</v>
      </c>
      <c r="C670" t="str">
        <f t="shared" si="259"/>
        <v>Laura Evans</v>
      </c>
      <c r="D670" t="s">
        <v>67</v>
      </c>
      <c r="E670" t="str">
        <f t="shared" si="260"/>
        <v>Female</v>
      </c>
      <c r="F670">
        <v>30</v>
      </c>
      <c r="G670" t="s">
        <v>57</v>
      </c>
      <c r="H670" t="s">
        <v>12</v>
      </c>
      <c r="I670" t="s">
        <v>79</v>
      </c>
      <c r="J670">
        <v>8</v>
      </c>
      <c r="K670" t="str" cm="1">
        <f t="array" ref="K670">_xlfn.IFS( J670&lt;=5,"0-5", J670&lt;=10,"6-10",J670&lt;=15,"11-15",J670&lt;=20,"16-20",J670&gt;20,"20+")</f>
        <v>6-10</v>
      </c>
      <c r="L670">
        <v>100</v>
      </c>
      <c r="M670" s="2">
        <f>L670</f>
        <v>100</v>
      </c>
      <c r="N670">
        <v>1.4</v>
      </c>
      <c r="O670" t="s">
        <v>58</v>
      </c>
      <c r="P670" t="s">
        <v>2075</v>
      </c>
      <c r="Q670">
        <v>62</v>
      </c>
      <c r="R670" s="3">
        <f>Q670/100</f>
        <v>0.62</v>
      </c>
    </row>
    <row r="671" spans="1:18" x14ac:dyDescent="0.2">
      <c r="A671" t="s">
        <v>1410</v>
      </c>
      <c r="B671" t="s">
        <v>1411</v>
      </c>
      <c r="C671" t="str">
        <f t="shared" si="259"/>
        <v>Amanda Mitchell</v>
      </c>
      <c r="D671" t="s">
        <v>10</v>
      </c>
      <c r="E671" t="str">
        <f t="shared" si="260"/>
        <v>Female</v>
      </c>
      <c r="F671">
        <v>25</v>
      </c>
      <c r="G671" t="s">
        <v>118</v>
      </c>
      <c r="H671" t="s">
        <v>12</v>
      </c>
      <c r="I671" t="s">
        <v>79</v>
      </c>
      <c r="J671">
        <v>1</v>
      </c>
      <c r="K671" t="str" cm="1">
        <f t="array" ref="K671">_xlfn.IFS( J671&lt;=5,"0-5", J671&lt;=10,"6-10",J671&lt;=15,"11-15",J671&lt;=20,"16-20",J671&gt;20,"20+")</f>
        <v>0-5</v>
      </c>
      <c r="L671" t="s">
        <v>99</v>
      </c>
      <c r="M671" t="str">
        <f>_xlfn.TEXTAFTER(L671, " ")</f>
        <v>30</v>
      </c>
      <c r="N671">
        <v>3.2</v>
      </c>
      <c r="O671">
        <v>0</v>
      </c>
      <c r="Q671" s="1">
        <v>0.87</v>
      </c>
      <c r="R671" s="1">
        <f t="shared" ref="R671:R674" si="261">Q671</f>
        <v>0.87</v>
      </c>
    </row>
    <row r="672" spans="1:18" x14ac:dyDescent="0.2">
      <c r="A672" t="s">
        <v>1412</v>
      </c>
      <c r="B672" t="s">
        <v>1413</v>
      </c>
      <c r="C672" t="str">
        <f t="shared" si="259"/>
        <v>Sandra Williams</v>
      </c>
      <c r="D672" t="s">
        <v>29</v>
      </c>
      <c r="E672" t="str">
        <f t="shared" si="260"/>
        <v>Female</v>
      </c>
      <c r="F672">
        <v>28</v>
      </c>
      <c r="G672" t="s">
        <v>129</v>
      </c>
      <c r="H672" t="s">
        <v>130</v>
      </c>
      <c r="I672" t="s">
        <v>68</v>
      </c>
      <c r="J672">
        <v>10</v>
      </c>
      <c r="K672" t="str" cm="1">
        <f t="array" ref="K672">_xlfn.IFS( J672&lt;=5,"0-5", J672&lt;=10,"6-10",J672&lt;=15,"11-15",J672&lt;=20,"16-20",J672&gt;20,"20+")</f>
        <v>6-10</v>
      </c>
      <c r="M672"/>
      <c r="N672">
        <v>3.8</v>
      </c>
      <c r="O672" t="s">
        <v>58</v>
      </c>
      <c r="Q672" s="1">
        <v>0.98</v>
      </c>
      <c r="R672" s="1">
        <f t="shared" si="261"/>
        <v>0.98</v>
      </c>
    </row>
    <row r="673" spans="1:18" x14ac:dyDescent="0.2">
      <c r="A673" t="s">
        <v>1414</v>
      </c>
      <c r="B673" t="s">
        <v>1415</v>
      </c>
      <c r="C673" t="str">
        <f t="shared" si="259"/>
        <v>Eric Johnson</v>
      </c>
      <c r="D673" t="s">
        <v>17</v>
      </c>
      <c r="E673" t="str">
        <f t="shared" si="260"/>
        <v>Male</v>
      </c>
      <c r="F673">
        <v>29</v>
      </c>
      <c r="G673" t="s">
        <v>102</v>
      </c>
      <c r="H673" t="s">
        <v>103</v>
      </c>
      <c r="I673" t="s">
        <v>7</v>
      </c>
      <c r="J673">
        <v>0</v>
      </c>
      <c r="K673" t="str" cm="1">
        <f t="array" ref="K673">_xlfn.IFS( J673&lt;=5,"0-5", J673&lt;=10,"6-10",J673&lt;=15,"11-15",J673&lt;=20,"16-20",J673&gt;20,"20+")</f>
        <v>0-5</v>
      </c>
      <c r="L673" t="s">
        <v>160</v>
      </c>
      <c r="M673" t="str">
        <f>SUBSTITUTE(L673,"$"," ")</f>
        <v xml:space="preserve"> 75</v>
      </c>
      <c r="N673">
        <v>1.5</v>
      </c>
      <c r="O673" t="b">
        <v>1</v>
      </c>
      <c r="Q673" s="1">
        <v>0.64</v>
      </c>
      <c r="R673" s="1">
        <f t="shared" si="261"/>
        <v>0.64</v>
      </c>
    </row>
    <row r="674" spans="1:18" x14ac:dyDescent="0.2">
      <c r="A674" t="s">
        <v>1416</v>
      </c>
      <c r="B674" t="s">
        <v>1417</v>
      </c>
      <c r="C674" t="str">
        <f t="shared" si="259"/>
        <v>Javier Hobbs</v>
      </c>
      <c r="D674" t="s">
        <v>87</v>
      </c>
      <c r="E674" t="str">
        <f t="shared" si="260"/>
        <v>Male</v>
      </c>
      <c r="F674">
        <v>30</v>
      </c>
      <c r="G674" t="s">
        <v>180</v>
      </c>
      <c r="H674" t="s">
        <v>62</v>
      </c>
      <c r="I674" t="s">
        <v>20</v>
      </c>
      <c r="J674">
        <v>4</v>
      </c>
      <c r="K674" t="str" cm="1">
        <f t="array" ref="K674">_xlfn.IFS( J674&lt;=5,"0-5", J674&lt;=10,"6-10",J674&lt;=15,"11-15",J674&lt;=20,"16-20",J674&gt;20,"20+")</f>
        <v>0-5</v>
      </c>
      <c r="M674"/>
      <c r="N674">
        <v>2.8</v>
      </c>
      <c r="O674">
        <v>1</v>
      </c>
      <c r="Q674" s="1">
        <v>0.71</v>
      </c>
      <c r="R674" s="1">
        <f t="shared" si="261"/>
        <v>0.71</v>
      </c>
    </row>
    <row r="675" spans="1:18" x14ac:dyDescent="0.2">
      <c r="A675" t="s">
        <v>1418</v>
      </c>
      <c r="B675" t="s">
        <v>1419</v>
      </c>
      <c r="C675" t="str">
        <f t="shared" si="259"/>
        <v>Jacob Jones</v>
      </c>
      <c r="D675" t="s">
        <v>17</v>
      </c>
      <c r="E675" t="str">
        <f t="shared" si="260"/>
        <v>Male</v>
      </c>
      <c r="F675">
        <v>47</v>
      </c>
      <c r="G675" t="s">
        <v>129</v>
      </c>
      <c r="H675" t="s">
        <v>130</v>
      </c>
      <c r="I675" t="s">
        <v>34</v>
      </c>
      <c r="J675">
        <v>2</v>
      </c>
      <c r="K675" t="str" cm="1">
        <f t="array" ref="K675">_xlfn.IFS( J675&lt;=5,"0-5", J675&lt;=10,"6-10",J675&lt;=15,"11-15",J675&lt;=20,"16-20",J675&gt;20,"20+")</f>
        <v>0-5</v>
      </c>
      <c r="L675">
        <v>50</v>
      </c>
      <c r="M675" s="2">
        <f>L675</f>
        <v>50</v>
      </c>
      <c r="N675">
        <v>2.7</v>
      </c>
      <c r="O675" t="s">
        <v>149</v>
      </c>
      <c r="P675" t="s">
        <v>2074</v>
      </c>
      <c r="Q675">
        <v>96</v>
      </c>
      <c r="R675" s="3">
        <f>Q675/100</f>
        <v>0.96</v>
      </c>
    </row>
    <row r="676" spans="1:18" x14ac:dyDescent="0.2">
      <c r="A676" t="s">
        <v>1420</v>
      </c>
      <c r="B676" t="s">
        <v>1421</v>
      </c>
      <c r="C676" t="str">
        <f t="shared" si="259"/>
        <v>Zachary Murphy</v>
      </c>
      <c r="D676" t="s">
        <v>51</v>
      </c>
      <c r="E676" t="str">
        <f t="shared" si="260"/>
        <v>Male</v>
      </c>
      <c r="F676">
        <v>34</v>
      </c>
      <c r="G676" t="s">
        <v>11</v>
      </c>
      <c r="H676" t="s">
        <v>12</v>
      </c>
      <c r="I676" t="s">
        <v>7</v>
      </c>
      <c r="J676">
        <v>10</v>
      </c>
      <c r="K676" t="str" cm="1">
        <f t="array" ref="K676">_xlfn.IFS( J676&lt;=5,"0-5", J676&lt;=10,"6-10",J676&lt;=15,"11-15",J676&lt;=20,"16-20",J676&gt;20,"20+")</f>
        <v>6-10</v>
      </c>
      <c r="L676" t="s">
        <v>35</v>
      </c>
      <c r="M676" t="str">
        <f>SUBSTITUTE(L676,"$"," ")</f>
        <v xml:space="preserve"> 30</v>
      </c>
      <c r="N676">
        <v>3.9</v>
      </c>
    </row>
    <row r="677" spans="1:18" x14ac:dyDescent="0.2">
      <c r="A677" t="s">
        <v>1422</v>
      </c>
      <c r="B677" t="s">
        <v>1423</v>
      </c>
      <c r="C677" t="str">
        <f t="shared" si="259"/>
        <v>Joshua Owens</v>
      </c>
      <c r="D677" t="s">
        <v>82</v>
      </c>
      <c r="E677" t="str">
        <f t="shared" si="260"/>
        <v>Male</v>
      </c>
      <c r="F677">
        <v>45</v>
      </c>
      <c r="G677" t="s">
        <v>48</v>
      </c>
      <c r="H677" t="s">
        <v>12</v>
      </c>
      <c r="I677" t="s">
        <v>20</v>
      </c>
      <c r="J677">
        <v>16</v>
      </c>
      <c r="K677" t="str" cm="1">
        <f t="array" ref="K677">_xlfn.IFS( J677&lt;=5,"0-5", J677&lt;=10,"6-10",J677&lt;=15,"11-15",J677&lt;=20,"16-20",J677&gt;20,"20+")</f>
        <v>16-20</v>
      </c>
      <c r="L677">
        <v>100</v>
      </c>
      <c r="M677" s="2">
        <f>L677</f>
        <v>100</v>
      </c>
      <c r="N677">
        <v>4.5999999999999996</v>
      </c>
      <c r="O677" t="s">
        <v>21</v>
      </c>
      <c r="P677" t="s">
        <v>2074</v>
      </c>
      <c r="Q677" s="1">
        <v>0.78</v>
      </c>
      <c r="R677" s="1">
        <f t="shared" ref="R677:R679" si="262">Q677</f>
        <v>0.78</v>
      </c>
    </row>
    <row r="678" spans="1:18" x14ac:dyDescent="0.2">
      <c r="A678" t="s">
        <v>1424</v>
      </c>
      <c r="B678" t="s">
        <v>1425</v>
      </c>
      <c r="C678" t="str">
        <f t="shared" si="259"/>
        <v>Dawn Mitchell</v>
      </c>
      <c r="D678" t="s">
        <v>24</v>
      </c>
      <c r="E678" t="str">
        <f t="shared" si="260"/>
        <v>Female</v>
      </c>
      <c r="F678">
        <v>56</v>
      </c>
      <c r="G678" t="s">
        <v>180</v>
      </c>
      <c r="H678" t="s">
        <v>62</v>
      </c>
      <c r="I678" t="s">
        <v>68</v>
      </c>
      <c r="J678">
        <v>27</v>
      </c>
      <c r="K678" t="str" cm="1">
        <f t="array" ref="K678">_xlfn.IFS( J678&lt;=5,"0-5", J678&lt;=10,"6-10",J678&lt;=15,"11-15",J678&lt;=20,"16-20",J678&gt;20,"20+")</f>
        <v>20+</v>
      </c>
      <c r="L678" t="s">
        <v>111</v>
      </c>
      <c r="M678" t="str">
        <f>SUBSTITUTE(L678,"$"," ")</f>
        <v xml:space="preserve"> 20</v>
      </c>
      <c r="N678">
        <v>2.2000000000000002</v>
      </c>
      <c r="O678" t="b">
        <v>0</v>
      </c>
      <c r="Q678" s="1">
        <v>0.7</v>
      </c>
      <c r="R678" s="1">
        <f t="shared" si="262"/>
        <v>0.7</v>
      </c>
    </row>
    <row r="679" spans="1:18" x14ac:dyDescent="0.2">
      <c r="A679" t="s">
        <v>1426</v>
      </c>
      <c r="B679" t="s">
        <v>1427</v>
      </c>
      <c r="C679" t="str">
        <f t="shared" si="259"/>
        <v>Regina Dunn</v>
      </c>
      <c r="D679" t="s">
        <v>29</v>
      </c>
      <c r="E679" t="str">
        <f t="shared" si="260"/>
        <v>Female</v>
      </c>
      <c r="F679">
        <v>49</v>
      </c>
      <c r="G679" t="s">
        <v>165</v>
      </c>
      <c r="H679" t="s">
        <v>166</v>
      </c>
      <c r="I679" t="s">
        <v>79</v>
      </c>
      <c r="J679">
        <v>20</v>
      </c>
      <c r="K679" t="str" cm="1">
        <f t="array" ref="K679">_xlfn.IFS( J679&lt;=5,"0-5", J679&lt;=10,"6-10",J679&lt;=15,"11-15",J679&lt;=20,"16-20",J679&gt;20,"20+")</f>
        <v>16-20</v>
      </c>
      <c r="L679">
        <v>50</v>
      </c>
      <c r="M679" s="2">
        <f>L679</f>
        <v>50</v>
      </c>
      <c r="N679">
        <v>2.5</v>
      </c>
      <c r="O679">
        <v>0</v>
      </c>
      <c r="P679" t="s">
        <v>2074</v>
      </c>
      <c r="Q679" s="1">
        <v>0.82</v>
      </c>
      <c r="R679" s="1">
        <f t="shared" si="262"/>
        <v>0.82</v>
      </c>
    </row>
    <row r="680" spans="1:18" x14ac:dyDescent="0.2">
      <c r="A680" t="s">
        <v>1428</v>
      </c>
      <c r="B680" t="s">
        <v>1429</v>
      </c>
      <c r="C680" t="str">
        <f t="shared" si="259"/>
        <v>Ernest Cole</v>
      </c>
      <c r="D680" t="s">
        <v>51</v>
      </c>
      <c r="E680" t="str">
        <f t="shared" si="260"/>
        <v>Male</v>
      </c>
      <c r="F680">
        <v>48</v>
      </c>
      <c r="G680" t="s">
        <v>125</v>
      </c>
      <c r="H680" t="s">
        <v>126</v>
      </c>
      <c r="I680" t="s">
        <v>34</v>
      </c>
      <c r="J680">
        <v>10</v>
      </c>
      <c r="K680" t="str" cm="1">
        <f t="array" ref="K680">_xlfn.IFS( J680&lt;=5,"0-5", J680&lt;=10,"6-10",J680&lt;=15,"11-15",J680&lt;=20,"16-20",J680&gt;20,"20+")</f>
        <v>6-10</v>
      </c>
      <c r="M680"/>
      <c r="N680">
        <v>3.1</v>
      </c>
      <c r="O680" t="b">
        <v>0</v>
      </c>
    </row>
    <row r="681" spans="1:18" x14ac:dyDescent="0.2">
      <c r="A681" t="s">
        <v>1430</v>
      </c>
      <c r="B681" t="s">
        <v>1431</v>
      </c>
      <c r="C681" t="str">
        <f t="shared" si="259"/>
        <v>Hannah Sanders</v>
      </c>
      <c r="D681" t="s">
        <v>29</v>
      </c>
      <c r="E681" t="str">
        <f t="shared" si="260"/>
        <v>Female</v>
      </c>
      <c r="F681">
        <v>29</v>
      </c>
      <c r="G681" t="s">
        <v>102</v>
      </c>
      <c r="H681" t="s">
        <v>103</v>
      </c>
      <c r="I681" t="s">
        <v>20</v>
      </c>
      <c r="J681">
        <v>0</v>
      </c>
      <c r="K681" t="str" cm="1">
        <f t="array" ref="K681">_xlfn.IFS( J681&lt;=5,"0-5", J681&lt;=10,"6-10",J681&lt;=15,"11-15",J681&lt;=20,"16-20",J681&gt;20,"20+")</f>
        <v>0-5</v>
      </c>
      <c r="L681" t="s">
        <v>111</v>
      </c>
      <c r="M681" t="str">
        <f>SUBSTITUTE(L681,"$"," ")</f>
        <v xml:space="preserve"> 20</v>
      </c>
      <c r="O681">
        <v>1</v>
      </c>
      <c r="Q681" s="1">
        <v>0.99</v>
      </c>
      <c r="R681" s="1">
        <f t="shared" ref="R681:R683" si="263">Q681</f>
        <v>0.99</v>
      </c>
    </row>
    <row r="682" spans="1:18" x14ac:dyDescent="0.2">
      <c r="A682" t="s">
        <v>1432</v>
      </c>
      <c r="B682" t="s">
        <v>1433</v>
      </c>
      <c r="C682" t="str">
        <f t="shared" si="259"/>
        <v>Ellen Bowman</v>
      </c>
      <c r="D682" t="s">
        <v>67</v>
      </c>
      <c r="E682" t="str">
        <f t="shared" si="260"/>
        <v>Female</v>
      </c>
      <c r="F682">
        <v>49</v>
      </c>
      <c r="G682" t="s">
        <v>32</v>
      </c>
      <c r="H682" t="s">
        <v>33</v>
      </c>
      <c r="I682" t="s">
        <v>25</v>
      </c>
      <c r="J682">
        <v>11</v>
      </c>
      <c r="K682" t="str" cm="1">
        <f t="array" ref="K682">_xlfn.IFS( J682&lt;=5,"0-5", J682&lt;=10,"6-10",J682&lt;=15,"11-15",J682&lt;=20,"16-20",J682&gt;20,"20+")</f>
        <v>11-15</v>
      </c>
      <c r="L682">
        <v>75</v>
      </c>
      <c r="M682" s="2">
        <f t="shared" ref="M682:M683" si="264">L682</f>
        <v>75</v>
      </c>
      <c r="N682">
        <v>3.8</v>
      </c>
      <c r="O682" t="s">
        <v>64</v>
      </c>
      <c r="P682" t="s">
        <v>2075</v>
      </c>
      <c r="Q682" s="1">
        <v>0.93</v>
      </c>
      <c r="R682" s="1">
        <f t="shared" si="263"/>
        <v>0.93</v>
      </c>
    </row>
    <row r="683" spans="1:18" x14ac:dyDescent="0.2">
      <c r="A683" t="s">
        <v>1434</v>
      </c>
      <c r="B683" t="s">
        <v>1435</v>
      </c>
      <c r="C683" t="str">
        <f t="shared" si="259"/>
        <v>Nancy Moore</v>
      </c>
      <c r="D683" t="s">
        <v>10</v>
      </c>
      <c r="E683" t="str">
        <f t="shared" si="260"/>
        <v>Female</v>
      </c>
      <c r="F683">
        <v>22</v>
      </c>
      <c r="G683" t="s">
        <v>165</v>
      </c>
      <c r="H683" t="s">
        <v>166</v>
      </c>
      <c r="I683" t="s">
        <v>7</v>
      </c>
      <c r="J683">
        <v>1</v>
      </c>
      <c r="K683" t="str" cm="1">
        <f t="array" ref="K683">_xlfn.IFS( J683&lt;=5,"0-5", J683&lt;=10,"6-10",J683&lt;=15,"11-15",J683&lt;=20,"16-20",J683&gt;20,"20+")</f>
        <v>0-5</v>
      </c>
      <c r="L683">
        <v>100</v>
      </c>
      <c r="M683" s="2">
        <f t="shared" si="264"/>
        <v>100</v>
      </c>
      <c r="N683">
        <v>4.8</v>
      </c>
      <c r="O683" t="s">
        <v>64</v>
      </c>
      <c r="P683" t="s">
        <v>2075</v>
      </c>
      <c r="Q683" s="1">
        <v>0.75</v>
      </c>
      <c r="R683" s="1">
        <f t="shared" si="263"/>
        <v>0.75</v>
      </c>
    </row>
    <row r="684" spans="1:18" x14ac:dyDescent="0.2">
      <c r="A684" t="s">
        <v>1436</v>
      </c>
      <c r="B684" t="s">
        <v>1437</v>
      </c>
      <c r="C684" t="str">
        <f t="shared" si="259"/>
        <v>Joseph Wood</v>
      </c>
      <c r="D684" t="s">
        <v>38</v>
      </c>
      <c r="E684" t="str">
        <f t="shared" si="260"/>
        <v>Male</v>
      </c>
      <c r="F684">
        <v>52</v>
      </c>
      <c r="G684" t="s">
        <v>169</v>
      </c>
      <c r="H684" t="s">
        <v>62</v>
      </c>
      <c r="I684" t="s">
        <v>20</v>
      </c>
      <c r="J684">
        <v>30</v>
      </c>
      <c r="K684" t="str" cm="1">
        <f t="array" ref="K684">_xlfn.IFS( J684&lt;=5,"0-5", J684&lt;=10,"6-10",J684&lt;=15,"11-15",J684&lt;=20,"16-20",J684&gt;20,"20+")</f>
        <v>20+</v>
      </c>
      <c r="L684" t="s">
        <v>14</v>
      </c>
      <c r="M684" t="str">
        <f t="shared" ref="M684:M685" si="265">_xlfn.TEXTAFTER(L684, " ")</f>
        <v>100</v>
      </c>
      <c r="N684">
        <v>2.5</v>
      </c>
      <c r="Q684">
        <v>61</v>
      </c>
      <c r="R684" s="3">
        <f>Q684/100</f>
        <v>0.61</v>
      </c>
    </row>
    <row r="685" spans="1:18" x14ac:dyDescent="0.2">
      <c r="A685" t="s">
        <v>1438</v>
      </c>
      <c r="B685" t="s">
        <v>1439</v>
      </c>
      <c r="C685" t="str">
        <f t="shared" si="259"/>
        <v>Michael Harrell</v>
      </c>
      <c r="D685" t="s">
        <v>51</v>
      </c>
      <c r="E685" t="str">
        <f t="shared" si="260"/>
        <v>Male</v>
      </c>
      <c r="F685">
        <v>60</v>
      </c>
      <c r="G685" t="s">
        <v>118</v>
      </c>
      <c r="H685" t="s">
        <v>12</v>
      </c>
      <c r="I685" t="s">
        <v>7</v>
      </c>
      <c r="J685">
        <v>7</v>
      </c>
      <c r="K685" t="str" cm="1">
        <f t="array" ref="K685">_xlfn.IFS( J685&lt;=5,"0-5", J685&lt;=10,"6-10",J685&lt;=15,"11-15",J685&lt;=20,"16-20",J685&gt;20,"20+")</f>
        <v>6-10</v>
      </c>
      <c r="L685" t="s">
        <v>99</v>
      </c>
      <c r="M685" t="str">
        <f t="shared" si="265"/>
        <v>30</v>
      </c>
      <c r="N685">
        <v>0</v>
      </c>
      <c r="O685" t="s">
        <v>149</v>
      </c>
      <c r="Q685" s="1">
        <v>0.97</v>
      </c>
      <c r="R685" s="1">
        <f>Q685</f>
        <v>0.97</v>
      </c>
    </row>
    <row r="686" spans="1:18" x14ac:dyDescent="0.2">
      <c r="A686" t="s">
        <v>1440</v>
      </c>
      <c r="B686" t="s">
        <v>1441</v>
      </c>
      <c r="C686" t="str">
        <f t="shared" si="259"/>
        <v>Connie Mcclain</v>
      </c>
      <c r="D686" t="s">
        <v>24</v>
      </c>
      <c r="E686" t="str">
        <f t="shared" si="260"/>
        <v>Female</v>
      </c>
      <c r="F686">
        <v>33</v>
      </c>
      <c r="G686" t="s">
        <v>75</v>
      </c>
      <c r="H686" t="s">
        <v>76</v>
      </c>
      <c r="I686" t="s">
        <v>63</v>
      </c>
      <c r="J686">
        <v>0</v>
      </c>
      <c r="K686" t="str" cm="1">
        <f t="array" ref="K686">_xlfn.IFS( J686&lt;=5,"0-5", J686&lt;=10,"6-10",J686&lt;=15,"11-15",J686&lt;=20,"16-20",J686&gt;20,"20+")</f>
        <v>0-5</v>
      </c>
      <c r="L686" t="s">
        <v>219</v>
      </c>
      <c r="M686" t="str">
        <f>SUBSTITUTE(L686,"$"," ")</f>
        <v xml:space="preserve"> 100</v>
      </c>
      <c r="N686">
        <v>1.7</v>
      </c>
      <c r="O686">
        <v>1</v>
      </c>
      <c r="Q686">
        <v>95</v>
      </c>
      <c r="R686" s="3">
        <f>Q686/100</f>
        <v>0.95</v>
      </c>
    </row>
    <row r="687" spans="1:18" x14ac:dyDescent="0.2">
      <c r="A687" t="s">
        <v>1442</v>
      </c>
      <c r="B687" t="s">
        <v>1443</v>
      </c>
      <c r="C687" t="str">
        <f t="shared" si="259"/>
        <v>Matthew Baldwin</v>
      </c>
      <c r="D687" t="s">
        <v>82</v>
      </c>
      <c r="E687" t="str">
        <f t="shared" si="260"/>
        <v>Male</v>
      </c>
      <c r="F687">
        <v>52</v>
      </c>
      <c r="G687" t="s">
        <v>102</v>
      </c>
      <c r="H687" t="s">
        <v>103</v>
      </c>
      <c r="I687" t="s">
        <v>20</v>
      </c>
      <c r="J687">
        <v>21</v>
      </c>
      <c r="K687" t="str" cm="1">
        <f t="array" ref="K687">_xlfn.IFS( J687&lt;=5,"0-5", J687&lt;=10,"6-10",J687&lt;=15,"11-15",J687&lt;=20,"16-20",J687&gt;20,"20+")</f>
        <v>20+</v>
      </c>
      <c r="L687" t="s">
        <v>45</v>
      </c>
      <c r="M687" t="str">
        <f t="shared" ref="M687:M689" si="266">_xlfn.TEXTAFTER(L687, " ")</f>
        <v>40</v>
      </c>
      <c r="N687">
        <v>4</v>
      </c>
      <c r="Q687" s="1">
        <v>0.69</v>
      </c>
      <c r="R687" s="1">
        <f t="shared" ref="R687:R690" si="267">Q687</f>
        <v>0.69</v>
      </c>
    </row>
    <row r="688" spans="1:18" x14ac:dyDescent="0.2">
      <c r="A688" t="s">
        <v>1444</v>
      </c>
      <c r="B688" t="s">
        <v>1445</v>
      </c>
      <c r="C688" t="str">
        <f t="shared" si="259"/>
        <v>Danielle Nelson</v>
      </c>
      <c r="D688" t="s">
        <v>4</v>
      </c>
      <c r="E688" t="str">
        <f t="shared" si="260"/>
        <v>Female</v>
      </c>
      <c r="F688">
        <v>25</v>
      </c>
      <c r="G688" t="s">
        <v>18</v>
      </c>
      <c r="H688" t="s">
        <v>19</v>
      </c>
      <c r="I688" t="s">
        <v>79</v>
      </c>
      <c r="J688">
        <v>7</v>
      </c>
      <c r="K688" t="str" cm="1">
        <f t="array" ref="K688">_xlfn.IFS( J688&lt;=5,"0-5", J688&lt;=10,"6-10",J688&lt;=15,"11-15",J688&lt;=20,"16-20",J688&gt;20,"20+")</f>
        <v>6-10</v>
      </c>
      <c r="L688" t="s">
        <v>14</v>
      </c>
      <c r="M688" t="str">
        <f t="shared" si="266"/>
        <v>100</v>
      </c>
      <c r="N688">
        <v>1.9</v>
      </c>
      <c r="O688" t="b">
        <v>0</v>
      </c>
      <c r="Q688" s="1">
        <v>0.63</v>
      </c>
      <c r="R688" s="1">
        <f t="shared" si="267"/>
        <v>0.63</v>
      </c>
    </row>
    <row r="689" spans="1:18" x14ac:dyDescent="0.2">
      <c r="A689" t="s">
        <v>1446</v>
      </c>
      <c r="B689" t="s">
        <v>1447</v>
      </c>
      <c r="C689" t="str">
        <f t="shared" si="259"/>
        <v>Steven Moore</v>
      </c>
      <c r="D689" t="s">
        <v>82</v>
      </c>
      <c r="E689" t="str">
        <f t="shared" si="260"/>
        <v>Male</v>
      </c>
      <c r="F689">
        <v>33</v>
      </c>
      <c r="G689" t="s">
        <v>75</v>
      </c>
      <c r="H689" t="s">
        <v>76</v>
      </c>
      <c r="I689" t="s">
        <v>68</v>
      </c>
      <c r="K689" t="str" cm="1">
        <f t="array" ref="K689">_xlfn.IFS( J689&lt;=5,"0-5", J689&lt;=10,"6-10",J689&lt;=15,"11-15",J689&lt;=20,"16-20",J689&gt;20,"20+")</f>
        <v>0-5</v>
      </c>
      <c r="L689" t="s">
        <v>99</v>
      </c>
      <c r="M689" t="str">
        <f t="shared" si="266"/>
        <v>30</v>
      </c>
      <c r="N689">
        <v>4.4000000000000004</v>
      </c>
      <c r="O689" t="b">
        <v>1</v>
      </c>
      <c r="Q689" s="1">
        <v>0.65</v>
      </c>
      <c r="R689" s="1">
        <f t="shared" si="267"/>
        <v>0.65</v>
      </c>
    </row>
    <row r="690" spans="1:18" x14ac:dyDescent="0.2">
      <c r="A690" t="s">
        <v>1448</v>
      </c>
      <c r="B690" t="s">
        <v>1449</v>
      </c>
      <c r="C690" t="str">
        <f t="shared" si="259"/>
        <v>Megan Hudson</v>
      </c>
      <c r="D690" t="s">
        <v>4</v>
      </c>
      <c r="E690" t="str">
        <f t="shared" si="260"/>
        <v>Female</v>
      </c>
      <c r="F690">
        <v>33</v>
      </c>
      <c r="G690" t="s">
        <v>165</v>
      </c>
      <c r="H690" t="s">
        <v>166</v>
      </c>
      <c r="I690" t="s">
        <v>13</v>
      </c>
      <c r="K690" t="str" cm="1">
        <f t="array" ref="K690">_xlfn.IFS( J690&lt;=5,"0-5", J690&lt;=10,"6-10",J690&lt;=15,"11-15",J690&lt;=20,"16-20",J690&gt;20,"20+")</f>
        <v>0-5</v>
      </c>
      <c r="M690"/>
      <c r="N690">
        <v>4.2</v>
      </c>
      <c r="O690" t="s">
        <v>64</v>
      </c>
      <c r="Q690" s="1">
        <v>0.9</v>
      </c>
      <c r="R690" s="1">
        <f t="shared" si="267"/>
        <v>0.9</v>
      </c>
    </row>
    <row r="691" spans="1:18" x14ac:dyDescent="0.2">
      <c r="A691" t="s">
        <v>1450</v>
      </c>
      <c r="B691" t="s">
        <v>31</v>
      </c>
      <c r="C691" t="str">
        <f t="shared" si="259"/>
        <v>Lisa Johnson</v>
      </c>
      <c r="D691" t="s">
        <v>67</v>
      </c>
      <c r="E691" t="str">
        <f t="shared" si="260"/>
        <v>Female</v>
      </c>
      <c r="F691">
        <v>52</v>
      </c>
      <c r="G691" t="s">
        <v>118</v>
      </c>
      <c r="H691" t="s">
        <v>12</v>
      </c>
      <c r="I691" t="s">
        <v>63</v>
      </c>
      <c r="J691">
        <v>25</v>
      </c>
      <c r="K691" t="str" cm="1">
        <f t="array" ref="K691">_xlfn.IFS( J691&lt;=5,"0-5", J691&lt;=10,"6-10",J691&lt;=15,"11-15",J691&lt;=20,"16-20",J691&gt;20,"20+")</f>
        <v>20+</v>
      </c>
      <c r="L691">
        <v>100</v>
      </c>
      <c r="M691" s="2">
        <f>L691</f>
        <v>100</v>
      </c>
      <c r="N691">
        <v>4.8</v>
      </c>
      <c r="O691" t="s">
        <v>21</v>
      </c>
      <c r="P691" t="s">
        <v>2074</v>
      </c>
    </row>
    <row r="692" spans="1:18" x14ac:dyDescent="0.2">
      <c r="A692" t="s">
        <v>1451</v>
      </c>
      <c r="B692" t="s">
        <v>1452</v>
      </c>
      <c r="C692" t="str">
        <f t="shared" si="259"/>
        <v>Tracy White</v>
      </c>
      <c r="D692" t="s">
        <v>4</v>
      </c>
      <c r="E692" t="str">
        <f t="shared" si="260"/>
        <v>Female</v>
      </c>
      <c r="F692">
        <v>20</v>
      </c>
      <c r="G692" t="s">
        <v>39</v>
      </c>
      <c r="H692" t="s">
        <v>40</v>
      </c>
      <c r="I692" t="s">
        <v>25</v>
      </c>
      <c r="J692">
        <v>1</v>
      </c>
      <c r="K692" t="str" cm="1">
        <f t="array" ref="K692">_xlfn.IFS( J692&lt;=5,"0-5", J692&lt;=10,"6-10",J692&lt;=15,"11-15",J692&lt;=20,"16-20",J692&gt;20,"20+")</f>
        <v>0-5</v>
      </c>
      <c r="L692" t="s">
        <v>99</v>
      </c>
      <c r="M692" t="str">
        <f t="shared" ref="M692:M693" si="268">_xlfn.TEXTAFTER(L692, " ")</f>
        <v>30</v>
      </c>
      <c r="N692">
        <v>2</v>
      </c>
      <c r="O692" t="s">
        <v>149</v>
      </c>
      <c r="Q692" s="1">
        <v>0.89</v>
      </c>
      <c r="R692" s="1">
        <f t="shared" ref="R692:R694" si="269">Q692</f>
        <v>0.89</v>
      </c>
    </row>
    <row r="693" spans="1:18" x14ac:dyDescent="0.2">
      <c r="A693" t="s">
        <v>1453</v>
      </c>
      <c r="B693" t="s">
        <v>1454</v>
      </c>
      <c r="C693" t="str">
        <f t="shared" si="259"/>
        <v>Natalie Diaz</v>
      </c>
      <c r="D693" t="s">
        <v>10</v>
      </c>
      <c r="E693" t="str">
        <f t="shared" si="260"/>
        <v>Female</v>
      </c>
      <c r="F693">
        <v>43</v>
      </c>
      <c r="G693" t="s">
        <v>114</v>
      </c>
      <c r="H693" t="s">
        <v>115</v>
      </c>
      <c r="I693" t="s">
        <v>41</v>
      </c>
      <c r="J693">
        <v>7</v>
      </c>
      <c r="K693" t="str" cm="1">
        <f t="array" ref="K693">_xlfn.IFS( J693&lt;=5,"0-5", J693&lt;=10,"6-10",J693&lt;=15,"11-15",J693&lt;=20,"16-20",J693&gt;20,"20+")</f>
        <v>6-10</v>
      </c>
      <c r="L693" t="s">
        <v>88</v>
      </c>
      <c r="M693" t="str">
        <f t="shared" si="268"/>
        <v>50</v>
      </c>
      <c r="O693">
        <v>1</v>
      </c>
      <c r="Q693" s="1">
        <v>0.8</v>
      </c>
      <c r="R693" s="1">
        <f t="shared" si="269"/>
        <v>0.8</v>
      </c>
    </row>
    <row r="694" spans="1:18" x14ac:dyDescent="0.2">
      <c r="A694" t="s">
        <v>1455</v>
      </c>
      <c r="B694" t="s">
        <v>1411</v>
      </c>
      <c r="C694" t="str">
        <f t="shared" si="259"/>
        <v>Amanda Mitchell</v>
      </c>
      <c r="D694" t="s">
        <v>29</v>
      </c>
      <c r="E694" t="str">
        <f t="shared" si="260"/>
        <v>Female</v>
      </c>
      <c r="F694">
        <v>31</v>
      </c>
      <c r="G694" t="s">
        <v>125</v>
      </c>
      <c r="H694" t="s">
        <v>126</v>
      </c>
      <c r="I694" t="s">
        <v>13</v>
      </c>
      <c r="K694" t="str" cm="1">
        <f t="array" ref="K694">_xlfn.IFS( J694&lt;=5,"0-5", J694&lt;=10,"6-10",J694&lt;=15,"11-15",J694&lt;=20,"16-20",J694&gt;20,"20+")</f>
        <v>0-5</v>
      </c>
      <c r="L694">
        <v>50</v>
      </c>
      <c r="M694" s="2">
        <f t="shared" ref="M694:M695" si="270">L694</f>
        <v>50</v>
      </c>
      <c r="N694">
        <v>1.4</v>
      </c>
      <c r="O694" t="s">
        <v>149</v>
      </c>
      <c r="P694" t="s">
        <v>2074</v>
      </c>
      <c r="Q694" s="1">
        <v>0.8</v>
      </c>
      <c r="R694" s="1">
        <f t="shared" si="269"/>
        <v>0.8</v>
      </c>
    </row>
    <row r="695" spans="1:18" x14ac:dyDescent="0.2">
      <c r="A695" t="s">
        <v>1456</v>
      </c>
      <c r="B695" t="s">
        <v>1457</v>
      </c>
      <c r="C695" t="str">
        <f t="shared" si="259"/>
        <v>Karen Scott</v>
      </c>
      <c r="D695" t="s">
        <v>10</v>
      </c>
      <c r="E695" t="str">
        <f t="shared" si="260"/>
        <v>Female</v>
      </c>
      <c r="F695">
        <v>29</v>
      </c>
      <c r="G695" t="s">
        <v>18</v>
      </c>
      <c r="H695" t="s">
        <v>19</v>
      </c>
      <c r="I695" t="s">
        <v>41</v>
      </c>
      <c r="J695">
        <v>6</v>
      </c>
      <c r="K695" t="str" cm="1">
        <f t="array" ref="K695">_xlfn.IFS( J695&lt;=5,"0-5", J695&lt;=10,"6-10",J695&lt;=15,"11-15",J695&lt;=20,"16-20",J695&gt;20,"20+")</f>
        <v>6-10</v>
      </c>
      <c r="L695">
        <v>100</v>
      </c>
      <c r="M695" s="2">
        <f t="shared" si="270"/>
        <v>100</v>
      </c>
      <c r="N695">
        <v>1.8</v>
      </c>
      <c r="O695" t="s">
        <v>21</v>
      </c>
      <c r="P695" t="s">
        <v>2074</v>
      </c>
    </row>
    <row r="696" spans="1:18" x14ac:dyDescent="0.2">
      <c r="A696" t="s">
        <v>1458</v>
      </c>
      <c r="B696" t="s">
        <v>829</v>
      </c>
      <c r="C696" t="str">
        <f t="shared" si="259"/>
        <v>Mary Brown</v>
      </c>
      <c r="D696" t="s">
        <v>10</v>
      </c>
      <c r="E696" t="str">
        <f t="shared" si="260"/>
        <v>Female</v>
      </c>
      <c r="F696">
        <v>53</v>
      </c>
      <c r="G696" t="s">
        <v>143</v>
      </c>
      <c r="H696" t="s">
        <v>144</v>
      </c>
      <c r="I696" t="s">
        <v>20</v>
      </c>
      <c r="J696">
        <v>35</v>
      </c>
      <c r="K696" t="str" cm="1">
        <f t="array" ref="K696">_xlfn.IFS( J696&lt;=5,"0-5", J696&lt;=10,"6-10",J696&lt;=15,"11-15",J696&lt;=20,"16-20",J696&gt;20,"20+")</f>
        <v>20+</v>
      </c>
      <c r="M696"/>
      <c r="N696">
        <v>0</v>
      </c>
      <c r="O696">
        <v>1</v>
      </c>
      <c r="Q696" s="1">
        <v>0.67</v>
      </c>
      <c r="R696" s="1">
        <f t="shared" ref="R696:R702" si="271">Q696</f>
        <v>0.67</v>
      </c>
    </row>
    <row r="697" spans="1:18" x14ac:dyDescent="0.2">
      <c r="A697" t="s">
        <v>1459</v>
      </c>
      <c r="B697" t="s">
        <v>1460</v>
      </c>
      <c r="C697" t="str">
        <f t="shared" si="259"/>
        <v>Jon Jones</v>
      </c>
      <c r="D697" t="s">
        <v>17</v>
      </c>
      <c r="E697" t="str">
        <f t="shared" si="260"/>
        <v>Male</v>
      </c>
      <c r="F697">
        <v>38</v>
      </c>
      <c r="G697" t="s">
        <v>83</v>
      </c>
      <c r="H697" t="s">
        <v>84</v>
      </c>
      <c r="I697" t="s">
        <v>13</v>
      </c>
      <c r="J697">
        <v>1</v>
      </c>
      <c r="K697" t="str" cm="1">
        <f t="array" ref="K697">_xlfn.IFS( J697&lt;=5,"0-5", J697&lt;=10,"6-10",J697&lt;=15,"11-15",J697&lt;=20,"16-20",J697&gt;20,"20+")</f>
        <v>0-5</v>
      </c>
      <c r="L697" t="s">
        <v>45</v>
      </c>
      <c r="M697" t="str">
        <f>_xlfn.TEXTAFTER(L697, " ")</f>
        <v>40</v>
      </c>
      <c r="N697">
        <v>0</v>
      </c>
      <c r="O697">
        <v>0</v>
      </c>
      <c r="Q697" s="1">
        <v>0.96</v>
      </c>
      <c r="R697" s="1">
        <f t="shared" si="271"/>
        <v>0.96</v>
      </c>
    </row>
    <row r="698" spans="1:18" x14ac:dyDescent="0.2">
      <c r="A698" t="s">
        <v>1461</v>
      </c>
      <c r="B698" t="s">
        <v>1462</v>
      </c>
      <c r="C698" t="str">
        <f t="shared" si="259"/>
        <v>Jason Phillips</v>
      </c>
      <c r="D698" t="s">
        <v>87</v>
      </c>
      <c r="E698" t="str">
        <f t="shared" si="260"/>
        <v>Male</v>
      </c>
      <c r="F698">
        <v>29</v>
      </c>
      <c r="G698" t="s">
        <v>180</v>
      </c>
      <c r="H698" t="s">
        <v>62</v>
      </c>
      <c r="I698" t="s">
        <v>20</v>
      </c>
      <c r="K698" t="str" cm="1">
        <f t="array" ref="K698">_xlfn.IFS( J698&lt;=5,"0-5", J698&lt;=10,"6-10",J698&lt;=15,"11-15",J698&lt;=20,"16-20",J698&gt;20,"20+")</f>
        <v>0-5</v>
      </c>
      <c r="L698">
        <v>20</v>
      </c>
      <c r="M698" s="2">
        <f>L698</f>
        <v>20</v>
      </c>
      <c r="N698">
        <v>0</v>
      </c>
      <c r="O698">
        <v>0</v>
      </c>
      <c r="P698" t="s">
        <v>2074</v>
      </c>
      <c r="Q698" s="1">
        <v>0.9</v>
      </c>
      <c r="R698" s="1">
        <f t="shared" si="271"/>
        <v>0.9</v>
      </c>
    </row>
    <row r="699" spans="1:18" x14ac:dyDescent="0.2">
      <c r="A699" t="s">
        <v>1463</v>
      </c>
      <c r="B699" t="s">
        <v>1464</v>
      </c>
      <c r="C699" t="str">
        <f t="shared" si="259"/>
        <v>Eric Walsh</v>
      </c>
      <c r="D699" t="s">
        <v>82</v>
      </c>
      <c r="E699" t="str">
        <f t="shared" si="260"/>
        <v>Male</v>
      </c>
      <c r="F699">
        <v>42</v>
      </c>
      <c r="G699" t="s">
        <v>102</v>
      </c>
      <c r="H699" t="s">
        <v>103</v>
      </c>
      <c r="I699" t="s">
        <v>63</v>
      </c>
      <c r="J699">
        <v>0</v>
      </c>
      <c r="K699" t="str" cm="1">
        <f t="array" ref="K699">_xlfn.IFS( J699&lt;=5,"0-5", J699&lt;=10,"6-10",J699&lt;=15,"11-15",J699&lt;=20,"16-20",J699&gt;20,"20+")</f>
        <v>0-5</v>
      </c>
      <c r="M699"/>
      <c r="N699">
        <v>3.9</v>
      </c>
      <c r="O699" t="b">
        <v>0</v>
      </c>
      <c r="Q699" s="1">
        <v>0.62</v>
      </c>
      <c r="R699" s="1">
        <f t="shared" si="271"/>
        <v>0.62</v>
      </c>
    </row>
    <row r="700" spans="1:18" x14ac:dyDescent="0.2">
      <c r="A700" t="s">
        <v>1465</v>
      </c>
      <c r="B700" t="s">
        <v>1466</v>
      </c>
      <c r="C700" t="str">
        <f t="shared" si="259"/>
        <v>Carol Schneider</v>
      </c>
      <c r="D700" t="s">
        <v>4</v>
      </c>
      <c r="E700" t="str">
        <f t="shared" si="260"/>
        <v>Female</v>
      </c>
      <c r="F700">
        <v>54</v>
      </c>
      <c r="G700" t="s">
        <v>48</v>
      </c>
      <c r="H700" t="s">
        <v>12</v>
      </c>
      <c r="I700" t="s">
        <v>104</v>
      </c>
      <c r="J700">
        <v>9</v>
      </c>
      <c r="K700" t="str" cm="1">
        <f t="array" ref="K700">_xlfn.IFS( J700&lt;=5,"0-5", J700&lt;=10,"6-10",J700&lt;=15,"11-15",J700&lt;=20,"16-20",J700&gt;20,"20+")</f>
        <v>6-10</v>
      </c>
      <c r="L700">
        <v>100</v>
      </c>
      <c r="M700" s="2">
        <f>L700</f>
        <v>100</v>
      </c>
      <c r="O700" t="s">
        <v>21</v>
      </c>
      <c r="P700" t="s">
        <v>2074</v>
      </c>
      <c r="Q700" s="1">
        <v>0.72</v>
      </c>
      <c r="R700" s="1">
        <f t="shared" si="271"/>
        <v>0.72</v>
      </c>
    </row>
    <row r="701" spans="1:18" x14ac:dyDescent="0.2">
      <c r="A701" t="s">
        <v>1467</v>
      </c>
      <c r="B701" t="s">
        <v>1468</v>
      </c>
      <c r="C701" t="str">
        <f t="shared" si="259"/>
        <v>Juan Hines</v>
      </c>
      <c r="D701" t="s">
        <v>51</v>
      </c>
      <c r="E701" t="str">
        <f t="shared" si="260"/>
        <v>Male</v>
      </c>
      <c r="F701">
        <v>56</v>
      </c>
      <c r="G701" t="s">
        <v>165</v>
      </c>
      <c r="H701" t="s">
        <v>166</v>
      </c>
      <c r="I701" t="s">
        <v>63</v>
      </c>
      <c r="J701">
        <v>18</v>
      </c>
      <c r="K701" t="str" cm="1">
        <f t="array" ref="K701">_xlfn.IFS( J701&lt;=5,"0-5", J701&lt;=10,"6-10",J701&lt;=15,"11-15",J701&lt;=20,"16-20",J701&gt;20,"20+")</f>
        <v>16-20</v>
      </c>
      <c r="L701" t="s">
        <v>88</v>
      </c>
      <c r="M701" t="str">
        <f>_xlfn.TEXTAFTER(L701, " ")</f>
        <v>50</v>
      </c>
      <c r="N701">
        <v>4.4000000000000004</v>
      </c>
      <c r="O701" t="s">
        <v>64</v>
      </c>
      <c r="Q701" s="1">
        <v>0.83</v>
      </c>
      <c r="R701" s="1">
        <f t="shared" si="271"/>
        <v>0.83</v>
      </c>
    </row>
    <row r="702" spans="1:18" x14ac:dyDescent="0.2">
      <c r="A702" t="s">
        <v>1469</v>
      </c>
      <c r="B702" t="s">
        <v>1470</v>
      </c>
      <c r="C702" t="str">
        <f t="shared" si="259"/>
        <v>Martha Sweeney</v>
      </c>
      <c r="D702" t="s">
        <v>4</v>
      </c>
      <c r="E702" t="str">
        <f t="shared" si="260"/>
        <v>Female</v>
      </c>
      <c r="F702">
        <v>47</v>
      </c>
      <c r="G702" t="s">
        <v>52</v>
      </c>
      <c r="H702" t="s">
        <v>53</v>
      </c>
      <c r="I702" t="s">
        <v>20</v>
      </c>
      <c r="J702">
        <v>22</v>
      </c>
      <c r="K702" t="str" cm="1">
        <f t="array" ref="K702">_xlfn.IFS( J702&lt;=5,"0-5", J702&lt;=10,"6-10",J702&lt;=15,"11-15",J702&lt;=20,"16-20",J702&gt;20,"20+")</f>
        <v>20+</v>
      </c>
      <c r="L702">
        <v>100</v>
      </c>
      <c r="M702" s="2">
        <f t="shared" ref="M702:M705" si="272">L702</f>
        <v>100</v>
      </c>
      <c r="N702">
        <v>4.4000000000000004</v>
      </c>
      <c r="O702" t="s">
        <v>149</v>
      </c>
      <c r="P702" t="s">
        <v>2074</v>
      </c>
      <c r="Q702" s="1">
        <v>0.7</v>
      </c>
      <c r="R702" s="1">
        <f t="shared" si="271"/>
        <v>0.7</v>
      </c>
    </row>
    <row r="703" spans="1:18" x14ac:dyDescent="0.2">
      <c r="A703" t="s">
        <v>1471</v>
      </c>
      <c r="B703" t="s">
        <v>1472</v>
      </c>
      <c r="C703" t="str">
        <f t="shared" si="259"/>
        <v>Jason Weaver</v>
      </c>
      <c r="D703" t="s">
        <v>38</v>
      </c>
      <c r="E703" t="str">
        <f t="shared" si="260"/>
        <v>Male</v>
      </c>
      <c r="F703">
        <v>45</v>
      </c>
      <c r="G703" t="s">
        <v>114</v>
      </c>
      <c r="H703" t="s">
        <v>115</v>
      </c>
      <c r="I703" t="s">
        <v>7</v>
      </c>
      <c r="J703">
        <v>25</v>
      </c>
      <c r="K703" t="str" cm="1">
        <f t="array" ref="K703">_xlfn.IFS( J703&lt;=5,"0-5", J703&lt;=10,"6-10",J703&lt;=15,"11-15",J703&lt;=20,"16-20",J703&gt;20,"20+")</f>
        <v>20+</v>
      </c>
      <c r="L703">
        <v>50</v>
      </c>
      <c r="M703" s="2">
        <f t="shared" si="272"/>
        <v>50</v>
      </c>
      <c r="N703">
        <v>0</v>
      </c>
      <c r="O703" t="s">
        <v>149</v>
      </c>
      <c r="P703" t="s">
        <v>2074</v>
      </c>
      <c r="Q703">
        <v>99</v>
      </c>
      <c r="R703" s="3">
        <f t="shared" ref="R703:R704" si="273">Q703/100</f>
        <v>0.99</v>
      </c>
    </row>
    <row r="704" spans="1:18" x14ac:dyDescent="0.2">
      <c r="A704" t="s">
        <v>1473</v>
      </c>
      <c r="B704" t="s">
        <v>1474</v>
      </c>
      <c r="C704" t="str">
        <f t="shared" si="259"/>
        <v>Benjamin Stevens</v>
      </c>
      <c r="D704" t="s">
        <v>82</v>
      </c>
      <c r="E704" t="str">
        <f t="shared" si="260"/>
        <v>Male</v>
      </c>
      <c r="F704">
        <v>45</v>
      </c>
      <c r="G704" t="s">
        <v>165</v>
      </c>
      <c r="H704" t="s">
        <v>166</v>
      </c>
      <c r="I704" t="s">
        <v>41</v>
      </c>
      <c r="J704">
        <v>6</v>
      </c>
      <c r="K704" t="str" cm="1">
        <f t="array" ref="K704">_xlfn.IFS( J704&lt;=5,"0-5", J704&lt;=10,"6-10",J704&lt;=15,"11-15",J704&lt;=20,"16-20",J704&gt;20,"20+")</f>
        <v>6-10</v>
      </c>
      <c r="L704">
        <v>50</v>
      </c>
      <c r="M704" s="2">
        <f t="shared" si="272"/>
        <v>50</v>
      </c>
      <c r="N704">
        <v>1.4</v>
      </c>
      <c r="Q704">
        <v>97</v>
      </c>
      <c r="R704" s="3">
        <f t="shared" si="273"/>
        <v>0.97</v>
      </c>
    </row>
    <row r="705" spans="1:18" x14ac:dyDescent="0.2">
      <c r="A705" t="s">
        <v>1475</v>
      </c>
      <c r="B705" t="s">
        <v>1476</v>
      </c>
      <c r="C705" t="str">
        <f t="shared" si="259"/>
        <v>Daniel Lopez</v>
      </c>
      <c r="D705" t="s">
        <v>82</v>
      </c>
      <c r="E705" t="str">
        <f t="shared" si="260"/>
        <v>Male</v>
      </c>
      <c r="F705">
        <v>35</v>
      </c>
      <c r="G705" t="s">
        <v>118</v>
      </c>
      <c r="H705" t="s">
        <v>12</v>
      </c>
      <c r="I705" t="s">
        <v>104</v>
      </c>
      <c r="J705">
        <v>10</v>
      </c>
      <c r="K705" t="str" cm="1">
        <f t="array" ref="K705">_xlfn.IFS( J705&lt;=5,"0-5", J705&lt;=10,"6-10",J705&lt;=15,"11-15",J705&lt;=20,"16-20",J705&gt;20,"20+")</f>
        <v>6-10</v>
      </c>
      <c r="L705">
        <v>20</v>
      </c>
      <c r="M705" s="2">
        <f t="shared" si="272"/>
        <v>20</v>
      </c>
      <c r="N705">
        <v>3.2</v>
      </c>
      <c r="O705" t="b">
        <v>1</v>
      </c>
      <c r="P705" t="s">
        <v>2075</v>
      </c>
      <c r="Q705" s="1">
        <v>0.77</v>
      </c>
      <c r="R705" s="1">
        <f t="shared" ref="R705:R708" si="274">Q705</f>
        <v>0.77</v>
      </c>
    </row>
    <row r="706" spans="1:18" x14ac:dyDescent="0.2">
      <c r="A706" t="s">
        <v>1477</v>
      </c>
      <c r="B706" t="s">
        <v>1478</v>
      </c>
      <c r="C706" t="str">
        <f t="shared" si="259"/>
        <v>John Simpson</v>
      </c>
      <c r="D706" t="s">
        <v>17</v>
      </c>
      <c r="E706" t="str">
        <f t="shared" si="260"/>
        <v>Male</v>
      </c>
      <c r="F706">
        <v>51</v>
      </c>
      <c r="G706" t="s">
        <v>118</v>
      </c>
      <c r="H706" t="s">
        <v>12</v>
      </c>
      <c r="I706" t="s">
        <v>79</v>
      </c>
      <c r="J706">
        <v>4</v>
      </c>
      <c r="K706" t="str" cm="1">
        <f t="array" ref="K706">_xlfn.IFS( J706&lt;=5,"0-5", J706&lt;=10,"6-10",J706&lt;=15,"11-15",J706&lt;=20,"16-20",J706&gt;20,"20+")</f>
        <v>0-5</v>
      </c>
      <c r="L706" t="s">
        <v>88</v>
      </c>
      <c r="M706" t="str">
        <f>_xlfn.TEXTAFTER(L706, " ")</f>
        <v>50</v>
      </c>
      <c r="N706">
        <v>2</v>
      </c>
      <c r="O706" t="s">
        <v>149</v>
      </c>
      <c r="Q706" s="1">
        <v>0.92</v>
      </c>
      <c r="R706" s="1">
        <f t="shared" si="274"/>
        <v>0.92</v>
      </c>
    </row>
    <row r="707" spans="1:18" x14ac:dyDescent="0.2">
      <c r="A707" t="s">
        <v>1479</v>
      </c>
      <c r="B707" t="s">
        <v>1480</v>
      </c>
      <c r="C707" t="str">
        <f t="shared" si="259"/>
        <v>Katrina Schultz</v>
      </c>
      <c r="D707" t="s">
        <v>24</v>
      </c>
      <c r="E707" t="str">
        <f t="shared" si="260"/>
        <v>Female</v>
      </c>
      <c r="F707">
        <v>34</v>
      </c>
      <c r="G707" t="s">
        <v>180</v>
      </c>
      <c r="H707" t="s">
        <v>62</v>
      </c>
      <c r="I707" t="s">
        <v>13</v>
      </c>
      <c r="J707">
        <v>11</v>
      </c>
      <c r="K707" t="str" cm="1">
        <f t="array" ref="K707">_xlfn.IFS( J707&lt;=5,"0-5", J707&lt;=10,"6-10",J707&lt;=15,"11-15",J707&lt;=20,"16-20",J707&gt;20,"20+")</f>
        <v>11-15</v>
      </c>
      <c r="L707">
        <v>50</v>
      </c>
      <c r="M707" s="2">
        <f>L707</f>
        <v>50</v>
      </c>
      <c r="N707">
        <v>3.3</v>
      </c>
      <c r="O707" t="s">
        <v>58</v>
      </c>
      <c r="P707" t="s">
        <v>2075</v>
      </c>
      <c r="Q707" s="1">
        <v>0.76</v>
      </c>
      <c r="R707" s="1">
        <f t="shared" si="274"/>
        <v>0.76</v>
      </c>
    </row>
    <row r="708" spans="1:18" x14ac:dyDescent="0.2">
      <c r="A708" t="s">
        <v>1481</v>
      </c>
      <c r="B708" t="s">
        <v>1482</v>
      </c>
      <c r="C708" t="str">
        <f t="shared" si="259"/>
        <v>Danielle Bell</v>
      </c>
      <c r="D708" t="s">
        <v>10</v>
      </c>
      <c r="E708" t="str">
        <f t="shared" si="260"/>
        <v>Female</v>
      </c>
      <c r="F708">
        <v>51</v>
      </c>
      <c r="G708" t="s">
        <v>39</v>
      </c>
      <c r="H708" t="s">
        <v>40</v>
      </c>
      <c r="I708" t="s">
        <v>20</v>
      </c>
      <c r="J708">
        <v>1</v>
      </c>
      <c r="K708" t="str" cm="1">
        <f t="array" ref="K708">_xlfn.IFS( J708&lt;=5,"0-5", J708&lt;=10,"6-10",J708&lt;=15,"11-15",J708&lt;=20,"16-20",J708&gt;20,"20+")</f>
        <v>0-5</v>
      </c>
      <c r="L708" t="s">
        <v>54</v>
      </c>
      <c r="M708" t="str">
        <f>SUBSTITUTE(L708,"$"," ")</f>
        <v xml:space="preserve"> 50</v>
      </c>
      <c r="N708">
        <v>0</v>
      </c>
      <c r="O708" t="s">
        <v>64</v>
      </c>
      <c r="Q708" s="1">
        <v>0.97</v>
      </c>
      <c r="R708" s="1">
        <f t="shared" si="274"/>
        <v>0.97</v>
      </c>
    </row>
    <row r="709" spans="1:18" x14ac:dyDescent="0.2">
      <c r="A709" t="s">
        <v>1483</v>
      </c>
      <c r="B709" t="s">
        <v>1484</v>
      </c>
      <c r="C709" t="str">
        <f t="shared" si="259"/>
        <v>Jason Brady</v>
      </c>
      <c r="D709" t="s">
        <v>82</v>
      </c>
      <c r="E709" t="str">
        <f t="shared" si="260"/>
        <v>Male</v>
      </c>
      <c r="F709">
        <v>58</v>
      </c>
      <c r="G709" t="s">
        <v>129</v>
      </c>
      <c r="H709" t="s">
        <v>130</v>
      </c>
      <c r="I709" t="s">
        <v>20</v>
      </c>
      <c r="J709">
        <v>35</v>
      </c>
      <c r="K709" t="str" cm="1">
        <f t="array" ref="K709">_xlfn.IFS( J709&lt;=5,"0-5", J709&lt;=10,"6-10",J709&lt;=15,"11-15",J709&lt;=20,"16-20",J709&gt;20,"20+")</f>
        <v>20+</v>
      </c>
      <c r="L709" t="s">
        <v>14</v>
      </c>
      <c r="M709" t="str">
        <f>_xlfn.TEXTAFTER(L709, " ")</f>
        <v>100</v>
      </c>
      <c r="N709">
        <v>2.2999999999999998</v>
      </c>
      <c r="O709" t="s">
        <v>64</v>
      </c>
    </row>
    <row r="710" spans="1:18" x14ac:dyDescent="0.2">
      <c r="A710" t="s">
        <v>1485</v>
      </c>
      <c r="B710" t="s">
        <v>1486</v>
      </c>
      <c r="C710" t="str">
        <f t="shared" si="259"/>
        <v>Megan Bright</v>
      </c>
      <c r="D710" t="s">
        <v>4</v>
      </c>
      <c r="E710" t="str">
        <f t="shared" si="260"/>
        <v>Female</v>
      </c>
      <c r="F710">
        <v>36</v>
      </c>
      <c r="G710" t="s">
        <v>32</v>
      </c>
      <c r="H710" t="s">
        <v>33</v>
      </c>
      <c r="I710" t="s">
        <v>25</v>
      </c>
      <c r="J710">
        <v>17</v>
      </c>
      <c r="K710" t="str" cm="1">
        <f t="array" ref="K710">_xlfn.IFS( J710&lt;=5,"0-5", J710&lt;=10,"6-10",J710&lt;=15,"11-15",J710&lt;=20,"16-20",J710&gt;20,"20+")</f>
        <v>16-20</v>
      </c>
      <c r="L710" t="s">
        <v>111</v>
      </c>
      <c r="M710" t="str">
        <f>SUBSTITUTE(L710,"$"," ")</f>
        <v xml:space="preserve"> 20</v>
      </c>
      <c r="N710">
        <v>0</v>
      </c>
      <c r="O710">
        <v>1</v>
      </c>
      <c r="Q710">
        <v>99</v>
      </c>
      <c r="R710" s="3">
        <f>Q710/100</f>
        <v>0.99</v>
      </c>
    </row>
    <row r="711" spans="1:18" x14ac:dyDescent="0.2">
      <c r="A711" t="s">
        <v>1487</v>
      </c>
      <c r="B711" t="s">
        <v>1488</v>
      </c>
      <c r="C711" t="str">
        <f t="shared" si="259"/>
        <v>David Griffin</v>
      </c>
      <c r="D711" t="s">
        <v>51</v>
      </c>
      <c r="E711" t="str">
        <f t="shared" si="260"/>
        <v>Male</v>
      </c>
      <c r="G711" t="s">
        <v>114</v>
      </c>
      <c r="H711" t="s">
        <v>115</v>
      </c>
      <c r="I711" t="s">
        <v>34</v>
      </c>
      <c r="J711">
        <v>12</v>
      </c>
      <c r="K711" t="str" cm="1">
        <f t="array" ref="K711">_xlfn.IFS( J711&lt;=5,"0-5", J711&lt;=10,"6-10",J711&lt;=15,"11-15",J711&lt;=20,"16-20",J711&gt;20,"20+")</f>
        <v>11-15</v>
      </c>
      <c r="L711">
        <v>30</v>
      </c>
      <c r="M711" s="2">
        <f t="shared" ref="M711:M714" si="275">L711</f>
        <v>30</v>
      </c>
      <c r="N711">
        <v>2.6</v>
      </c>
      <c r="O711" t="s">
        <v>64</v>
      </c>
      <c r="P711" t="s">
        <v>2075</v>
      </c>
    </row>
    <row r="712" spans="1:18" x14ac:dyDescent="0.2">
      <c r="A712" t="s">
        <v>1489</v>
      </c>
      <c r="B712" t="s">
        <v>1490</v>
      </c>
      <c r="C712" t="str">
        <f t="shared" si="259"/>
        <v>Michael Clark</v>
      </c>
      <c r="D712" t="s">
        <v>82</v>
      </c>
      <c r="E712" t="str">
        <f t="shared" si="260"/>
        <v>Male</v>
      </c>
      <c r="F712">
        <v>56</v>
      </c>
      <c r="G712" t="s">
        <v>143</v>
      </c>
      <c r="H712" t="s">
        <v>144</v>
      </c>
      <c r="I712" t="s">
        <v>104</v>
      </c>
      <c r="J712">
        <v>30</v>
      </c>
      <c r="K712" t="str" cm="1">
        <f t="array" ref="K712">_xlfn.IFS( J712&lt;=5,"0-5", J712&lt;=10,"6-10",J712&lt;=15,"11-15",J712&lt;=20,"16-20",J712&gt;20,"20+")</f>
        <v>20+</v>
      </c>
      <c r="L712">
        <v>40</v>
      </c>
      <c r="M712" s="2">
        <f t="shared" si="275"/>
        <v>40</v>
      </c>
      <c r="N712">
        <v>3.3</v>
      </c>
      <c r="O712" t="s">
        <v>58</v>
      </c>
      <c r="P712" t="s">
        <v>2075</v>
      </c>
      <c r="Q712" s="1">
        <v>0.82</v>
      </c>
      <c r="R712" s="1">
        <f t="shared" ref="R712:R713" si="276">Q712</f>
        <v>0.82</v>
      </c>
    </row>
    <row r="713" spans="1:18" x14ac:dyDescent="0.2">
      <c r="A713" t="s">
        <v>1491</v>
      </c>
      <c r="B713" t="s">
        <v>1492</v>
      </c>
      <c r="C713" t="str">
        <f t="shared" si="259"/>
        <v>Rebecca Barker</v>
      </c>
      <c r="D713" t="s">
        <v>4</v>
      </c>
      <c r="E713" t="str">
        <f t="shared" si="260"/>
        <v>Female</v>
      </c>
      <c r="F713">
        <v>58</v>
      </c>
      <c r="G713" t="s">
        <v>118</v>
      </c>
      <c r="H713" t="s">
        <v>12</v>
      </c>
      <c r="I713" t="s">
        <v>68</v>
      </c>
      <c r="J713">
        <v>20</v>
      </c>
      <c r="K713" t="str" cm="1">
        <f t="array" ref="K713">_xlfn.IFS( J713&lt;=5,"0-5", J713&lt;=10,"6-10",J713&lt;=15,"11-15",J713&lt;=20,"16-20",J713&gt;20,"20+")</f>
        <v>16-20</v>
      </c>
      <c r="L713">
        <v>75</v>
      </c>
      <c r="M713" s="2">
        <f t="shared" si="275"/>
        <v>75</v>
      </c>
      <c r="N713">
        <v>3.6</v>
      </c>
      <c r="O713" t="s">
        <v>58</v>
      </c>
      <c r="P713" t="s">
        <v>2075</v>
      </c>
      <c r="Q713" s="1">
        <v>0.78</v>
      </c>
      <c r="R713" s="1">
        <f t="shared" si="276"/>
        <v>0.78</v>
      </c>
    </row>
    <row r="714" spans="1:18" x14ac:dyDescent="0.2">
      <c r="A714" t="s">
        <v>1493</v>
      </c>
      <c r="B714" t="s">
        <v>1494</v>
      </c>
      <c r="C714" t="str">
        <f t="shared" si="259"/>
        <v>Angela Smith</v>
      </c>
      <c r="D714" t="s">
        <v>4</v>
      </c>
      <c r="E714" t="str">
        <f t="shared" si="260"/>
        <v>Female</v>
      </c>
      <c r="F714">
        <v>58</v>
      </c>
      <c r="G714" t="s">
        <v>48</v>
      </c>
      <c r="H714" t="s">
        <v>12</v>
      </c>
      <c r="I714" t="s">
        <v>68</v>
      </c>
      <c r="J714">
        <v>22</v>
      </c>
      <c r="K714" t="str" cm="1">
        <f t="array" ref="K714">_xlfn.IFS( J714&lt;=5,"0-5", J714&lt;=10,"6-10",J714&lt;=15,"11-15",J714&lt;=20,"16-20",J714&gt;20,"20+")</f>
        <v>20+</v>
      </c>
      <c r="L714">
        <v>100</v>
      </c>
      <c r="M714" s="2">
        <f t="shared" si="275"/>
        <v>100</v>
      </c>
      <c r="N714">
        <v>3.7</v>
      </c>
      <c r="O714">
        <v>0</v>
      </c>
      <c r="P714" t="s">
        <v>2074</v>
      </c>
    </row>
    <row r="715" spans="1:18" x14ac:dyDescent="0.2">
      <c r="A715" t="s">
        <v>1495</v>
      </c>
      <c r="B715" t="s">
        <v>1496</v>
      </c>
      <c r="C715" t="str">
        <f t="shared" si="259"/>
        <v>Christina Wright</v>
      </c>
      <c r="D715" t="s">
        <v>24</v>
      </c>
      <c r="E715" t="str">
        <f t="shared" si="260"/>
        <v>Female</v>
      </c>
      <c r="F715">
        <v>54</v>
      </c>
      <c r="G715" t="s">
        <v>57</v>
      </c>
      <c r="H715" t="s">
        <v>12</v>
      </c>
      <c r="I715" t="s">
        <v>34</v>
      </c>
      <c r="J715">
        <v>32</v>
      </c>
      <c r="K715" t="str" cm="1">
        <f t="array" ref="K715">_xlfn.IFS( J715&lt;=5,"0-5", J715&lt;=10,"6-10",J715&lt;=15,"11-15",J715&lt;=20,"16-20",J715&gt;20,"20+")</f>
        <v>20+</v>
      </c>
      <c r="L715" t="s">
        <v>111</v>
      </c>
      <c r="M715" t="str">
        <f>SUBSTITUTE(L715,"$"," ")</f>
        <v xml:space="preserve"> 20</v>
      </c>
      <c r="N715">
        <v>3.4</v>
      </c>
      <c r="O715" t="s">
        <v>149</v>
      </c>
    </row>
    <row r="716" spans="1:18" x14ac:dyDescent="0.2">
      <c r="A716" t="s">
        <v>1497</v>
      </c>
      <c r="B716" t="s">
        <v>1498</v>
      </c>
      <c r="C716" t="str">
        <f t="shared" si="259"/>
        <v>Todd Turner</v>
      </c>
      <c r="D716" t="s">
        <v>17</v>
      </c>
      <c r="E716" t="str">
        <f t="shared" si="260"/>
        <v>Male</v>
      </c>
      <c r="F716">
        <v>53</v>
      </c>
      <c r="G716" t="s">
        <v>11</v>
      </c>
      <c r="H716" t="s">
        <v>12</v>
      </c>
      <c r="I716" t="s">
        <v>63</v>
      </c>
      <c r="J716">
        <v>9</v>
      </c>
      <c r="K716" t="str" cm="1">
        <f t="array" ref="K716">_xlfn.IFS( J716&lt;=5,"0-5", J716&lt;=10,"6-10",J716&lt;=15,"11-15",J716&lt;=20,"16-20",J716&gt;20,"20+")</f>
        <v>6-10</v>
      </c>
      <c r="L716">
        <v>50</v>
      </c>
      <c r="M716" s="2">
        <f t="shared" ref="M716:M719" si="277">L716</f>
        <v>50</v>
      </c>
      <c r="N716">
        <v>4</v>
      </c>
      <c r="O716" t="s">
        <v>64</v>
      </c>
      <c r="P716" t="s">
        <v>2075</v>
      </c>
      <c r="Q716" s="1">
        <v>0.72</v>
      </c>
      <c r="R716" s="1">
        <f>Q716</f>
        <v>0.72</v>
      </c>
    </row>
    <row r="717" spans="1:18" x14ac:dyDescent="0.2">
      <c r="A717" t="s">
        <v>1499</v>
      </c>
      <c r="B717" t="s">
        <v>1500</v>
      </c>
      <c r="C717" t="str">
        <f t="shared" si="259"/>
        <v>Elizabeth Green</v>
      </c>
      <c r="D717" t="s">
        <v>67</v>
      </c>
      <c r="E717" t="str">
        <f t="shared" si="260"/>
        <v>Female</v>
      </c>
      <c r="F717">
        <v>43</v>
      </c>
      <c r="G717" t="s">
        <v>11</v>
      </c>
      <c r="H717" t="s">
        <v>12</v>
      </c>
      <c r="I717" t="s">
        <v>25</v>
      </c>
      <c r="J717">
        <v>22</v>
      </c>
      <c r="K717" t="str" cm="1">
        <f t="array" ref="K717">_xlfn.IFS( J717&lt;=5,"0-5", J717&lt;=10,"6-10",J717&lt;=15,"11-15",J717&lt;=20,"16-20",J717&gt;20,"20+")</f>
        <v>20+</v>
      </c>
      <c r="L717">
        <v>40</v>
      </c>
      <c r="M717" s="2">
        <f t="shared" si="277"/>
        <v>40</v>
      </c>
      <c r="N717">
        <v>4.5</v>
      </c>
    </row>
    <row r="718" spans="1:18" x14ac:dyDescent="0.2">
      <c r="A718" t="s">
        <v>1501</v>
      </c>
      <c r="B718" t="s">
        <v>1502</v>
      </c>
      <c r="C718" t="str">
        <f t="shared" si="259"/>
        <v>Alex Smith</v>
      </c>
      <c r="D718" t="s">
        <v>82</v>
      </c>
      <c r="E718" t="str">
        <f t="shared" si="260"/>
        <v>Male</v>
      </c>
      <c r="F718">
        <v>44</v>
      </c>
      <c r="G718" t="s">
        <v>102</v>
      </c>
      <c r="H718" t="s">
        <v>103</v>
      </c>
      <c r="I718" t="s">
        <v>104</v>
      </c>
      <c r="J718">
        <v>1</v>
      </c>
      <c r="K718" t="str" cm="1">
        <f t="array" ref="K718">_xlfn.IFS( J718&lt;=5,"0-5", J718&lt;=10,"6-10",J718&lt;=15,"11-15",J718&lt;=20,"16-20",J718&gt;20,"20+")</f>
        <v>0-5</v>
      </c>
      <c r="L718">
        <v>75</v>
      </c>
      <c r="M718" s="2">
        <f t="shared" si="277"/>
        <v>75</v>
      </c>
      <c r="N718">
        <v>4.3</v>
      </c>
      <c r="O718">
        <v>1</v>
      </c>
      <c r="P718" t="s">
        <v>2075</v>
      </c>
    </row>
    <row r="719" spans="1:18" x14ac:dyDescent="0.2">
      <c r="A719" t="s">
        <v>1503</v>
      </c>
      <c r="B719" t="s">
        <v>1504</v>
      </c>
      <c r="C719" t="str">
        <f t="shared" si="259"/>
        <v>Shane Hale</v>
      </c>
      <c r="D719" t="s">
        <v>82</v>
      </c>
      <c r="E719" t="str">
        <f t="shared" si="260"/>
        <v>Male</v>
      </c>
      <c r="F719">
        <v>34</v>
      </c>
      <c r="G719" t="s">
        <v>118</v>
      </c>
      <c r="H719" t="s">
        <v>12</v>
      </c>
      <c r="I719" t="s">
        <v>68</v>
      </c>
      <c r="J719">
        <v>4</v>
      </c>
      <c r="K719" t="str" cm="1">
        <f t="array" ref="K719">_xlfn.IFS( J719&lt;=5,"0-5", J719&lt;=10,"6-10",J719&lt;=15,"11-15",J719&lt;=20,"16-20",J719&gt;20,"20+")</f>
        <v>0-5</v>
      </c>
      <c r="L719">
        <v>75</v>
      </c>
      <c r="M719" s="2">
        <f t="shared" si="277"/>
        <v>75</v>
      </c>
      <c r="N719">
        <v>4</v>
      </c>
      <c r="O719">
        <v>1</v>
      </c>
      <c r="P719" t="s">
        <v>2075</v>
      </c>
    </row>
    <row r="720" spans="1:18" x14ac:dyDescent="0.2">
      <c r="A720" t="s">
        <v>1505</v>
      </c>
      <c r="B720" t="s">
        <v>1506</v>
      </c>
      <c r="C720" t="str">
        <f t="shared" si="259"/>
        <v>Kathy Grimes</v>
      </c>
      <c r="D720" t="s">
        <v>29</v>
      </c>
      <c r="E720" t="str">
        <f t="shared" si="260"/>
        <v>Female</v>
      </c>
      <c r="F720">
        <v>27</v>
      </c>
      <c r="G720" t="s">
        <v>97</v>
      </c>
      <c r="H720" t="s">
        <v>98</v>
      </c>
      <c r="I720" t="s">
        <v>13</v>
      </c>
      <c r="J720">
        <v>8</v>
      </c>
      <c r="K720" t="str" cm="1">
        <f t="array" ref="K720">_xlfn.IFS( J720&lt;=5,"0-5", J720&lt;=10,"6-10",J720&lt;=15,"11-15",J720&lt;=20,"16-20",J720&gt;20,"20+")</f>
        <v>6-10</v>
      </c>
      <c r="L720" t="s">
        <v>54</v>
      </c>
      <c r="M720" t="str">
        <f>SUBSTITUTE(L720,"$"," ")</f>
        <v xml:space="preserve"> 50</v>
      </c>
      <c r="N720">
        <v>1.6</v>
      </c>
      <c r="O720" t="s">
        <v>58</v>
      </c>
    </row>
    <row r="721" spans="1:18" x14ac:dyDescent="0.2">
      <c r="A721" t="s">
        <v>1507</v>
      </c>
      <c r="B721" t="s">
        <v>1508</v>
      </c>
      <c r="C721" t="str">
        <f t="shared" si="259"/>
        <v>David Cherry</v>
      </c>
      <c r="D721" t="s">
        <v>38</v>
      </c>
      <c r="E721" t="str">
        <f t="shared" si="260"/>
        <v>Male</v>
      </c>
      <c r="F721">
        <v>50</v>
      </c>
      <c r="G721" t="s">
        <v>75</v>
      </c>
      <c r="H721" t="s">
        <v>76</v>
      </c>
      <c r="I721" t="s">
        <v>41</v>
      </c>
      <c r="J721">
        <v>3</v>
      </c>
      <c r="K721" t="str" cm="1">
        <f t="array" ref="K721">_xlfn.IFS( J721&lt;=5,"0-5", J721&lt;=10,"6-10",J721&lt;=15,"11-15",J721&lt;=20,"16-20",J721&gt;20,"20+")</f>
        <v>0-5</v>
      </c>
      <c r="L721">
        <v>100</v>
      </c>
      <c r="M721" s="2">
        <f t="shared" ref="M721:M722" si="278">L721</f>
        <v>100</v>
      </c>
      <c r="N721">
        <v>0</v>
      </c>
      <c r="O721" t="s">
        <v>64</v>
      </c>
      <c r="P721" t="s">
        <v>2075</v>
      </c>
    </row>
    <row r="722" spans="1:18" x14ac:dyDescent="0.2">
      <c r="A722" t="s">
        <v>1509</v>
      </c>
      <c r="B722" t="s">
        <v>1510</v>
      </c>
      <c r="C722" t="str">
        <f t="shared" si="259"/>
        <v>Rachel Rogers</v>
      </c>
      <c r="D722" t="s">
        <v>29</v>
      </c>
      <c r="E722" t="str">
        <f t="shared" si="260"/>
        <v>Female</v>
      </c>
      <c r="F722">
        <v>52</v>
      </c>
      <c r="G722" t="s">
        <v>102</v>
      </c>
      <c r="H722" t="s">
        <v>103</v>
      </c>
      <c r="I722" t="s">
        <v>63</v>
      </c>
      <c r="J722">
        <v>30</v>
      </c>
      <c r="K722" t="str" cm="1">
        <f t="array" ref="K722">_xlfn.IFS( J722&lt;=5,"0-5", J722&lt;=10,"6-10",J722&lt;=15,"11-15",J722&lt;=20,"16-20",J722&gt;20,"20+")</f>
        <v>20+</v>
      </c>
      <c r="L722">
        <v>75</v>
      </c>
      <c r="M722" s="2">
        <f t="shared" si="278"/>
        <v>75</v>
      </c>
      <c r="O722" t="s">
        <v>149</v>
      </c>
      <c r="P722" t="s">
        <v>2074</v>
      </c>
      <c r="Q722" s="1">
        <v>0.94</v>
      </c>
      <c r="R722" s="1">
        <f>Q722</f>
        <v>0.94</v>
      </c>
    </row>
    <row r="723" spans="1:18" x14ac:dyDescent="0.2">
      <c r="A723" t="s">
        <v>1511</v>
      </c>
      <c r="B723" t="s">
        <v>1512</v>
      </c>
      <c r="C723" t="str">
        <f t="shared" si="259"/>
        <v>Travis Braun</v>
      </c>
      <c r="D723" t="s">
        <v>51</v>
      </c>
      <c r="E723" t="str">
        <f t="shared" si="260"/>
        <v>Male</v>
      </c>
      <c r="F723">
        <v>57</v>
      </c>
      <c r="G723" t="s">
        <v>180</v>
      </c>
      <c r="H723" t="s">
        <v>62</v>
      </c>
      <c r="I723" t="s">
        <v>7</v>
      </c>
      <c r="J723">
        <v>11</v>
      </c>
      <c r="K723" t="str" cm="1">
        <f t="array" ref="K723">_xlfn.IFS( J723&lt;=5,"0-5", J723&lt;=10,"6-10",J723&lt;=15,"11-15",J723&lt;=20,"16-20",J723&gt;20,"20+")</f>
        <v>11-15</v>
      </c>
      <c r="L723" t="s">
        <v>304</v>
      </c>
      <c r="M723" t="str">
        <f>_xlfn.TEXTAFTER(L723, " ")</f>
        <v>20</v>
      </c>
      <c r="N723">
        <v>4.9000000000000004</v>
      </c>
      <c r="O723" t="s">
        <v>64</v>
      </c>
    </row>
    <row r="724" spans="1:18" x14ac:dyDescent="0.2">
      <c r="A724" t="s">
        <v>1513</v>
      </c>
      <c r="B724" t="s">
        <v>1514</v>
      </c>
      <c r="C724" t="str">
        <f t="shared" si="259"/>
        <v>Shawna Palmer</v>
      </c>
      <c r="D724" t="s">
        <v>29</v>
      </c>
      <c r="E724" t="str">
        <f t="shared" si="260"/>
        <v>Female</v>
      </c>
      <c r="F724">
        <v>53</v>
      </c>
      <c r="G724" t="s">
        <v>169</v>
      </c>
      <c r="H724" t="s">
        <v>62</v>
      </c>
      <c r="I724" t="s">
        <v>79</v>
      </c>
      <c r="J724">
        <v>8</v>
      </c>
      <c r="K724" t="str" cm="1">
        <f t="array" ref="K724">_xlfn.IFS( J724&lt;=5,"0-5", J724&lt;=10,"6-10",J724&lt;=15,"11-15",J724&lt;=20,"16-20",J724&gt;20,"20+")</f>
        <v>6-10</v>
      </c>
      <c r="L724">
        <v>20</v>
      </c>
      <c r="M724" s="2">
        <f>L724</f>
        <v>20</v>
      </c>
      <c r="N724">
        <v>2.8</v>
      </c>
      <c r="O724" t="b">
        <v>1</v>
      </c>
      <c r="P724" t="s">
        <v>2075</v>
      </c>
    </row>
    <row r="725" spans="1:18" x14ac:dyDescent="0.2">
      <c r="A725" t="s">
        <v>1515</v>
      </c>
      <c r="B725" t="s">
        <v>1516</v>
      </c>
      <c r="C725" t="str">
        <f t="shared" si="259"/>
        <v>Bradley Gaines</v>
      </c>
      <c r="D725" t="s">
        <v>38</v>
      </c>
      <c r="E725" t="str">
        <f t="shared" si="260"/>
        <v>Male</v>
      </c>
      <c r="F725">
        <v>51</v>
      </c>
      <c r="G725" t="s">
        <v>52</v>
      </c>
      <c r="H725" t="s">
        <v>53</v>
      </c>
      <c r="I725" t="s">
        <v>63</v>
      </c>
      <c r="J725">
        <v>11</v>
      </c>
      <c r="K725" t="str" cm="1">
        <f t="array" ref="K725">_xlfn.IFS( J725&lt;=5,"0-5", J725&lt;=10,"6-10",J725&lt;=15,"11-15",J725&lt;=20,"16-20",J725&gt;20,"20+")</f>
        <v>11-15</v>
      </c>
      <c r="L725" t="s">
        <v>99</v>
      </c>
      <c r="M725" t="str">
        <f>_xlfn.TEXTAFTER(L725, " ")</f>
        <v>30</v>
      </c>
      <c r="N725">
        <v>3.6</v>
      </c>
      <c r="O725" t="s">
        <v>64</v>
      </c>
      <c r="Q725" s="1">
        <v>0.77</v>
      </c>
      <c r="R725" s="1">
        <f>Q725</f>
        <v>0.77</v>
      </c>
    </row>
    <row r="726" spans="1:18" x14ac:dyDescent="0.2">
      <c r="A726" t="s">
        <v>1517</v>
      </c>
      <c r="B726" t="s">
        <v>1518</v>
      </c>
      <c r="C726" t="str">
        <f t="shared" si="259"/>
        <v>April Ford</v>
      </c>
      <c r="D726" t="s">
        <v>10</v>
      </c>
      <c r="E726" t="str">
        <f t="shared" si="260"/>
        <v>Female</v>
      </c>
      <c r="F726">
        <v>37</v>
      </c>
      <c r="G726" t="s">
        <v>118</v>
      </c>
      <c r="H726" t="s">
        <v>12</v>
      </c>
      <c r="I726" t="s">
        <v>68</v>
      </c>
      <c r="J726">
        <v>9</v>
      </c>
      <c r="K726" t="str" cm="1">
        <f t="array" ref="K726">_xlfn.IFS( J726&lt;=5,"0-5", J726&lt;=10,"6-10",J726&lt;=15,"11-15",J726&lt;=20,"16-20",J726&gt;20,"20+")</f>
        <v>6-10</v>
      </c>
      <c r="L726" t="s">
        <v>54</v>
      </c>
      <c r="M726" t="str">
        <f>SUBSTITUTE(L726,"$"," ")</f>
        <v xml:space="preserve"> 50</v>
      </c>
      <c r="O726" t="s">
        <v>58</v>
      </c>
      <c r="Q726">
        <v>84</v>
      </c>
      <c r="R726" s="3">
        <f t="shared" ref="R726:R727" si="279">Q726/100</f>
        <v>0.84</v>
      </c>
    </row>
    <row r="727" spans="1:18" x14ac:dyDescent="0.2">
      <c r="A727" t="s">
        <v>1519</v>
      </c>
      <c r="B727" t="s">
        <v>1520</v>
      </c>
      <c r="C727" t="str">
        <f t="shared" si="259"/>
        <v>James Gonzalez</v>
      </c>
      <c r="D727" t="s">
        <v>51</v>
      </c>
      <c r="E727" t="str">
        <f t="shared" si="260"/>
        <v>Male</v>
      </c>
      <c r="F727">
        <v>40</v>
      </c>
      <c r="G727" t="s">
        <v>180</v>
      </c>
      <c r="H727" t="s">
        <v>62</v>
      </c>
      <c r="I727" t="s">
        <v>25</v>
      </c>
      <c r="J727">
        <v>7</v>
      </c>
      <c r="K727" t="str" cm="1">
        <f t="array" ref="K727">_xlfn.IFS( J727&lt;=5,"0-5", J727&lt;=10,"6-10",J727&lt;=15,"11-15",J727&lt;=20,"16-20",J727&gt;20,"20+")</f>
        <v>6-10</v>
      </c>
      <c r="L727">
        <v>40</v>
      </c>
      <c r="M727" s="2">
        <f>L727</f>
        <v>40</v>
      </c>
      <c r="N727">
        <v>4.5</v>
      </c>
      <c r="Q727">
        <v>79</v>
      </c>
      <c r="R727" s="3">
        <f t="shared" si="279"/>
        <v>0.79</v>
      </c>
    </row>
    <row r="728" spans="1:18" x14ac:dyDescent="0.2">
      <c r="A728" t="s">
        <v>1521</v>
      </c>
      <c r="B728" t="s">
        <v>1522</v>
      </c>
      <c r="C728" t="str">
        <f t="shared" si="259"/>
        <v>John Castillo</v>
      </c>
      <c r="D728" t="s">
        <v>38</v>
      </c>
      <c r="E728" t="str">
        <f t="shared" si="260"/>
        <v>Male</v>
      </c>
      <c r="F728">
        <v>60</v>
      </c>
      <c r="G728" t="s">
        <v>75</v>
      </c>
      <c r="H728" t="s">
        <v>76</v>
      </c>
      <c r="I728" t="s">
        <v>41</v>
      </c>
      <c r="J728">
        <v>24</v>
      </c>
      <c r="K728" t="str" cm="1">
        <f t="array" ref="K728">_xlfn.IFS( J728&lt;=5,"0-5", J728&lt;=10,"6-10",J728&lt;=15,"11-15",J728&lt;=20,"16-20",J728&gt;20,"20+")</f>
        <v>20+</v>
      </c>
      <c r="L728" t="s">
        <v>45</v>
      </c>
      <c r="M728" t="str">
        <f>_xlfn.TEXTAFTER(L728, " ")</f>
        <v>40</v>
      </c>
      <c r="N728">
        <v>3.1</v>
      </c>
      <c r="O728">
        <v>0</v>
      </c>
      <c r="Q728" s="1">
        <v>0.69</v>
      </c>
      <c r="R728" s="1">
        <f t="shared" ref="R728:R729" si="280">Q728</f>
        <v>0.69</v>
      </c>
    </row>
    <row r="729" spans="1:18" x14ac:dyDescent="0.2">
      <c r="A729" t="s">
        <v>1523</v>
      </c>
      <c r="B729" t="s">
        <v>1524</v>
      </c>
      <c r="C729" t="str">
        <f t="shared" si="259"/>
        <v>Ian Hayes</v>
      </c>
      <c r="D729" t="s">
        <v>82</v>
      </c>
      <c r="E729" t="str">
        <f t="shared" si="260"/>
        <v>Male</v>
      </c>
      <c r="F729">
        <v>60</v>
      </c>
      <c r="G729" t="s">
        <v>125</v>
      </c>
      <c r="H729" t="s">
        <v>126</v>
      </c>
      <c r="I729" t="s">
        <v>63</v>
      </c>
      <c r="J729">
        <v>0</v>
      </c>
      <c r="K729" t="str" cm="1">
        <f t="array" ref="K729">_xlfn.IFS( J729&lt;=5,"0-5", J729&lt;=10,"6-10",J729&lt;=15,"11-15",J729&lt;=20,"16-20",J729&gt;20,"20+")</f>
        <v>0-5</v>
      </c>
      <c r="L729">
        <v>40</v>
      </c>
      <c r="M729" s="2">
        <f>L729</f>
        <v>40</v>
      </c>
      <c r="N729">
        <v>4.9000000000000004</v>
      </c>
      <c r="O729" t="s">
        <v>64</v>
      </c>
      <c r="P729" t="s">
        <v>2075</v>
      </c>
      <c r="Q729" s="1">
        <v>0.68</v>
      </c>
      <c r="R729" s="1">
        <f t="shared" si="280"/>
        <v>0.68</v>
      </c>
    </row>
    <row r="730" spans="1:18" x14ac:dyDescent="0.2">
      <c r="A730" t="s">
        <v>1525</v>
      </c>
      <c r="B730" t="s">
        <v>1526</v>
      </c>
      <c r="C730" t="str">
        <f t="shared" si="259"/>
        <v>Christine Castro</v>
      </c>
      <c r="D730" t="s">
        <v>67</v>
      </c>
      <c r="E730" t="str">
        <f t="shared" si="260"/>
        <v>Female</v>
      </c>
      <c r="F730">
        <v>53</v>
      </c>
      <c r="G730" t="s">
        <v>102</v>
      </c>
      <c r="H730" t="s">
        <v>103</v>
      </c>
      <c r="I730" t="s">
        <v>63</v>
      </c>
      <c r="J730">
        <v>21</v>
      </c>
      <c r="K730" t="str" cm="1">
        <f t="array" ref="K730">_xlfn.IFS( J730&lt;=5,"0-5", J730&lt;=10,"6-10",J730&lt;=15,"11-15",J730&lt;=20,"16-20",J730&gt;20,"20+")</f>
        <v>20+</v>
      </c>
      <c r="L730" t="s">
        <v>35</v>
      </c>
      <c r="M730" t="str">
        <f>SUBSTITUTE(L730,"$"," ")</f>
        <v xml:space="preserve"> 30</v>
      </c>
      <c r="N730">
        <v>4.2</v>
      </c>
      <c r="O730">
        <v>1</v>
      </c>
      <c r="Q730">
        <v>73</v>
      </c>
      <c r="R730" s="3">
        <f>Q730/100</f>
        <v>0.73</v>
      </c>
    </row>
    <row r="731" spans="1:18" x14ac:dyDescent="0.2">
      <c r="A731" t="s">
        <v>1527</v>
      </c>
      <c r="B731" t="s">
        <v>1528</v>
      </c>
      <c r="C731" t="str">
        <f t="shared" ref="C731:C794" si="281">B731</f>
        <v>Jessica Chaney</v>
      </c>
      <c r="D731" t="s">
        <v>67</v>
      </c>
      <c r="E731" t="str">
        <f t="shared" ref="E731:E794" si="282">IF(LOWER(LEFT(D731,1)) ="f", "Female", "Male")</f>
        <v>Female</v>
      </c>
      <c r="F731">
        <v>20</v>
      </c>
      <c r="G731" t="s">
        <v>169</v>
      </c>
      <c r="H731" t="s">
        <v>62</v>
      </c>
      <c r="I731" t="s">
        <v>7</v>
      </c>
      <c r="J731">
        <v>0</v>
      </c>
      <c r="K731" t="str" cm="1">
        <f t="array" ref="K731">_xlfn.IFS( J731&lt;=5,"0-5", J731&lt;=10,"6-10",J731&lt;=15,"11-15",J731&lt;=20,"16-20",J731&gt;20,"20+")</f>
        <v>0-5</v>
      </c>
      <c r="L731">
        <v>75</v>
      </c>
      <c r="M731" s="2">
        <f>L731</f>
        <v>75</v>
      </c>
      <c r="N731">
        <v>3.2</v>
      </c>
      <c r="O731">
        <v>1</v>
      </c>
      <c r="P731" t="s">
        <v>2075</v>
      </c>
      <c r="Q731" s="1">
        <v>0.74</v>
      </c>
      <c r="R731" s="1">
        <f t="shared" ref="R731:R743" si="283">Q731</f>
        <v>0.74</v>
      </c>
    </row>
    <row r="732" spans="1:18" x14ac:dyDescent="0.2">
      <c r="A732" t="s">
        <v>1529</v>
      </c>
      <c r="B732" t="s">
        <v>1530</v>
      </c>
      <c r="C732" t="str">
        <f t="shared" si="281"/>
        <v>John Gray</v>
      </c>
      <c r="D732" t="s">
        <v>51</v>
      </c>
      <c r="E732" t="str">
        <f t="shared" si="282"/>
        <v>Male</v>
      </c>
      <c r="F732">
        <v>42</v>
      </c>
      <c r="G732" t="s">
        <v>114</v>
      </c>
      <c r="H732" t="s">
        <v>115</v>
      </c>
      <c r="I732" t="s">
        <v>25</v>
      </c>
      <c r="J732">
        <v>7</v>
      </c>
      <c r="K732" t="str" cm="1">
        <f t="array" ref="K732">_xlfn.IFS( J732&lt;=5,"0-5", J732&lt;=10,"6-10",J732&lt;=15,"11-15",J732&lt;=20,"16-20",J732&gt;20,"20+")</f>
        <v>6-10</v>
      </c>
      <c r="L732" t="s">
        <v>304</v>
      </c>
      <c r="M732" t="str">
        <f>_xlfn.TEXTAFTER(L732, " ")</f>
        <v>20</v>
      </c>
      <c r="O732" t="b">
        <v>0</v>
      </c>
      <c r="Q732" s="1">
        <v>1</v>
      </c>
      <c r="R732" s="1">
        <f t="shared" si="283"/>
        <v>1</v>
      </c>
    </row>
    <row r="733" spans="1:18" x14ac:dyDescent="0.2">
      <c r="A733" t="s">
        <v>1531</v>
      </c>
      <c r="B733" t="s">
        <v>1532</v>
      </c>
      <c r="C733" t="str">
        <f t="shared" si="281"/>
        <v>Shane Booker</v>
      </c>
      <c r="D733" t="s">
        <v>82</v>
      </c>
      <c r="E733" t="str">
        <f t="shared" si="282"/>
        <v>Male</v>
      </c>
      <c r="F733">
        <v>21</v>
      </c>
      <c r="G733" t="s">
        <v>57</v>
      </c>
      <c r="H733" t="s">
        <v>12</v>
      </c>
      <c r="I733" t="s">
        <v>13</v>
      </c>
      <c r="J733">
        <v>3</v>
      </c>
      <c r="K733" t="str" cm="1">
        <f t="array" ref="K733">_xlfn.IFS( J733&lt;=5,"0-5", J733&lt;=10,"6-10",J733&lt;=15,"11-15",J733&lt;=20,"16-20",J733&gt;20,"20+")</f>
        <v>0-5</v>
      </c>
      <c r="L733">
        <v>40</v>
      </c>
      <c r="M733" s="2">
        <f t="shared" ref="M733:M735" si="284">L733</f>
        <v>40</v>
      </c>
      <c r="N733">
        <v>0</v>
      </c>
      <c r="O733">
        <v>0</v>
      </c>
      <c r="P733" t="s">
        <v>2074</v>
      </c>
      <c r="Q733" s="1">
        <v>0.87</v>
      </c>
      <c r="R733" s="1">
        <f t="shared" si="283"/>
        <v>0.87</v>
      </c>
    </row>
    <row r="734" spans="1:18" x14ac:dyDescent="0.2">
      <c r="A734" t="s">
        <v>1533</v>
      </c>
      <c r="B734" t="s">
        <v>1534</v>
      </c>
      <c r="C734" t="str">
        <f t="shared" si="281"/>
        <v>Kyle Hall</v>
      </c>
      <c r="D734" t="s">
        <v>38</v>
      </c>
      <c r="E734" t="str">
        <f t="shared" si="282"/>
        <v>Male</v>
      </c>
      <c r="F734">
        <v>39</v>
      </c>
      <c r="G734" t="s">
        <v>18</v>
      </c>
      <c r="H734" t="s">
        <v>19</v>
      </c>
      <c r="I734" t="s">
        <v>25</v>
      </c>
      <c r="J734">
        <v>21</v>
      </c>
      <c r="K734" t="str" cm="1">
        <f t="array" ref="K734">_xlfn.IFS( J734&lt;=5,"0-5", J734&lt;=10,"6-10",J734&lt;=15,"11-15",J734&lt;=20,"16-20",J734&gt;20,"20+")</f>
        <v>20+</v>
      </c>
      <c r="L734">
        <v>100</v>
      </c>
      <c r="M734" s="2">
        <f t="shared" si="284"/>
        <v>100</v>
      </c>
      <c r="N734">
        <v>2.2000000000000002</v>
      </c>
      <c r="O734">
        <v>0</v>
      </c>
      <c r="P734" t="s">
        <v>2074</v>
      </c>
      <c r="Q734" s="1">
        <v>0.79</v>
      </c>
      <c r="R734" s="1">
        <f t="shared" si="283"/>
        <v>0.79</v>
      </c>
    </row>
    <row r="735" spans="1:18" x14ac:dyDescent="0.2">
      <c r="A735" t="s">
        <v>1535</v>
      </c>
      <c r="B735" t="s">
        <v>1536</v>
      </c>
      <c r="C735" t="str">
        <f t="shared" si="281"/>
        <v>Ronald Munoz</v>
      </c>
      <c r="D735" t="s">
        <v>38</v>
      </c>
      <c r="E735" t="str">
        <f t="shared" si="282"/>
        <v>Male</v>
      </c>
      <c r="F735">
        <v>32</v>
      </c>
      <c r="G735" t="s">
        <v>83</v>
      </c>
      <c r="H735" t="s">
        <v>84</v>
      </c>
      <c r="I735" t="s">
        <v>7</v>
      </c>
      <c r="K735" t="str" cm="1">
        <f t="array" ref="K735">_xlfn.IFS( J735&lt;=5,"0-5", J735&lt;=10,"6-10",J735&lt;=15,"11-15",J735&lt;=20,"16-20",J735&gt;20,"20+")</f>
        <v>0-5</v>
      </c>
      <c r="L735">
        <v>30</v>
      </c>
      <c r="M735" s="2">
        <f t="shared" si="284"/>
        <v>30</v>
      </c>
      <c r="N735">
        <v>1.5</v>
      </c>
      <c r="O735">
        <v>0</v>
      </c>
      <c r="P735" t="s">
        <v>2074</v>
      </c>
      <c r="Q735" s="1">
        <v>0.68</v>
      </c>
      <c r="R735" s="1">
        <f t="shared" si="283"/>
        <v>0.68</v>
      </c>
    </row>
    <row r="736" spans="1:18" x14ac:dyDescent="0.2">
      <c r="A736" t="s">
        <v>1537</v>
      </c>
      <c r="B736" t="s">
        <v>1538</v>
      </c>
      <c r="C736" t="str">
        <f t="shared" si="281"/>
        <v>Christopher Long</v>
      </c>
      <c r="D736" t="s">
        <v>82</v>
      </c>
      <c r="E736" t="str">
        <f t="shared" si="282"/>
        <v>Male</v>
      </c>
      <c r="F736">
        <v>35</v>
      </c>
      <c r="G736" t="s">
        <v>18</v>
      </c>
      <c r="H736" t="s">
        <v>19</v>
      </c>
      <c r="I736" t="s">
        <v>41</v>
      </c>
      <c r="K736" t="str" cm="1">
        <f t="array" ref="K736">_xlfn.IFS( J736&lt;=5,"0-5", J736&lt;=10,"6-10",J736&lt;=15,"11-15",J736&lt;=20,"16-20",J736&gt;20,"20+")</f>
        <v>0-5</v>
      </c>
      <c r="L736" t="s">
        <v>14</v>
      </c>
      <c r="M736" t="str">
        <f>_xlfn.TEXTAFTER(L736, " ")</f>
        <v>100</v>
      </c>
      <c r="O736">
        <v>0</v>
      </c>
      <c r="Q736" s="1">
        <v>0.84</v>
      </c>
      <c r="R736" s="1">
        <f t="shared" si="283"/>
        <v>0.84</v>
      </c>
    </row>
    <row r="737" spans="1:18" x14ac:dyDescent="0.2">
      <c r="A737" t="s">
        <v>1539</v>
      </c>
      <c r="B737" t="s">
        <v>1540</v>
      </c>
      <c r="C737" t="str">
        <f t="shared" si="281"/>
        <v>Sandra Ali</v>
      </c>
      <c r="D737" t="s">
        <v>4</v>
      </c>
      <c r="E737" t="str">
        <f t="shared" si="282"/>
        <v>Female</v>
      </c>
      <c r="F737">
        <v>35</v>
      </c>
      <c r="G737" t="s">
        <v>125</v>
      </c>
      <c r="H737" t="s">
        <v>126</v>
      </c>
      <c r="I737" t="s">
        <v>63</v>
      </c>
      <c r="J737">
        <v>17</v>
      </c>
      <c r="K737" t="str" cm="1">
        <f t="array" ref="K737">_xlfn.IFS( J737&lt;=5,"0-5", J737&lt;=10,"6-10",J737&lt;=15,"11-15",J737&lt;=20,"16-20",J737&gt;20,"20+")</f>
        <v>16-20</v>
      </c>
      <c r="L737">
        <v>50</v>
      </c>
      <c r="M737" s="2">
        <f t="shared" ref="M737:M738" si="285">L737</f>
        <v>50</v>
      </c>
      <c r="N737">
        <v>3.1</v>
      </c>
      <c r="O737">
        <v>0</v>
      </c>
      <c r="P737" t="s">
        <v>2074</v>
      </c>
      <c r="Q737" s="1">
        <v>0.71</v>
      </c>
      <c r="R737" s="1">
        <f t="shared" si="283"/>
        <v>0.71</v>
      </c>
    </row>
    <row r="738" spans="1:18" x14ac:dyDescent="0.2">
      <c r="A738" t="s">
        <v>1541</v>
      </c>
      <c r="B738" t="s">
        <v>1542</v>
      </c>
      <c r="C738" t="str">
        <f t="shared" si="281"/>
        <v>Jessica Garza</v>
      </c>
      <c r="D738" t="s">
        <v>10</v>
      </c>
      <c r="E738" t="str">
        <f t="shared" si="282"/>
        <v>Female</v>
      </c>
      <c r="F738">
        <v>23</v>
      </c>
      <c r="G738" t="s">
        <v>61</v>
      </c>
      <c r="H738" t="s">
        <v>62</v>
      </c>
      <c r="I738" t="s">
        <v>63</v>
      </c>
      <c r="J738">
        <v>0</v>
      </c>
      <c r="K738" t="str" cm="1">
        <f t="array" ref="K738">_xlfn.IFS( J738&lt;=5,"0-5", J738&lt;=10,"6-10",J738&lt;=15,"11-15",J738&lt;=20,"16-20",J738&gt;20,"20+")</f>
        <v>0-5</v>
      </c>
      <c r="L738">
        <v>75</v>
      </c>
      <c r="M738" s="2">
        <f t="shared" si="285"/>
        <v>75</v>
      </c>
      <c r="N738">
        <v>0</v>
      </c>
      <c r="O738" t="s">
        <v>149</v>
      </c>
      <c r="P738" t="s">
        <v>2074</v>
      </c>
      <c r="Q738" s="1">
        <v>0.92</v>
      </c>
      <c r="R738" s="1">
        <f t="shared" si="283"/>
        <v>0.92</v>
      </c>
    </row>
    <row r="739" spans="1:18" x14ac:dyDescent="0.2">
      <c r="A739" t="s">
        <v>1543</v>
      </c>
      <c r="B739" t="s">
        <v>1544</v>
      </c>
      <c r="C739" t="str">
        <f t="shared" si="281"/>
        <v>Gregory Waters</v>
      </c>
      <c r="D739" t="s">
        <v>82</v>
      </c>
      <c r="E739" t="str">
        <f t="shared" si="282"/>
        <v>Male</v>
      </c>
      <c r="F739">
        <v>26</v>
      </c>
      <c r="G739" t="s">
        <v>32</v>
      </c>
      <c r="H739" t="s">
        <v>33</v>
      </c>
      <c r="I739" t="s">
        <v>34</v>
      </c>
      <c r="J739">
        <v>6</v>
      </c>
      <c r="K739" t="str" cm="1">
        <f t="array" ref="K739">_xlfn.IFS( J739&lt;=5,"0-5", J739&lt;=10,"6-10",J739&lt;=15,"11-15",J739&lt;=20,"16-20",J739&gt;20,"20+")</f>
        <v>6-10</v>
      </c>
      <c r="L739" t="s">
        <v>14</v>
      </c>
      <c r="M739" t="str">
        <f>_xlfn.TEXTAFTER(L739, " ")</f>
        <v>100</v>
      </c>
      <c r="O739" t="s">
        <v>149</v>
      </c>
      <c r="Q739" s="1">
        <v>0.69</v>
      </c>
      <c r="R739" s="1">
        <f t="shared" si="283"/>
        <v>0.69</v>
      </c>
    </row>
    <row r="740" spans="1:18" x14ac:dyDescent="0.2">
      <c r="A740" t="s">
        <v>1545</v>
      </c>
      <c r="B740" t="s">
        <v>1546</v>
      </c>
      <c r="C740" t="str">
        <f t="shared" si="281"/>
        <v>Misty Adams</v>
      </c>
      <c r="D740" t="s">
        <v>24</v>
      </c>
      <c r="E740" t="str">
        <f t="shared" si="282"/>
        <v>Female</v>
      </c>
      <c r="F740">
        <v>34</v>
      </c>
      <c r="G740" t="s">
        <v>118</v>
      </c>
      <c r="H740" t="s">
        <v>12</v>
      </c>
      <c r="I740" t="s">
        <v>104</v>
      </c>
      <c r="J740">
        <v>3</v>
      </c>
      <c r="K740" t="str" cm="1">
        <f t="array" ref="K740">_xlfn.IFS( J740&lt;=5,"0-5", J740&lt;=10,"6-10",J740&lt;=15,"11-15",J740&lt;=20,"16-20",J740&gt;20,"20+")</f>
        <v>0-5</v>
      </c>
      <c r="M740"/>
      <c r="N740">
        <v>0</v>
      </c>
      <c r="O740">
        <v>1</v>
      </c>
      <c r="Q740" s="1">
        <v>0.71</v>
      </c>
      <c r="R740" s="1">
        <f t="shared" si="283"/>
        <v>0.71</v>
      </c>
    </row>
    <row r="741" spans="1:18" x14ac:dyDescent="0.2">
      <c r="A741" t="s">
        <v>1547</v>
      </c>
      <c r="B741" t="s">
        <v>1548</v>
      </c>
      <c r="C741" t="str">
        <f t="shared" si="281"/>
        <v>Megan Brown</v>
      </c>
      <c r="D741" t="s">
        <v>67</v>
      </c>
      <c r="E741" t="str">
        <f t="shared" si="282"/>
        <v>Female</v>
      </c>
      <c r="F741">
        <v>34</v>
      </c>
      <c r="G741" t="s">
        <v>18</v>
      </c>
      <c r="H741" t="s">
        <v>19</v>
      </c>
      <c r="I741" t="s">
        <v>7</v>
      </c>
      <c r="J741">
        <v>3</v>
      </c>
      <c r="K741" t="str" cm="1">
        <f t="array" ref="K741">_xlfn.IFS( J741&lt;=5,"0-5", J741&lt;=10,"6-10",J741&lt;=15,"11-15",J741&lt;=20,"16-20",J741&gt;20,"20+")</f>
        <v>0-5</v>
      </c>
      <c r="M741"/>
      <c r="O741" t="b">
        <v>0</v>
      </c>
      <c r="Q741" s="1">
        <v>0.77</v>
      </c>
      <c r="R741" s="1">
        <f t="shared" si="283"/>
        <v>0.77</v>
      </c>
    </row>
    <row r="742" spans="1:18" x14ac:dyDescent="0.2">
      <c r="A742" t="s">
        <v>1549</v>
      </c>
      <c r="B742" t="s">
        <v>1550</v>
      </c>
      <c r="C742" t="str">
        <f t="shared" si="281"/>
        <v>Gregory Brown</v>
      </c>
      <c r="D742" t="s">
        <v>38</v>
      </c>
      <c r="E742" t="str">
        <f t="shared" si="282"/>
        <v>Male</v>
      </c>
      <c r="F742">
        <v>57</v>
      </c>
      <c r="G742" t="s">
        <v>5</v>
      </c>
      <c r="H742" t="s">
        <v>6</v>
      </c>
      <c r="I742" t="s">
        <v>25</v>
      </c>
      <c r="J742">
        <v>31</v>
      </c>
      <c r="K742" t="str" cm="1">
        <f t="array" ref="K742">_xlfn.IFS( J742&lt;=5,"0-5", J742&lt;=10,"6-10",J742&lt;=15,"11-15",J742&lt;=20,"16-20",J742&gt;20,"20+")</f>
        <v>20+</v>
      </c>
      <c r="L742">
        <v>50</v>
      </c>
      <c r="M742" s="2">
        <f>L742</f>
        <v>50</v>
      </c>
      <c r="N742">
        <v>3</v>
      </c>
      <c r="O742" t="b">
        <v>1</v>
      </c>
      <c r="P742" t="s">
        <v>2075</v>
      </c>
      <c r="Q742" s="1">
        <v>0.87</v>
      </c>
      <c r="R742" s="1">
        <f t="shared" si="283"/>
        <v>0.87</v>
      </c>
    </row>
    <row r="743" spans="1:18" x14ac:dyDescent="0.2">
      <c r="A743" t="s">
        <v>1551</v>
      </c>
      <c r="B743" t="s">
        <v>1552</v>
      </c>
      <c r="C743" t="str">
        <f t="shared" si="281"/>
        <v>Scott Alexander MD</v>
      </c>
      <c r="D743" t="s">
        <v>51</v>
      </c>
      <c r="E743" t="str">
        <f t="shared" si="282"/>
        <v>Male</v>
      </c>
      <c r="F743">
        <v>46</v>
      </c>
      <c r="G743" t="s">
        <v>118</v>
      </c>
      <c r="H743" t="s">
        <v>12</v>
      </c>
      <c r="I743" t="s">
        <v>25</v>
      </c>
      <c r="J743">
        <v>5</v>
      </c>
      <c r="K743" t="str" cm="1">
        <f t="array" ref="K743">_xlfn.IFS( J743&lt;=5,"0-5", J743&lt;=10,"6-10",J743&lt;=15,"11-15",J743&lt;=20,"16-20",J743&gt;20,"20+")</f>
        <v>0-5</v>
      </c>
      <c r="L743" t="s">
        <v>35</v>
      </c>
      <c r="M743" t="str">
        <f>SUBSTITUTE(L743,"$"," ")</f>
        <v xml:space="preserve"> 30</v>
      </c>
      <c r="N743">
        <v>2.6</v>
      </c>
      <c r="O743" t="s">
        <v>149</v>
      </c>
      <c r="Q743" s="1">
        <v>0.76</v>
      </c>
      <c r="R743" s="1">
        <f t="shared" si="283"/>
        <v>0.76</v>
      </c>
    </row>
    <row r="744" spans="1:18" x14ac:dyDescent="0.2">
      <c r="A744" t="s">
        <v>1553</v>
      </c>
      <c r="B744" t="s">
        <v>1554</v>
      </c>
      <c r="C744" t="str">
        <f t="shared" si="281"/>
        <v>Eric Nguyen</v>
      </c>
      <c r="D744" t="s">
        <v>17</v>
      </c>
      <c r="E744" t="str">
        <f t="shared" si="282"/>
        <v>Male</v>
      </c>
      <c r="F744">
        <v>55</v>
      </c>
      <c r="G744" t="s">
        <v>83</v>
      </c>
      <c r="H744" t="s">
        <v>84</v>
      </c>
      <c r="I744" t="s">
        <v>34</v>
      </c>
      <c r="J744">
        <v>37</v>
      </c>
      <c r="K744" t="str" cm="1">
        <f t="array" ref="K744">_xlfn.IFS( J744&lt;=5,"0-5", J744&lt;=10,"6-10",J744&lt;=15,"11-15",J744&lt;=20,"16-20",J744&gt;20,"20+")</f>
        <v>20+</v>
      </c>
      <c r="L744" t="s">
        <v>42</v>
      </c>
      <c r="M744" t="str">
        <f t="shared" ref="M744:M746" si="286">_xlfn.TEXTAFTER(L744, " ")</f>
        <v>75</v>
      </c>
      <c r="N744">
        <v>4.0999999999999996</v>
      </c>
      <c r="O744" t="s">
        <v>149</v>
      </c>
    </row>
    <row r="745" spans="1:18" x14ac:dyDescent="0.2">
      <c r="A745" t="s">
        <v>1555</v>
      </c>
      <c r="B745" t="s">
        <v>1556</v>
      </c>
      <c r="C745" t="str">
        <f t="shared" si="281"/>
        <v>Wendy Boyer</v>
      </c>
      <c r="D745" t="s">
        <v>10</v>
      </c>
      <c r="E745" t="str">
        <f t="shared" si="282"/>
        <v>Female</v>
      </c>
      <c r="F745">
        <v>32</v>
      </c>
      <c r="G745" t="s">
        <v>11</v>
      </c>
      <c r="H745" t="s">
        <v>12</v>
      </c>
      <c r="I745" t="s">
        <v>79</v>
      </c>
      <c r="J745">
        <v>10</v>
      </c>
      <c r="K745" t="str" cm="1">
        <f t="array" ref="K745">_xlfn.IFS( J745&lt;=5,"0-5", J745&lt;=10,"6-10",J745&lt;=15,"11-15",J745&lt;=20,"16-20",J745&gt;20,"20+")</f>
        <v>6-10</v>
      </c>
      <c r="L745" t="s">
        <v>88</v>
      </c>
      <c r="M745" t="str">
        <f t="shared" si="286"/>
        <v>50</v>
      </c>
      <c r="N745">
        <v>1.5</v>
      </c>
      <c r="O745" t="b">
        <v>0</v>
      </c>
      <c r="Q745" s="1">
        <v>0.65</v>
      </c>
      <c r="R745" s="1">
        <f t="shared" ref="R745:R746" si="287">Q745</f>
        <v>0.65</v>
      </c>
    </row>
    <row r="746" spans="1:18" x14ac:dyDescent="0.2">
      <c r="A746" t="s">
        <v>1557</v>
      </c>
      <c r="B746" t="s">
        <v>1558</v>
      </c>
      <c r="C746" t="str">
        <f t="shared" si="281"/>
        <v>Mark Clark</v>
      </c>
      <c r="D746" t="s">
        <v>82</v>
      </c>
      <c r="E746" t="str">
        <f t="shared" si="282"/>
        <v>Male</v>
      </c>
      <c r="F746">
        <v>53</v>
      </c>
      <c r="G746" t="s">
        <v>39</v>
      </c>
      <c r="H746" t="s">
        <v>40</v>
      </c>
      <c r="I746" t="s">
        <v>34</v>
      </c>
      <c r="J746">
        <v>28</v>
      </c>
      <c r="K746" t="str" cm="1">
        <f t="array" ref="K746">_xlfn.IFS( J746&lt;=5,"0-5", J746&lt;=10,"6-10",J746&lt;=15,"11-15",J746&lt;=20,"16-20",J746&gt;20,"20+")</f>
        <v>20+</v>
      </c>
      <c r="L746" t="s">
        <v>88</v>
      </c>
      <c r="M746" t="str">
        <f t="shared" si="286"/>
        <v>50</v>
      </c>
      <c r="N746">
        <v>2.9</v>
      </c>
      <c r="O746" t="s">
        <v>58</v>
      </c>
      <c r="Q746" s="1">
        <v>0.82</v>
      </c>
      <c r="R746" s="1">
        <f t="shared" si="287"/>
        <v>0.82</v>
      </c>
    </row>
    <row r="747" spans="1:18" x14ac:dyDescent="0.2">
      <c r="A747" t="s">
        <v>1559</v>
      </c>
      <c r="B747" t="s">
        <v>1560</v>
      </c>
      <c r="C747" t="str">
        <f t="shared" si="281"/>
        <v>Carl Kline</v>
      </c>
      <c r="D747" t="s">
        <v>17</v>
      </c>
      <c r="E747" t="str">
        <f t="shared" si="282"/>
        <v>Male</v>
      </c>
      <c r="F747">
        <v>59</v>
      </c>
      <c r="G747" t="s">
        <v>169</v>
      </c>
      <c r="H747" t="s">
        <v>62</v>
      </c>
      <c r="I747" t="s">
        <v>34</v>
      </c>
      <c r="J747">
        <v>0</v>
      </c>
      <c r="K747" t="str" cm="1">
        <f t="array" ref="K747">_xlfn.IFS( J747&lt;=5,"0-5", J747&lt;=10,"6-10",J747&lt;=15,"11-15",J747&lt;=20,"16-20",J747&gt;20,"20+")</f>
        <v>0-5</v>
      </c>
      <c r="L747">
        <v>100</v>
      </c>
      <c r="M747" s="2">
        <f>L747</f>
        <v>100</v>
      </c>
      <c r="N747">
        <v>0</v>
      </c>
      <c r="O747" t="s">
        <v>64</v>
      </c>
      <c r="P747" t="s">
        <v>2075</v>
      </c>
      <c r="Q747">
        <v>87</v>
      </c>
      <c r="R747" s="3">
        <f>Q747/100</f>
        <v>0.87</v>
      </c>
    </row>
    <row r="748" spans="1:18" x14ac:dyDescent="0.2">
      <c r="A748" t="s">
        <v>1561</v>
      </c>
      <c r="B748" t="s">
        <v>1562</v>
      </c>
      <c r="C748" t="str">
        <f t="shared" si="281"/>
        <v>Linda Williams</v>
      </c>
      <c r="D748" t="s">
        <v>24</v>
      </c>
      <c r="E748" t="str">
        <f t="shared" si="282"/>
        <v>Female</v>
      </c>
      <c r="F748">
        <v>44</v>
      </c>
      <c r="G748" t="s">
        <v>32</v>
      </c>
      <c r="H748" t="s">
        <v>33</v>
      </c>
      <c r="I748" t="s">
        <v>104</v>
      </c>
      <c r="J748">
        <v>19</v>
      </c>
      <c r="K748" t="str" cm="1">
        <f t="array" ref="K748">_xlfn.IFS( J748&lt;=5,"0-5", J748&lt;=10,"6-10",J748&lt;=15,"11-15",J748&lt;=20,"16-20",J748&gt;20,"20+")</f>
        <v>16-20</v>
      </c>
      <c r="L748" t="s">
        <v>26</v>
      </c>
      <c r="M748" t="str">
        <f>SUBSTITUTE(L748,"$"," ")</f>
        <v xml:space="preserve"> 40</v>
      </c>
      <c r="N748">
        <v>4.9000000000000004</v>
      </c>
      <c r="O748" t="s">
        <v>21</v>
      </c>
      <c r="Q748" s="1">
        <v>1</v>
      </c>
      <c r="R748" s="1">
        <f>Q748</f>
        <v>1</v>
      </c>
    </row>
    <row r="749" spans="1:18" x14ac:dyDescent="0.2">
      <c r="A749" t="s">
        <v>1563</v>
      </c>
      <c r="B749" t="s">
        <v>1564</v>
      </c>
      <c r="C749" t="str">
        <f t="shared" si="281"/>
        <v>Jason Edwards</v>
      </c>
      <c r="D749" t="s">
        <v>87</v>
      </c>
      <c r="E749" t="str">
        <f t="shared" si="282"/>
        <v>Male</v>
      </c>
      <c r="F749">
        <v>35</v>
      </c>
      <c r="G749" t="s">
        <v>129</v>
      </c>
      <c r="H749" t="s">
        <v>130</v>
      </c>
      <c r="I749" t="s">
        <v>7</v>
      </c>
      <c r="J749">
        <v>9</v>
      </c>
      <c r="K749" t="str" cm="1">
        <f t="array" ref="K749">_xlfn.IFS( J749&lt;=5,"0-5", J749&lt;=10,"6-10",J749&lt;=15,"11-15",J749&lt;=20,"16-20",J749&gt;20,"20+")</f>
        <v>6-10</v>
      </c>
      <c r="L749" t="s">
        <v>88</v>
      </c>
      <c r="M749" t="str">
        <f>_xlfn.TEXTAFTER(L749, " ")</f>
        <v>50</v>
      </c>
      <c r="N749">
        <v>3</v>
      </c>
      <c r="O749" t="s">
        <v>21</v>
      </c>
      <c r="Q749">
        <v>71</v>
      </c>
      <c r="R749" s="3">
        <f t="shared" ref="R749:R751" si="288">Q749/100</f>
        <v>0.71</v>
      </c>
    </row>
    <row r="750" spans="1:18" x14ac:dyDescent="0.2">
      <c r="A750" t="s">
        <v>1565</v>
      </c>
      <c r="B750" t="s">
        <v>1566</v>
      </c>
      <c r="C750" t="str">
        <f t="shared" si="281"/>
        <v>Madison Mcintosh</v>
      </c>
      <c r="D750" t="s">
        <v>4</v>
      </c>
      <c r="E750" t="str">
        <f t="shared" si="282"/>
        <v>Female</v>
      </c>
      <c r="F750">
        <v>42</v>
      </c>
      <c r="G750" t="s">
        <v>165</v>
      </c>
      <c r="H750" t="s">
        <v>166</v>
      </c>
      <c r="I750" t="s">
        <v>104</v>
      </c>
      <c r="J750">
        <v>5</v>
      </c>
      <c r="K750" t="str" cm="1">
        <f t="array" ref="K750">_xlfn.IFS( J750&lt;=5,"0-5", J750&lt;=10,"6-10",J750&lt;=15,"11-15",J750&lt;=20,"16-20",J750&gt;20,"20+")</f>
        <v>0-5</v>
      </c>
      <c r="L750">
        <v>30</v>
      </c>
      <c r="M750" s="2">
        <f>L750</f>
        <v>30</v>
      </c>
      <c r="N750">
        <v>4.9000000000000004</v>
      </c>
      <c r="O750">
        <v>1</v>
      </c>
      <c r="P750" t="s">
        <v>2075</v>
      </c>
      <c r="Q750">
        <v>87</v>
      </c>
      <c r="R750" s="3">
        <f t="shared" si="288"/>
        <v>0.87</v>
      </c>
    </row>
    <row r="751" spans="1:18" x14ac:dyDescent="0.2">
      <c r="A751" t="s">
        <v>1567</v>
      </c>
      <c r="B751" t="s">
        <v>1568</v>
      </c>
      <c r="C751" t="str">
        <f t="shared" si="281"/>
        <v>Desiree Winters</v>
      </c>
      <c r="D751" t="s">
        <v>4</v>
      </c>
      <c r="E751" t="str">
        <f t="shared" si="282"/>
        <v>Female</v>
      </c>
      <c r="F751">
        <v>58</v>
      </c>
      <c r="G751" t="s">
        <v>102</v>
      </c>
      <c r="H751" t="s">
        <v>103</v>
      </c>
      <c r="I751" t="s">
        <v>7</v>
      </c>
      <c r="J751">
        <v>0</v>
      </c>
      <c r="K751" t="str" cm="1">
        <f t="array" ref="K751">_xlfn.IFS( J751&lt;=5,"0-5", J751&lt;=10,"6-10",J751&lt;=15,"11-15",J751&lt;=20,"16-20",J751&gt;20,"20+")</f>
        <v>0-5</v>
      </c>
      <c r="L751" t="s">
        <v>99</v>
      </c>
      <c r="M751" t="str">
        <f t="shared" ref="M751:M752" si="289">_xlfn.TEXTAFTER(L751, " ")</f>
        <v>30</v>
      </c>
      <c r="N751">
        <v>4.5999999999999996</v>
      </c>
      <c r="O751">
        <v>0</v>
      </c>
      <c r="Q751">
        <v>70</v>
      </c>
      <c r="R751" s="3">
        <f t="shared" si="288"/>
        <v>0.7</v>
      </c>
    </row>
    <row r="752" spans="1:18" x14ac:dyDescent="0.2">
      <c r="A752" t="s">
        <v>1569</v>
      </c>
      <c r="B752" t="s">
        <v>1570</v>
      </c>
      <c r="C752" t="str">
        <f t="shared" si="281"/>
        <v>Ryan Taylor</v>
      </c>
      <c r="D752" t="s">
        <v>51</v>
      </c>
      <c r="E752" t="str">
        <f t="shared" si="282"/>
        <v>Male</v>
      </c>
      <c r="F752">
        <v>41</v>
      </c>
      <c r="G752" t="s">
        <v>32</v>
      </c>
      <c r="H752" t="s">
        <v>33</v>
      </c>
      <c r="I752" t="s">
        <v>34</v>
      </c>
      <c r="J752">
        <v>21</v>
      </c>
      <c r="K752" t="str" cm="1">
        <f t="array" ref="K752">_xlfn.IFS( J752&lt;=5,"0-5", J752&lt;=10,"6-10",J752&lt;=15,"11-15",J752&lt;=20,"16-20",J752&gt;20,"20+")</f>
        <v>20+</v>
      </c>
      <c r="L752" t="s">
        <v>14</v>
      </c>
      <c r="M752" t="str">
        <f t="shared" si="289"/>
        <v>100</v>
      </c>
      <c r="N752">
        <v>2.2000000000000002</v>
      </c>
      <c r="O752">
        <v>1</v>
      </c>
      <c r="Q752" s="1">
        <v>0.83</v>
      </c>
      <c r="R752" s="1">
        <f t="shared" ref="R752:R757" si="290">Q752</f>
        <v>0.83</v>
      </c>
    </row>
    <row r="753" spans="1:18" x14ac:dyDescent="0.2">
      <c r="A753" t="s">
        <v>1571</v>
      </c>
      <c r="B753" t="s">
        <v>1572</v>
      </c>
      <c r="C753" t="str">
        <f t="shared" si="281"/>
        <v>Patricia Scott</v>
      </c>
      <c r="D753" t="s">
        <v>29</v>
      </c>
      <c r="E753" t="str">
        <f t="shared" si="282"/>
        <v>Female</v>
      </c>
      <c r="G753" t="s">
        <v>61</v>
      </c>
      <c r="H753" t="s">
        <v>62</v>
      </c>
      <c r="I753" t="s">
        <v>25</v>
      </c>
      <c r="J753">
        <v>0</v>
      </c>
      <c r="K753" t="str" cm="1">
        <f t="array" ref="K753">_xlfn.IFS( J753&lt;=5,"0-5", J753&lt;=10,"6-10",J753&lt;=15,"11-15",J753&lt;=20,"16-20",J753&gt;20,"20+")</f>
        <v>0-5</v>
      </c>
      <c r="L753">
        <v>40</v>
      </c>
      <c r="M753" s="2">
        <f t="shared" ref="M753:M755" si="291">L753</f>
        <v>40</v>
      </c>
      <c r="O753" t="s">
        <v>64</v>
      </c>
      <c r="P753" t="s">
        <v>2075</v>
      </c>
      <c r="Q753" s="1">
        <v>0.74</v>
      </c>
      <c r="R753" s="1">
        <f t="shared" si="290"/>
        <v>0.74</v>
      </c>
    </row>
    <row r="754" spans="1:18" x14ac:dyDescent="0.2">
      <c r="A754" t="s">
        <v>1573</v>
      </c>
      <c r="B754" t="s">
        <v>1574</v>
      </c>
      <c r="C754" t="str">
        <f t="shared" si="281"/>
        <v>Erin Jimenez</v>
      </c>
      <c r="D754" t="s">
        <v>10</v>
      </c>
      <c r="E754" t="str">
        <f t="shared" si="282"/>
        <v>Female</v>
      </c>
      <c r="F754">
        <v>23</v>
      </c>
      <c r="G754" t="s">
        <v>118</v>
      </c>
      <c r="H754" t="s">
        <v>12</v>
      </c>
      <c r="I754" t="s">
        <v>7</v>
      </c>
      <c r="J754">
        <v>0</v>
      </c>
      <c r="K754" t="str" cm="1">
        <f t="array" ref="K754">_xlfn.IFS( J754&lt;=5,"0-5", J754&lt;=10,"6-10",J754&lt;=15,"11-15",J754&lt;=20,"16-20",J754&gt;20,"20+")</f>
        <v>0-5</v>
      </c>
      <c r="L754">
        <v>30</v>
      </c>
      <c r="M754" s="2">
        <f t="shared" si="291"/>
        <v>30</v>
      </c>
      <c r="N754">
        <v>1.1000000000000001</v>
      </c>
      <c r="O754" t="s">
        <v>58</v>
      </c>
      <c r="P754" t="s">
        <v>2075</v>
      </c>
      <c r="Q754" s="1">
        <v>0.86</v>
      </c>
      <c r="R754" s="1">
        <f t="shared" si="290"/>
        <v>0.86</v>
      </c>
    </row>
    <row r="755" spans="1:18" x14ac:dyDescent="0.2">
      <c r="A755" t="s">
        <v>1575</v>
      </c>
      <c r="B755" t="s">
        <v>1576</v>
      </c>
      <c r="C755" t="str">
        <f t="shared" si="281"/>
        <v>Anthony Krause</v>
      </c>
      <c r="D755" t="s">
        <v>82</v>
      </c>
      <c r="E755" t="str">
        <f t="shared" si="282"/>
        <v>Male</v>
      </c>
      <c r="F755">
        <v>51</v>
      </c>
      <c r="G755" t="s">
        <v>165</v>
      </c>
      <c r="H755" t="s">
        <v>166</v>
      </c>
      <c r="I755" t="s">
        <v>7</v>
      </c>
      <c r="J755">
        <v>17</v>
      </c>
      <c r="K755" t="str" cm="1">
        <f t="array" ref="K755">_xlfn.IFS( J755&lt;=5,"0-5", J755&lt;=10,"6-10",J755&lt;=15,"11-15",J755&lt;=20,"16-20",J755&gt;20,"20+")</f>
        <v>16-20</v>
      </c>
      <c r="L755">
        <v>40</v>
      </c>
      <c r="M755" s="2">
        <f t="shared" si="291"/>
        <v>40</v>
      </c>
      <c r="N755">
        <v>4.5</v>
      </c>
      <c r="O755">
        <v>1</v>
      </c>
      <c r="P755" t="s">
        <v>2075</v>
      </c>
      <c r="Q755" s="1">
        <v>0.72</v>
      </c>
      <c r="R755" s="1">
        <f t="shared" si="290"/>
        <v>0.72</v>
      </c>
    </row>
    <row r="756" spans="1:18" x14ac:dyDescent="0.2">
      <c r="A756" t="s">
        <v>1577</v>
      </c>
      <c r="B756" t="s">
        <v>1578</v>
      </c>
      <c r="C756" t="str">
        <f t="shared" si="281"/>
        <v>Diane Dean</v>
      </c>
      <c r="D756" t="s">
        <v>10</v>
      </c>
      <c r="E756" t="str">
        <f t="shared" si="282"/>
        <v>Female</v>
      </c>
      <c r="F756">
        <v>42</v>
      </c>
      <c r="G756" t="s">
        <v>125</v>
      </c>
      <c r="H756" t="s">
        <v>126</v>
      </c>
      <c r="I756" t="s">
        <v>34</v>
      </c>
      <c r="J756">
        <v>21</v>
      </c>
      <c r="K756" t="str" cm="1">
        <f t="array" ref="K756">_xlfn.IFS( J756&lt;=5,"0-5", J756&lt;=10,"6-10",J756&lt;=15,"11-15",J756&lt;=20,"16-20",J756&gt;20,"20+")</f>
        <v>20+</v>
      </c>
      <c r="M756"/>
      <c r="N756">
        <v>2.5</v>
      </c>
      <c r="O756" t="b">
        <v>1</v>
      </c>
      <c r="Q756" s="1">
        <v>0.73</v>
      </c>
      <c r="R756" s="1">
        <f t="shared" si="290"/>
        <v>0.73</v>
      </c>
    </row>
    <row r="757" spans="1:18" x14ac:dyDescent="0.2">
      <c r="A757" t="s">
        <v>1579</v>
      </c>
      <c r="B757" t="s">
        <v>1580</v>
      </c>
      <c r="C757" t="str">
        <f t="shared" si="281"/>
        <v>Stuart Mckinney</v>
      </c>
      <c r="D757" t="s">
        <v>51</v>
      </c>
      <c r="E757" t="str">
        <f t="shared" si="282"/>
        <v>Male</v>
      </c>
      <c r="F757">
        <v>26</v>
      </c>
      <c r="G757" t="s">
        <v>75</v>
      </c>
      <c r="H757" t="s">
        <v>76</v>
      </c>
      <c r="I757" t="s">
        <v>41</v>
      </c>
      <c r="J757">
        <v>7</v>
      </c>
      <c r="K757" t="str" cm="1">
        <f t="array" ref="K757">_xlfn.IFS( J757&lt;=5,"0-5", J757&lt;=10,"6-10",J757&lt;=15,"11-15",J757&lt;=20,"16-20",J757&gt;20,"20+")</f>
        <v>6-10</v>
      </c>
      <c r="L757" t="s">
        <v>42</v>
      </c>
      <c r="M757" t="str">
        <f>_xlfn.TEXTAFTER(L757, " ")</f>
        <v>75</v>
      </c>
      <c r="N757">
        <v>2.9</v>
      </c>
      <c r="O757">
        <v>0</v>
      </c>
      <c r="Q757" s="1">
        <v>0.78</v>
      </c>
      <c r="R757" s="1">
        <f t="shared" si="290"/>
        <v>0.78</v>
      </c>
    </row>
    <row r="758" spans="1:18" x14ac:dyDescent="0.2">
      <c r="A758" t="s">
        <v>1581</v>
      </c>
      <c r="B758" t="s">
        <v>1582</v>
      </c>
      <c r="C758" t="str">
        <f t="shared" si="281"/>
        <v>Kellie Le</v>
      </c>
      <c r="D758" t="s">
        <v>4</v>
      </c>
      <c r="E758" t="str">
        <f t="shared" si="282"/>
        <v>Female</v>
      </c>
      <c r="F758">
        <v>49</v>
      </c>
      <c r="G758" t="s">
        <v>39</v>
      </c>
      <c r="H758" t="s">
        <v>40</v>
      </c>
      <c r="I758" t="s">
        <v>34</v>
      </c>
      <c r="J758">
        <v>22</v>
      </c>
      <c r="K758" t="str" cm="1">
        <f t="array" ref="K758">_xlfn.IFS( J758&lt;=5,"0-5", J758&lt;=10,"6-10",J758&lt;=15,"11-15",J758&lt;=20,"16-20",J758&gt;20,"20+")</f>
        <v>20+</v>
      </c>
      <c r="L758">
        <v>75</v>
      </c>
      <c r="M758" s="2">
        <f>L758</f>
        <v>75</v>
      </c>
      <c r="N758">
        <v>0</v>
      </c>
      <c r="O758" t="b">
        <v>1</v>
      </c>
      <c r="P758" t="s">
        <v>2075</v>
      </c>
    </row>
    <row r="759" spans="1:18" x14ac:dyDescent="0.2">
      <c r="A759" t="s">
        <v>1583</v>
      </c>
      <c r="B759" t="s">
        <v>1584</v>
      </c>
      <c r="C759" t="str">
        <f t="shared" si="281"/>
        <v>Lauren Henry</v>
      </c>
      <c r="D759" t="s">
        <v>29</v>
      </c>
      <c r="E759" t="str">
        <f t="shared" si="282"/>
        <v>Female</v>
      </c>
      <c r="F759">
        <v>37</v>
      </c>
      <c r="G759" t="s">
        <v>5</v>
      </c>
      <c r="H759" t="s">
        <v>6</v>
      </c>
      <c r="I759" t="s">
        <v>79</v>
      </c>
      <c r="K759" t="str" cm="1">
        <f t="array" ref="K759">_xlfn.IFS( J759&lt;=5,"0-5", J759&lt;=10,"6-10",J759&lt;=15,"11-15",J759&lt;=20,"16-20",J759&gt;20,"20+")</f>
        <v>0-5</v>
      </c>
      <c r="L759" t="s">
        <v>42</v>
      </c>
      <c r="M759" t="str">
        <f>_xlfn.TEXTAFTER(L759, " ")</f>
        <v>75</v>
      </c>
      <c r="N759">
        <v>3.5</v>
      </c>
      <c r="O759" t="s">
        <v>21</v>
      </c>
      <c r="Q759" s="1">
        <v>0.75</v>
      </c>
      <c r="R759" s="1">
        <f t="shared" ref="R759:R769" si="292">Q759</f>
        <v>0.75</v>
      </c>
    </row>
    <row r="760" spans="1:18" x14ac:dyDescent="0.2">
      <c r="A760" t="s">
        <v>1585</v>
      </c>
      <c r="B760" t="s">
        <v>1586</v>
      </c>
      <c r="C760" t="str">
        <f t="shared" si="281"/>
        <v>Brandon Fox</v>
      </c>
      <c r="D760" t="s">
        <v>82</v>
      </c>
      <c r="E760" t="str">
        <f t="shared" si="282"/>
        <v>Male</v>
      </c>
      <c r="F760">
        <v>31</v>
      </c>
      <c r="G760" t="s">
        <v>11</v>
      </c>
      <c r="H760" t="s">
        <v>12</v>
      </c>
      <c r="I760" t="s">
        <v>34</v>
      </c>
      <c r="J760">
        <v>1</v>
      </c>
      <c r="K760" t="str" cm="1">
        <f t="array" ref="K760">_xlfn.IFS( J760&lt;=5,"0-5", J760&lt;=10,"6-10",J760&lt;=15,"11-15",J760&lt;=20,"16-20",J760&gt;20,"20+")</f>
        <v>0-5</v>
      </c>
      <c r="L760">
        <v>40</v>
      </c>
      <c r="M760" s="2">
        <f>L760</f>
        <v>40</v>
      </c>
      <c r="N760">
        <v>4.5</v>
      </c>
      <c r="O760">
        <v>0</v>
      </c>
      <c r="P760" t="s">
        <v>2074</v>
      </c>
      <c r="Q760" s="1">
        <v>0.96</v>
      </c>
      <c r="R760" s="1">
        <f t="shared" si="292"/>
        <v>0.96</v>
      </c>
    </row>
    <row r="761" spans="1:18" x14ac:dyDescent="0.2">
      <c r="A761" t="s">
        <v>1587</v>
      </c>
      <c r="B761" t="s">
        <v>1588</v>
      </c>
      <c r="C761" t="str">
        <f t="shared" si="281"/>
        <v>Richard Smith</v>
      </c>
      <c r="D761" t="s">
        <v>51</v>
      </c>
      <c r="E761" t="str">
        <f t="shared" si="282"/>
        <v>Male</v>
      </c>
      <c r="F761">
        <v>51</v>
      </c>
      <c r="G761" t="s">
        <v>102</v>
      </c>
      <c r="H761" t="s">
        <v>103</v>
      </c>
      <c r="I761" t="s">
        <v>13</v>
      </c>
      <c r="J761">
        <v>5</v>
      </c>
      <c r="K761" t="str" cm="1">
        <f t="array" ref="K761">_xlfn.IFS( J761&lt;=5,"0-5", J761&lt;=10,"6-10",J761&lt;=15,"11-15",J761&lt;=20,"16-20",J761&gt;20,"20+")</f>
        <v>0-5</v>
      </c>
      <c r="L761" t="s">
        <v>45</v>
      </c>
      <c r="M761" t="str">
        <f>_xlfn.TEXTAFTER(L761, " ")</f>
        <v>40</v>
      </c>
      <c r="N761">
        <v>1.7</v>
      </c>
      <c r="O761" t="s">
        <v>58</v>
      </c>
      <c r="Q761" s="1">
        <v>0.61</v>
      </c>
      <c r="R761" s="1">
        <f t="shared" si="292"/>
        <v>0.61</v>
      </c>
    </row>
    <row r="762" spans="1:18" x14ac:dyDescent="0.2">
      <c r="A762" t="s">
        <v>1589</v>
      </c>
      <c r="B762" t="s">
        <v>1590</v>
      </c>
      <c r="C762" t="str">
        <f t="shared" si="281"/>
        <v>John White</v>
      </c>
      <c r="D762" t="s">
        <v>38</v>
      </c>
      <c r="E762" t="str">
        <f t="shared" si="282"/>
        <v>Male</v>
      </c>
      <c r="F762">
        <v>60</v>
      </c>
      <c r="G762" t="s">
        <v>165</v>
      </c>
      <c r="H762" t="s">
        <v>166</v>
      </c>
      <c r="I762" t="s">
        <v>79</v>
      </c>
      <c r="J762">
        <v>40</v>
      </c>
      <c r="K762" t="str" cm="1">
        <f t="array" ref="K762">_xlfn.IFS( J762&lt;=5,"0-5", J762&lt;=10,"6-10",J762&lt;=15,"11-15",J762&lt;=20,"16-20",J762&gt;20,"20+")</f>
        <v>20+</v>
      </c>
      <c r="L762">
        <v>50</v>
      </c>
      <c r="M762" s="2">
        <f t="shared" ref="M762:M763" si="293">L762</f>
        <v>50</v>
      </c>
      <c r="N762">
        <v>4.5999999999999996</v>
      </c>
      <c r="O762" t="b">
        <v>1</v>
      </c>
      <c r="P762" t="s">
        <v>2075</v>
      </c>
      <c r="Q762" s="1">
        <v>1</v>
      </c>
      <c r="R762" s="1">
        <f t="shared" si="292"/>
        <v>1</v>
      </c>
    </row>
    <row r="763" spans="1:18" x14ac:dyDescent="0.2">
      <c r="A763" t="s">
        <v>1591</v>
      </c>
      <c r="B763" t="s">
        <v>1592</v>
      </c>
      <c r="C763" t="str">
        <f t="shared" si="281"/>
        <v>Gilbert Mcintyre</v>
      </c>
      <c r="D763" t="s">
        <v>82</v>
      </c>
      <c r="E763" t="str">
        <f t="shared" si="282"/>
        <v>Male</v>
      </c>
      <c r="F763">
        <v>51</v>
      </c>
      <c r="G763" t="s">
        <v>118</v>
      </c>
      <c r="H763" t="s">
        <v>12</v>
      </c>
      <c r="I763" t="s">
        <v>7</v>
      </c>
      <c r="J763">
        <v>19</v>
      </c>
      <c r="K763" t="str" cm="1">
        <f t="array" ref="K763">_xlfn.IFS( J763&lt;=5,"0-5", J763&lt;=10,"6-10",J763&lt;=15,"11-15",J763&lt;=20,"16-20",J763&gt;20,"20+")</f>
        <v>16-20</v>
      </c>
      <c r="L763">
        <v>50</v>
      </c>
      <c r="M763" s="2">
        <f t="shared" si="293"/>
        <v>50</v>
      </c>
      <c r="O763" t="s">
        <v>64</v>
      </c>
      <c r="P763" t="s">
        <v>2075</v>
      </c>
      <c r="Q763" s="1">
        <v>0.82</v>
      </c>
      <c r="R763" s="1">
        <f t="shared" si="292"/>
        <v>0.82</v>
      </c>
    </row>
    <row r="764" spans="1:18" x14ac:dyDescent="0.2">
      <c r="A764" t="s">
        <v>1593</v>
      </c>
      <c r="B764" t="s">
        <v>1594</v>
      </c>
      <c r="C764" t="str">
        <f t="shared" si="281"/>
        <v>Christopher Sparks</v>
      </c>
      <c r="D764" t="s">
        <v>38</v>
      </c>
      <c r="E764" t="str">
        <f t="shared" si="282"/>
        <v>Male</v>
      </c>
      <c r="F764">
        <v>37</v>
      </c>
      <c r="G764" t="s">
        <v>18</v>
      </c>
      <c r="H764" t="s">
        <v>19</v>
      </c>
      <c r="I764" t="s">
        <v>20</v>
      </c>
      <c r="J764">
        <v>12</v>
      </c>
      <c r="K764" t="str" cm="1">
        <f t="array" ref="K764">_xlfn.IFS( J764&lt;=5,"0-5", J764&lt;=10,"6-10",J764&lt;=15,"11-15",J764&lt;=20,"16-20",J764&gt;20,"20+")</f>
        <v>11-15</v>
      </c>
      <c r="M764"/>
      <c r="N764">
        <v>4.9000000000000004</v>
      </c>
      <c r="O764">
        <v>1</v>
      </c>
      <c r="Q764" s="1">
        <v>0.8</v>
      </c>
      <c r="R764" s="1">
        <f t="shared" si="292"/>
        <v>0.8</v>
      </c>
    </row>
    <row r="765" spans="1:18" x14ac:dyDescent="0.2">
      <c r="A765" t="s">
        <v>1595</v>
      </c>
      <c r="B765" t="s">
        <v>1596</v>
      </c>
      <c r="C765" t="str">
        <f t="shared" si="281"/>
        <v>Aaron Hicks</v>
      </c>
      <c r="D765" t="s">
        <v>17</v>
      </c>
      <c r="E765" t="str">
        <f t="shared" si="282"/>
        <v>Male</v>
      </c>
      <c r="F765">
        <v>52</v>
      </c>
      <c r="G765" t="s">
        <v>83</v>
      </c>
      <c r="H765" t="s">
        <v>84</v>
      </c>
      <c r="I765" t="s">
        <v>7</v>
      </c>
      <c r="J765">
        <v>7</v>
      </c>
      <c r="K765" t="str" cm="1">
        <f t="array" ref="K765">_xlfn.IFS( J765&lt;=5,"0-5", J765&lt;=10,"6-10",J765&lt;=15,"11-15",J765&lt;=20,"16-20",J765&gt;20,"20+")</f>
        <v>6-10</v>
      </c>
      <c r="L765">
        <v>40</v>
      </c>
      <c r="M765" s="2">
        <f t="shared" ref="M765:M766" si="294">L765</f>
        <v>40</v>
      </c>
      <c r="N765">
        <v>2.2000000000000002</v>
      </c>
      <c r="Q765" s="1">
        <v>0.96</v>
      </c>
      <c r="R765" s="1">
        <f t="shared" si="292"/>
        <v>0.96</v>
      </c>
    </row>
    <row r="766" spans="1:18" x14ac:dyDescent="0.2">
      <c r="A766" t="s">
        <v>1597</v>
      </c>
      <c r="B766" t="s">
        <v>1598</v>
      </c>
      <c r="C766" t="str">
        <f t="shared" si="281"/>
        <v>Jose Patterson</v>
      </c>
      <c r="D766" t="s">
        <v>38</v>
      </c>
      <c r="E766" t="str">
        <f t="shared" si="282"/>
        <v>Male</v>
      </c>
      <c r="F766">
        <v>27</v>
      </c>
      <c r="G766" t="s">
        <v>39</v>
      </c>
      <c r="H766" t="s">
        <v>40</v>
      </c>
      <c r="I766" t="s">
        <v>7</v>
      </c>
      <c r="J766">
        <v>4</v>
      </c>
      <c r="K766" t="str" cm="1">
        <f t="array" ref="K766">_xlfn.IFS( J766&lt;=5,"0-5", J766&lt;=10,"6-10",J766&lt;=15,"11-15",J766&lt;=20,"16-20",J766&gt;20,"20+")</f>
        <v>0-5</v>
      </c>
      <c r="L766">
        <v>20</v>
      </c>
      <c r="M766" s="2">
        <f t="shared" si="294"/>
        <v>20</v>
      </c>
      <c r="O766">
        <v>0</v>
      </c>
      <c r="P766" t="s">
        <v>2074</v>
      </c>
      <c r="Q766" s="1">
        <v>0.63</v>
      </c>
      <c r="R766" s="1">
        <f t="shared" si="292"/>
        <v>0.63</v>
      </c>
    </row>
    <row r="767" spans="1:18" x14ac:dyDescent="0.2">
      <c r="A767" t="s">
        <v>1599</v>
      </c>
      <c r="B767" t="s">
        <v>1600</v>
      </c>
      <c r="C767" t="str">
        <f t="shared" si="281"/>
        <v>Bryan Long</v>
      </c>
      <c r="D767" t="s">
        <v>38</v>
      </c>
      <c r="E767" t="str">
        <f t="shared" si="282"/>
        <v>Male</v>
      </c>
      <c r="F767">
        <v>48</v>
      </c>
      <c r="G767" t="s">
        <v>11</v>
      </c>
      <c r="H767" t="s">
        <v>12</v>
      </c>
      <c r="I767" t="s">
        <v>20</v>
      </c>
      <c r="J767">
        <v>24</v>
      </c>
      <c r="K767" t="str" cm="1">
        <f t="array" ref="K767">_xlfn.IFS( J767&lt;=5,"0-5", J767&lt;=10,"6-10",J767&lt;=15,"11-15",J767&lt;=20,"16-20",J767&gt;20,"20+")</f>
        <v>20+</v>
      </c>
      <c r="L767" t="s">
        <v>26</v>
      </c>
      <c r="M767" t="str">
        <f>SUBSTITUTE(L767,"$"," ")</f>
        <v xml:space="preserve"> 40</v>
      </c>
      <c r="N767">
        <v>2.2000000000000002</v>
      </c>
      <c r="O767">
        <v>0</v>
      </c>
      <c r="Q767" s="1">
        <v>0.67</v>
      </c>
      <c r="R767" s="1">
        <f t="shared" si="292"/>
        <v>0.67</v>
      </c>
    </row>
    <row r="768" spans="1:18" x14ac:dyDescent="0.2">
      <c r="A768" t="s">
        <v>1601</v>
      </c>
      <c r="B768" t="s">
        <v>1602</v>
      </c>
      <c r="C768" t="str">
        <f t="shared" si="281"/>
        <v>Tammy Gomez</v>
      </c>
      <c r="D768" t="s">
        <v>24</v>
      </c>
      <c r="E768" t="str">
        <f t="shared" si="282"/>
        <v>Female</v>
      </c>
      <c r="F768">
        <v>22</v>
      </c>
      <c r="G768" t="s">
        <v>75</v>
      </c>
      <c r="H768" t="s">
        <v>76</v>
      </c>
      <c r="I768" t="s">
        <v>41</v>
      </c>
      <c r="J768">
        <v>1</v>
      </c>
      <c r="K768" t="str" cm="1">
        <f t="array" ref="K768">_xlfn.IFS( J768&lt;=5,"0-5", J768&lt;=10,"6-10",J768&lt;=15,"11-15",J768&lt;=20,"16-20",J768&gt;20,"20+")</f>
        <v>0-5</v>
      </c>
      <c r="L768" t="s">
        <v>99</v>
      </c>
      <c r="M768" t="str">
        <f t="shared" ref="M768:M769" si="295">_xlfn.TEXTAFTER(L768, " ")</f>
        <v>30</v>
      </c>
      <c r="N768">
        <v>3.3</v>
      </c>
      <c r="O768">
        <v>1</v>
      </c>
      <c r="Q768" s="1">
        <v>0.61</v>
      </c>
      <c r="R768" s="1">
        <f t="shared" si="292"/>
        <v>0.61</v>
      </c>
    </row>
    <row r="769" spans="1:18" x14ac:dyDescent="0.2">
      <c r="A769" t="s">
        <v>1603</v>
      </c>
      <c r="B769" t="s">
        <v>1604</v>
      </c>
      <c r="C769" t="str">
        <f t="shared" si="281"/>
        <v>Diana Raymond</v>
      </c>
      <c r="D769" t="s">
        <v>10</v>
      </c>
      <c r="E769" t="str">
        <f t="shared" si="282"/>
        <v>Female</v>
      </c>
      <c r="F769">
        <v>48</v>
      </c>
      <c r="G769" t="s">
        <v>18</v>
      </c>
      <c r="H769" t="s">
        <v>19</v>
      </c>
      <c r="I769" t="s">
        <v>13</v>
      </c>
      <c r="J769">
        <v>28</v>
      </c>
      <c r="K769" t="str" cm="1">
        <f t="array" ref="K769">_xlfn.IFS( J769&lt;=5,"0-5", J769&lt;=10,"6-10",J769&lt;=15,"11-15",J769&lt;=20,"16-20",J769&gt;20,"20+")</f>
        <v>20+</v>
      </c>
      <c r="L769" t="s">
        <v>99</v>
      </c>
      <c r="M769" t="str">
        <f t="shared" si="295"/>
        <v>30</v>
      </c>
      <c r="N769">
        <v>4.9000000000000004</v>
      </c>
      <c r="O769">
        <v>0</v>
      </c>
      <c r="Q769" s="1">
        <v>0.77</v>
      </c>
      <c r="R769" s="1">
        <f t="shared" si="292"/>
        <v>0.77</v>
      </c>
    </row>
    <row r="770" spans="1:18" x14ac:dyDescent="0.2">
      <c r="A770" t="s">
        <v>1605</v>
      </c>
      <c r="B770" t="s">
        <v>1606</v>
      </c>
      <c r="C770" t="str">
        <f t="shared" si="281"/>
        <v>Jessica Armstrong</v>
      </c>
      <c r="D770" t="s">
        <v>24</v>
      </c>
      <c r="E770" t="str">
        <f t="shared" si="282"/>
        <v>Female</v>
      </c>
      <c r="F770">
        <v>54</v>
      </c>
      <c r="G770" t="s">
        <v>48</v>
      </c>
      <c r="H770" t="s">
        <v>12</v>
      </c>
      <c r="I770" t="s">
        <v>13</v>
      </c>
      <c r="J770">
        <v>19</v>
      </c>
      <c r="K770" t="str" cm="1">
        <f t="array" ref="K770">_xlfn.IFS( J770&lt;=5,"0-5", J770&lt;=10,"6-10",J770&lt;=15,"11-15",J770&lt;=20,"16-20",J770&gt;20,"20+")</f>
        <v>16-20</v>
      </c>
      <c r="L770">
        <v>75</v>
      </c>
      <c r="M770" s="2">
        <f t="shared" ref="M770:M771" si="296">L770</f>
        <v>75</v>
      </c>
      <c r="N770">
        <v>0</v>
      </c>
    </row>
    <row r="771" spans="1:18" x14ac:dyDescent="0.2">
      <c r="A771" t="s">
        <v>1607</v>
      </c>
      <c r="B771" t="s">
        <v>1608</v>
      </c>
      <c r="C771" t="str">
        <f t="shared" si="281"/>
        <v>Amanda Martin</v>
      </c>
      <c r="D771" t="s">
        <v>67</v>
      </c>
      <c r="E771" t="str">
        <f t="shared" si="282"/>
        <v>Female</v>
      </c>
      <c r="F771">
        <v>52</v>
      </c>
      <c r="G771" t="s">
        <v>102</v>
      </c>
      <c r="H771" t="s">
        <v>103</v>
      </c>
      <c r="I771" t="s">
        <v>41</v>
      </c>
      <c r="J771">
        <v>4</v>
      </c>
      <c r="K771" t="str" cm="1">
        <f t="array" ref="K771">_xlfn.IFS( J771&lt;=5,"0-5", J771&lt;=10,"6-10",J771&lt;=15,"11-15",J771&lt;=20,"16-20",J771&gt;20,"20+")</f>
        <v>0-5</v>
      </c>
      <c r="L771">
        <v>50</v>
      </c>
      <c r="M771" s="2">
        <f t="shared" si="296"/>
        <v>50</v>
      </c>
      <c r="O771" t="s">
        <v>21</v>
      </c>
      <c r="P771" t="s">
        <v>2074</v>
      </c>
      <c r="Q771" s="1">
        <v>0.84</v>
      </c>
      <c r="R771" s="1">
        <f t="shared" ref="R771:R782" si="297">Q771</f>
        <v>0.84</v>
      </c>
    </row>
    <row r="772" spans="1:18" x14ac:dyDescent="0.2">
      <c r="A772" t="s">
        <v>1609</v>
      </c>
      <c r="B772" t="s">
        <v>1610</v>
      </c>
      <c r="C772" t="str">
        <f t="shared" si="281"/>
        <v>Anne Hamilton</v>
      </c>
      <c r="D772" t="s">
        <v>29</v>
      </c>
      <c r="E772" t="str">
        <f t="shared" si="282"/>
        <v>Female</v>
      </c>
      <c r="F772">
        <v>39</v>
      </c>
      <c r="G772" t="s">
        <v>52</v>
      </c>
      <c r="H772" t="s">
        <v>53</v>
      </c>
      <c r="I772" t="s">
        <v>25</v>
      </c>
      <c r="J772">
        <v>20</v>
      </c>
      <c r="K772" t="str" cm="1">
        <f t="array" ref="K772">_xlfn.IFS( J772&lt;=5,"0-5", J772&lt;=10,"6-10",J772&lt;=15,"11-15",J772&lt;=20,"16-20",J772&gt;20,"20+")</f>
        <v>16-20</v>
      </c>
      <c r="L772" t="s">
        <v>14</v>
      </c>
      <c r="M772" t="str">
        <f t="shared" ref="M772:M773" si="298">_xlfn.TEXTAFTER(L772, " ")</f>
        <v>100</v>
      </c>
      <c r="O772" t="s">
        <v>64</v>
      </c>
      <c r="Q772" s="1">
        <v>0.89</v>
      </c>
      <c r="R772" s="1">
        <f t="shared" si="297"/>
        <v>0.89</v>
      </c>
    </row>
    <row r="773" spans="1:18" x14ac:dyDescent="0.2">
      <c r="A773" t="s">
        <v>1611</v>
      </c>
      <c r="B773" t="s">
        <v>1612</v>
      </c>
      <c r="C773" t="str">
        <f t="shared" si="281"/>
        <v>Heather Curtis</v>
      </c>
      <c r="D773" t="s">
        <v>4</v>
      </c>
      <c r="E773" t="str">
        <f t="shared" si="282"/>
        <v>Female</v>
      </c>
      <c r="F773">
        <v>54</v>
      </c>
      <c r="G773" t="s">
        <v>114</v>
      </c>
      <c r="H773" t="s">
        <v>115</v>
      </c>
      <c r="I773" t="s">
        <v>13</v>
      </c>
      <c r="J773">
        <v>19</v>
      </c>
      <c r="K773" t="str" cm="1">
        <f t="array" ref="K773">_xlfn.IFS( J773&lt;=5,"0-5", J773&lt;=10,"6-10",J773&lt;=15,"11-15",J773&lt;=20,"16-20",J773&gt;20,"20+")</f>
        <v>16-20</v>
      </c>
      <c r="L773" t="s">
        <v>99</v>
      </c>
      <c r="M773" t="str">
        <f t="shared" si="298"/>
        <v>30</v>
      </c>
      <c r="N773">
        <v>4</v>
      </c>
      <c r="Q773" s="1">
        <v>0.9</v>
      </c>
      <c r="R773" s="1">
        <f t="shared" si="297"/>
        <v>0.9</v>
      </c>
    </row>
    <row r="774" spans="1:18" x14ac:dyDescent="0.2">
      <c r="A774" t="s">
        <v>1613</v>
      </c>
      <c r="B774" t="s">
        <v>1614</v>
      </c>
      <c r="C774" t="str">
        <f t="shared" si="281"/>
        <v>Tiffany Moses</v>
      </c>
      <c r="D774" t="s">
        <v>67</v>
      </c>
      <c r="E774" t="str">
        <f t="shared" si="282"/>
        <v>Female</v>
      </c>
      <c r="F774">
        <v>22</v>
      </c>
      <c r="G774" t="s">
        <v>48</v>
      </c>
      <c r="H774" t="s">
        <v>12</v>
      </c>
      <c r="I774" t="s">
        <v>68</v>
      </c>
      <c r="J774">
        <v>1</v>
      </c>
      <c r="K774" t="str" cm="1">
        <f t="array" ref="K774">_xlfn.IFS( J774&lt;=5,"0-5", J774&lt;=10,"6-10",J774&lt;=15,"11-15",J774&lt;=20,"16-20",J774&gt;20,"20+")</f>
        <v>0-5</v>
      </c>
      <c r="L774">
        <v>20</v>
      </c>
      <c r="M774" s="2">
        <f t="shared" ref="M774:M775" si="299">L774</f>
        <v>20</v>
      </c>
      <c r="N774">
        <v>4.8</v>
      </c>
      <c r="O774" t="b">
        <v>0</v>
      </c>
      <c r="P774" t="s">
        <v>2074</v>
      </c>
      <c r="Q774" s="1">
        <v>0.87</v>
      </c>
      <c r="R774" s="1">
        <f t="shared" si="297"/>
        <v>0.87</v>
      </c>
    </row>
    <row r="775" spans="1:18" x14ac:dyDescent="0.2">
      <c r="A775" t="s">
        <v>1615</v>
      </c>
      <c r="B775" t="s">
        <v>1616</v>
      </c>
      <c r="C775" t="str">
        <f t="shared" si="281"/>
        <v>Jacqueline Moon</v>
      </c>
      <c r="D775" t="s">
        <v>10</v>
      </c>
      <c r="E775" t="str">
        <f t="shared" si="282"/>
        <v>Female</v>
      </c>
      <c r="F775">
        <v>29</v>
      </c>
      <c r="G775" t="s">
        <v>143</v>
      </c>
      <c r="H775" t="s">
        <v>144</v>
      </c>
      <c r="I775" t="s">
        <v>13</v>
      </c>
      <c r="J775">
        <v>8</v>
      </c>
      <c r="K775" t="str" cm="1">
        <f t="array" ref="K775">_xlfn.IFS( J775&lt;=5,"0-5", J775&lt;=10,"6-10",J775&lt;=15,"11-15",J775&lt;=20,"16-20",J775&gt;20,"20+")</f>
        <v>6-10</v>
      </c>
      <c r="L775">
        <v>50</v>
      </c>
      <c r="M775" s="2">
        <f t="shared" si="299"/>
        <v>50</v>
      </c>
      <c r="N775">
        <v>0</v>
      </c>
      <c r="O775">
        <v>0</v>
      </c>
      <c r="P775" t="s">
        <v>2074</v>
      </c>
      <c r="Q775" s="1">
        <v>0.77</v>
      </c>
      <c r="R775" s="1">
        <f t="shared" si="297"/>
        <v>0.77</v>
      </c>
    </row>
    <row r="776" spans="1:18" x14ac:dyDescent="0.2">
      <c r="A776" t="s">
        <v>1617</v>
      </c>
      <c r="B776" t="s">
        <v>1618</v>
      </c>
      <c r="C776" t="str">
        <f t="shared" si="281"/>
        <v>James Campbell</v>
      </c>
      <c r="D776" t="s">
        <v>82</v>
      </c>
      <c r="E776" t="str">
        <f t="shared" si="282"/>
        <v>Male</v>
      </c>
      <c r="F776">
        <v>23</v>
      </c>
      <c r="G776" t="s">
        <v>180</v>
      </c>
      <c r="H776" t="s">
        <v>62</v>
      </c>
      <c r="I776" t="s">
        <v>79</v>
      </c>
      <c r="J776">
        <v>3</v>
      </c>
      <c r="K776" t="str" cm="1">
        <f t="array" ref="K776">_xlfn.IFS( J776&lt;=5,"0-5", J776&lt;=10,"6-10",J776&lt;=15,"11-15",J776&lt;=20,"16-20",J776&gt;20,"20+")</f>
        <v>0-5</v>
      </c>
      <c r="L776" t="s">
        <v>99</v>
      </c>
      <c r="M776" t="str">
        <f>_xlfn.TEXTAFTER(L776, " ")</f>
        <v>30</v>
      </c>
      <c r="N776">
        <v>1.6</v>
      </c>
      <c r="O776" t="s">
        <v>64</v>
      </c>
      <c r="Q776" s="1">
        <v>0.72</v>
      </c>
      <c r="R776" s="1">
        <f t="shared" si="297"/>
        <v>0.72</v>
      </c>
    </row>
    <row r="777" spans="1:18" x14ac:dyDescent="0.2">
      <c r="A777" t="s">
        <v>1619</v>
      </c>
      <c r="B777" t="s">
        <v>1620</v>
      </c>
      <c r="C777" t="str">
        <f t="shared" si="281"/>
        <v>Melissa Vasquez</v>
      </c>
      <c r="D777" t="s">
        <v>24</v>
      </c>
      <c r="E777" t="str">
        <f t="shared" si="282"/>
        <v>Female</v>
      </c>
      <c r="F777">
        <v>58</v>
      </c>
      <c r="G777" t="s">
        <v>169</v>
      </c>
      <c r="H777" t="s">
        <v>62</v>
      </c>
      <c r="I777" t="s">
        <v>79</v>
      </c>
      <c r="J777">
        <v>30</v>
      </c>
      <c r="K777" t="str" cm="1">
        <f t="array" ref="K777">_xlfn.IFS( J777&lt;=5,"0-5", J777&lt;=10,"6-10",J777&lt;=15,"11-15",J777&lt;=20,"16-20",J777&gt;20,"20+")</f>
        <v>20+</v>
      </c>
      <c r="L777">
        <v>50</v>
      </c>
      <c r="M777" s="2">
        <f t="shared" ref="M777:M779" si="300">L777</f>
        <v>50</v>
      </c>
      <c r="N777">
        <v>1.3</v>
      </c>
      <c r="O777" t="s">
        <v>58</v>
      </c>
      <c r="P777" t="s">
        <v>2075</v>
      </c>
      <c r="Q777" s="1">
        <v>0.87</v>
      </c>
      <c r="R777" s="1">
        <f t="shared" si="297"/>
        <v>0.87</v>
      </c>
    </row>
    <row r="778" spans="1:18" x14ac:dyDescent="0.2">
      <c r="A778" t="s">
        <v>1621</v>
      </c>
      <c r="B778" t="s">
        <v>1622</v>
      </c>
      <c r="C778" t="str">
        <f t="shared" si="281"/>
        <v>Katherine Carlson</v>
      </c>
      <c r="D778" t="s">
        <v>4</v>
      </c>
      <c r="E778" t="str">
        <f t="shared" si="282"/>
        <v>Female</v>
      </c>
      <c r="F778">
        <v>56</v>
      </c>
      <c r="G778" t="s">
        <v>165</v>
      </c>
      <c r="H778" t="s">
        <v>166</v>
      </c>
      <c r="I778" t="s">
        <v>7</v>
      </c>
      <c r="J778">
        <v>3</v>
      </c>
      <c r="K778" t="str" cm="1">
        <f t="array" ref="K778">_xlfn.IFS( J778&lt;=5,"0-5", J778&lt;=10,"6-10",J778&lt;=15,"11-15",J778&lt;=20,"16-20",J778&gt;20,"20+")</f>
        <v>0-5</v>
      </c>
      <c r="L778">
        <v>40</v>
      </c>
      <c r="M778" s="2">
        <f t="shared" si="300"/>
        <v>40</v>
      </c>
      <c r="N778">
        <v>4.0999999999999996</v>
      </c>
      <c r="O778" t="b">
        <v>1</v>
      </c>
      <c r="P778" t="s">
        <v>2075</v>
      </c>
      <c r="Q778" s="1">
        <v>0.89</v>
      </c>
      <c r="R778" s="1">
        <f t="shared" si="297"/>
        <v>0.89</v>
      </c>
    </row>
    <row r="779" spans="1:18" x14ac:dyDescent="0.2">
      <c r="A779" t="s">
        <v>1623</v>
      </c>
      <c r="B779" t="s">
        <v>1624</v>
      </c>
      <c r="C779" t="str">
        <f t="shared" si="281"/>
        <v>Adam Clay</v>
      </c>
      <c r="D779" t="s">
        <v>82</v>
      </c>
      <c r="E779" t="str">
        <f t="shared" si="282"/>
        <v>Male</v>
      </c>
      <c r="F779">
        <v>48</v>
      </c>
      <c r="G779" t="s">
        <v>52</v>
      </c>
      <c r="H779" t="s">
        <v>53</v>
      </c>
      <c r="I779" t="s">
        <v>25</v>
      </c>
      <c r="J779">
        <v>19</v>
      </c>
      <c r="K779" t="str" cm="1">
        <f t="array" ref="K779">_xlfn.IFS( J779&lt;=5,"0-5", J779&lt;=10,"6-10",J779&lt;=15,"11-15",J779&lt;=20,"16-20",J779&gt;20,"20+")</f>
        <v>16-20</v>
      </c>
      <c r="L779">
        <v>40</v>
      </c>
      <c r="M779" s="2">
        <f t="shared" si="300"/>
        <v>40</v>
      </c>
      <c r="N779">
        <v>1.5</v>
      </c>
      <c r="O779">
        <v>0</v>
      </c>
      <c r="P779" t="s">
        <v>2074</v>
      </c>
      <c r="Q779" s="1">
        <v>0.87</v>
      </c>
      <c r="R779" s="1">
        <f t="shared" si="297"/>
        <v>0.87</v>
      </c>
    </row>
    <row r="780" spans="1:18" x14ac:dyDescent="0.2">
      <c r="A780" t="s">
        <v>1625</v>
      </c>
      <c r="B780" t="s">
        <v>1626</v>
      </c>
      <c r="C780" t="str">
        <f t="shared" si="281"/>
        <v>Amy Combs</v>
      </c>
      <c r="D780" t="s">
        <v>67</v>
      </c>
      <c r="E780" t="str">
        <f t="shared" si="282"/>
        <v>Female</v>
      </c>
      <c r="F780">
        <v>31</v>
      </c>
      <c r="G780" t="s">
        <v>114</v>
      </c>
      <c r="H780" t="s">
        <v>115</v>
      </c>
      <c r="I780" t="s">
        <v>13</v>
      </c>
      <c r="J780">
        <v>11</v>
      </c>
      <c r="K780" t="str" cm="1">
        <f t="array" ref="K780">_xlfn.IFS( J780&lt;=5,"0-5", J780&lt;=10,"6-10",J780&lt;=15,"11-15",J780&lt;=20,"16-20",J780&gt;20,"20+")</f>
        <v>11-15</v>
      </c>
      <c r="L780" t="s">
        <v>45</v>
      </c>
      <c r="M780" t="str">
        <f>_xlfn.TEXTAFTER(L780, " ")</f>
        <v>40</v>
      </c>
      <c r="N780">
        <v>4.3</v>
      </c>
      <c r="O780" t="s">
        <v>64</v>
      </c>
      <c r="Q780" s="1">
        <v>0.76</v>
      </c>
      <c r="R780" s="1">
        <f t="shared" si="297"/>
        <v>0.76</v>
      </c>
    </row>
    <row r="781" spans="1:18" x14ac:dyDescent="0.2">
      <c r="A781" t="s">
        <v>1627</v>
      </c>
      <c r="B781" t="s">
        <v>1628</v>
      </c>
      <c r="C781" t="str">
        <f t="shared" si="281"/>
        <v>Anthony Case</v>
      </c>
      <c r="D781" t="s">
        <v>82</v>
      </c>
      <c r="E781" t="str">
        <f t="shared" si="282"/>
        <v>Male</v>
      </c>
      <c r="F781">
        <v>44</v>
      </c>
      <c r="G781" t="s">
        <v>11</v>
      </c>
      <c r="H781" t="s">
        <v>12</v>
      </c>
      <c r="I781" t="s">
        <v>104</v>
      </c>
      <c r="J781">
        <v>26</v>
      </c>
      <c r="K781" t="str" cm="1">
        <f t="array" ref="K781">_xlfn.IFS( J781&lt;=5,"0-5", J781&lt;=10,"6-10",J781&lt;=15,"11-15",J781&lt;=20,"16-20",J781&gt;20,"20+")</f>
        <v>20+</v>
      </c>
      <c r="L781">
        <v>50</v>
      </c>
      <c r="M781" s="2">
        <f t="shared" ref="M781:M783" si="301">L781</f>
        <v>50</v>
      </c>
      <c r="N781">
        <v>1.6</v>
      </c>
      <c r="Q781" s="1">
        <v>1</v>
      </c>
      <c r="R781" s="1">
        <f t="shared" si="297"/>
        <v>1</v>
      </c>
    </row>
    <row r="782" spans="1:18" x14ac:dyDescent="0.2">
      <c r="A782" t="s">
        <v>1629</v>
      </c>
      <c r="B782" t="s">
        <v>1630</v>
      </c>
      <c r="C782" t="str">
        <f t="shared" si="281"/>
        <v>Kimberly Brown</v>
      </c>
      <c r="D782" t="s">
        <v>24</v>
      </c>
      <c r="E782" t="str">
        <f t="shared" si="282"/>
        <v>Female</v>
      </c>
      <c r="F782">
        <v>42</v>
      </c>
      <c r="G782" t="s">
        <v>129</v>
      </c>
      <c r="H782" t="s">
        <v>130</v>
      </c>
      <c r="I782" t="s">
        <v>13</v>
      </c>
      <c r="J782">
        <v>10</v>
      </c>
      <c r="K782" t="str" cm="1">
        <f t="array" ref="K782">_xlfn.IFS( J782&lt;=5,"0-5", J782&lt;=10,"6-10",J782&lt;=15,"11-15",J782&lt;=20,"16-20",J782&gt;20,"20+")</f>
        <v>6-10</v>
      </c>
      <c r="L782">
        <v>100</v>
      </c>
      <c r="M782" s="2">
        <f t="shared" si="301"/>
        <v>100</v>
      </c>
      <c r="N782">
        <v>3.7</v>
      </c>
      <c r="O782" t="s">
        <v>64</v>
      </c>
      <c r="P782" t="s">
        <v>2075</v>
      </c>
      <c r="Q782" s="1">
        <v>0.94</v>
      </c>
      <c r="R782" s="1">
        <f t="shared" si="297"/>
        <v>0.94</v>
      </c>
    </row>
    <row r="783" spans="1:18" x14ac:dyDescent="0.2">
      <c r="A783" t="s">
        <v>1631</v>
      </c>
      <c r="B783" t="s">
        <v>1632</v>
      </c>
      <c r="C783" t="str">
        <f t="shared" si="281"/>
        <v>Joshua Holloway</v>
      </c>
      <c r="D783" t="s">
        <v>87</v>
      </c>
      <c r="E783" t="str">
        <f t="shared" si="282"/>
        <v>Male</v>
      </c>
      <c r="F783">
        <v>59</v>
      </c>
      <c r="G783" t="s">
        <v>48</v>
      </c>
      <c r="H783" t="s">
        <v>12</v>
      </c>
      <c r="I783" t="s">
        <v>68</v>
      </c>
      <c r="J783">
        <v>17</v>
      </c>
      <c r="K783" t="str" cm="1">
        <f t="array" ref="K783">_xlfn.IFS( J783&lt;=5,"0-5", J783&lt;=10,"6-10",J783&lt;=15,"11-15",J783&lt;=20,"16-20",J783&gt;20,"20+")</f>
        <v>16-20</v>
      </c>
      <c r="L783">
        <v>50</v>
      </c>
      <c r="M783" s="2">
        <f t="shared" si="301"/>
        <v>50</v>
      </c>
      <c r="N783">
        <v>1.4</v>
      </c>
      <c r="O783" t="s">
        <v>58</v>
      </c>
      <c r="P783" t="s">
        <v>2075</v>
      </c>
    </row>
    <row r="784" spans="1:18" x14ac:dyDescent="0.2">
      <c r="A784" t="s">
        <v>1633</v>
      </c>
      <c r="B784" t="s">
        <v>1634</v>
      </c>
      <c r="C784" t="str">
        <f t="shared" si="281"/>
        <v>Cynthia Walton</v>
      </c>
      <c r="D784" t="s">
        <v>24</v>
      </c>
      <c r="E784" t="str">
        <f t="shared" si="282"/>
        <v>Female</v>
      </c>
      <c r="G784" t="s">
        <v>61</v>
      </c>
      <c r="H784" t="s">
        <v>62</v>
      </c>
      <c r="I784" t="s">
        <v>7</v>
      </c>
      <c r="J784">
        <v>9</v>
      </c>
      <c r="K784" t="str" cm="1">
        <f t="array" ref="K784">_xlfn.IFS( J784&lt;=5,"0-5", J784&lt;=10,"6-10",J784&lt;=15,"11-15",J784&lt;=20,"16-20",J784&gt;20,"20+")</f>
        <v>6-10</v>
      </c>
      <c r="L784" t="s">
        <v>219</v>
      </c>
      <c r="M784" t="str">
        <f>SUBSTITUTE(L784,"$"," ")</f>
        <v xml:space="preserve"> 100</v>
      </c>
      <c r="N784">
        <v>4.5</v>
      </c>
      <c r="O784" t="s">
        <v>64</v>
      </c>
      <c r="Q784">
        <v>83</v>
      </c>
      <c r="R784" s="3">
        <f>Q784/100</f>
        <v>0.83</v>
      </c>
    </row>
    <row r="785" spans="1:18" x14ac:dyDescent="0.2">
      <c r="A785" t="s">
        <v>1635</v>
      </c>
      <c r="B785" t="s">
        <v>1636</v>
      </c>
      <c r="C785" t="str">
        <f t="shared" si="281"/>
        <v>Shawn Delgado</v>
      </c>
      <c r="D785" t="s">
        <v>82</v>
      </c>
      <c r="E785" t="str">
        <f t="shared" si="282"/>
        <v>Male</v>
      </c>
      <c r="F785">
        <v>21</v>
      </c>
      <c r="G785" t="s">
        <v>165</v>
      </c>
      <c r="H785" t="s">
        <v>166</v>
      </c>
      <c r="I785" t="s">
        <v>41</v>
      </c>
      <c r="J785">
        <v>0</v>
      </c>
      <c r="K785" t="str" cm="1">
        <f t="array" ref="K785">_xlfn.IFS( J785&lt;=5,"0-5", J785&lt;=10,"6-10",J785&lt;=15,"11-15",J785&lt;=20,"16-20",J785&gt;20,"20+")</f>
        <v>0-5</v>
      </c>
      <c r="L785" t="s">
        <v>45</v>
      </c>
      <c r="M785" t="str">
        <f>_xlfn.TEXTAFTER(L785, " ")</f>
        <v>40</v>
      </c>
      <c r="N785">
        <v>3.7</v>
      </c>
      <c r="O785">
        <v>0</v>
      </c>
      <c r="Q785" s="1">
        <v>0.74</v>
      </c>
      <c r="R785" s="1">
        <f>Q785</f>
        <v>0.74</v>
      </c>
    </row>
    <row r="786" spans="1:18" x14ac:dyDescent="0.2">
      <c r="A786" t="s">
        <v>1637</v>
      </c>
      <c r="B786" t="s">
        <v>1638</v>
      </c>
      <c r="C786" t="str">
        <f t="shared" si="281"/>
        <v>Jeremy Smith</v>
      </c>
      <c r="D786" t="s">
        <v>87</v>
      </c>
      <c r="E786" t="str">
        <f t="shared" si="282"/>
        <v>Male</v>
      </c>
      <c r="F786">
        <v>53</v>
      </c>
      <c r="G786" t="s">
        <v>57</v>
      </c>
      <c r="H786" t="s">
        <v>12</v>
      </c>
      <c r="I786" t="s">
        <v>79</v>
      </c>
      <c r="J786">
        <v>5</v>
      </c>
      <c r="K786" t="str" cm="1">
        <f t="array" ref="K786">_xlfn.IFS( J786&lt;=5,"0-5", J786&lt;=10,"6-10",J786&lt;=15,"11-15",J786&lt;=20,"16-20",J786&gt;20,"20+")</f>
        <v>0-5</v>
      </c>
      <c r="L786">
        <v>75</v>
      </c>
      <c r="M786" s="2">
        <f>L786</f>
        <v>75</v>
      </c>
      <c r="N786">
        <v>1.1000000000000001</v>
      </c>
      <c r="O786">
        <v>0</v>
      </c>
      <c r="P786" t="s">
        <v>2074</v>
      </c>
      <c r="Q786">
        <v>92</v>
      </c>
      <c r="R786" s="3">
        <f>Q786/100</f>
        <v>0.92</v>
      </c>
    </row>
    <row r="787" spans="1:18" x14ac:dyDescent="0.2">
      <c r="A787" t="s">
        <v>1639</v>
      </c>
      <c r="B787" t="s">
        <v>1640</v>
      </c>
      <c r="C787" t="str">
        <f t="shared" si="281"/>
        <v>Marc Ortiz</v>
      </c>
      <c r="D787" t="s">
        <v>82</v>
      </c>
      <c r="E787" t="str">
        <f t="shared" si="282"/>
        <v>Male</v>
      </c>
      <c r="F787">
        <v>35</v>
      </c>
      <c r="G787" t="s">
        <v>61</v>
      </c>
      <c r="H787" t="s">
        <v>62</v>
      </c>
      <c r="I787" t="s">
        <v>13</v>
      </c>
      <c r="J787">
        <v>15</v>
      </c>
      <c r="K787" t="str" cm="1">
        <f t="array" ref="K787">_xlfn.IFS( J787&lt;=5,"0-5", J787&lt;=10,"6-10",J787&lt;=15,"11-15",J787&lt;=20,"16-20",J787&gt;20,"20+")</f>
        <v>11-15</v>
      </c>
      <c r="M787"/>
      <c r="N787">
        <v>3.7</v>
      </c>
      <c r="O787" t="b">
        <v>0</v>
      </c>
      <c r="Q787" s="1">
        <v>0.66</v>
      </c>
      <c r="R787" s="1">
        <f t="shared" ref="R787:R789" si="302">Q787</f>
        <v>0.66</v>
      </c>
    </row>
    <row r="788" spans="1:18" x14ac:dyDescent="0.2">
      <c r="A788" t="s">
        <v>1641</v>
      </c>
      <c r="B788" t="s">
        <v>1642</v>
      </c>
      <c r="C788" t="str">
        <f t="shared" si="281"/>
        <v>Michelle Gregory</v>
      </c>
      <c r="D788" t="s">
        <v>67</v>
      </c>
      <c r="E788" t="str">
        <f t="shared" si="282"/>
        <v>Female</v>
      </c>
      <c r="F788">
        <v>25</v>
      </c>
      <c r="G788" t="s">
        <v>97</v>
      </c>
      <c r="H788" t="s">
        <v>98</v>
      </c>
      <c r="I788" t="s">
        <v>104</v>
      </c>
      <c r="J788">
        <v>3</v>
      </c>
      <c r="K788" t="str" cm="1">
        <f t="array" ref="K788">_xlfn.IFS( J788&lt;=5,"0-5", J788&lt;=10,"6-10",J788&lt;=15,"11-15",J788&lt;=20,"16-20",J788&gt;20,"20+")</f>
        <v>0-5</v>
      </c>
      <c r="L788" t="s">
        <v>54</v>
      </c>
      <c r="M788" t="str">
        <f>SUBSTITUTE(L788,"$"," ")</f>
        <v xml:space="preserve"> 50</v>
      </c>
      <c r="N788">
        <v>3.2</v>
      </c>
      <c r="O788" t="b">
        <v>1</v>
      </c>
      <c r="Q788" s="1">
        <v>0.74</v>
      </c>
      <c r="R788" s="1">
        <f t="shared" si="302"/>
        <v>0.74</v>
      </c>
    </row>
    <row r="789" spans="1:18" x14ac:dyDescent="0.2">
      <c r="A789" t="s">
        <v>1643</v>
      </c>
      <c r="B789" t="s">
        <v>1644</v>
      </c>
      <c r="C789" t="str">
        <f t="shared" si="281"/>
        <v>Melanie Gay</v>
      </c>
      <c r="D789" t="s">
        <v>29</v>
      </c>
      <c r="E789" t="str">
        <f t="shared" si="282"/>
        <v>Female</v>
      </c>
      <c r="F789">
        <v>23</v>
      </c>
      <c r="G789" t="s">
        <v>5</v>
      </c>
      <c r="H789" t="s">
        <v>6</v>
      </c>
      <c r="I789" t="s">
        <v>63</v>
      </c>
      <c r="J789">
        <v>1</v>
      </c>
      <c r="K789" t="str" cm="1">
        <f t="array" ref="K789">_xlfn.IFS( J789&lt;=5,"0-5", J789&lt;=10,"6-10",J789&lt;=15,"11-15",J789&lt;=20,"16-20",J789&gt;20,"20+")</f>
        <v>0-5</v>
      </c>
      <c r="L789">
        <v>30</v>
      </c>
      <c r="M789" s="2">
        <f t="shared" ref="M789:M790" si="303">L789</f>
        <v>30</v>
      </c>
      <c r="N789">
        <v>5</v>
      </c>
      <c r="O789" t="s">
        <v>21</v>
      </c>
      <c r="P789" t="s">
        <v>2074</v>
      </c>
      <c r="Q789" s="1">
        <v>0.97</v>
      </c>
      <c r="R789" s="1">
        <f t="shared" si="302"/>
        <v>0.97</v>
      </c>
    </row>
    <row r="790" spans="1:18" x14ac:dyDescent="0.2">
      <c r="A790" t="s">
        <v>1645</v>
      </c>
      <c r="B790" t="s">
        <v>1646</v>
      </c>
      <c r="C790" t="str">
        <f t="shared" si="281"/>
        <v>Brittany Lambert</v>
      </c>
      <c r="D790" t="s">
        <v>24</v>
      </c>
      <c r="E790" t="str">
        <f t="shared" si="282"/>
        <v>Female</v>
      </c>
      <c r="F790">
        <v>56</v>
      </c>
      <c r="G790" t="s">
        <v>129</v>
      </c>
      <c r="H790" t="s">
        <v>130</v>
      </c>
      <c r="I790" t="s">
        <v>20</v>
      </c>
      <c r="J790">
        <v>13</v>
      </c>
      <c r="K790" t="str" cm="1">
        <f t="array" ref="K790">_xlfn.IFS( J790&lt;=5,"0-5", J790&lt;=10,"6-10",J790&lt;=15,"11-15",J790&lt;=20,"16-20",J790&gt;20,"20+")</f>
        <v>11-15</v>
      </c>
      <c r="L790">
        <v>30</v>
      </c>
      <c r="M790" s="2">
        <f t="shared" si="303"/>
        <v>30</v>
      </c>
      <c r="N790">
        <v>0</v>
      </c>
      <c r="Q790">
        <v>77</v>
      </c>
      <c r="R790" s="3">
        <f>Q790/100</f>
        <v>0.77</v>
      </c>
    </row>
    <row r="791" spans="1:18" x14ac:dyDescent="0.2">
      <c r="A791" t="s">
        <v>1647</v>
      </c>
      <c r="B791" t="s">
        <v>1648</v>
      </c>
      <c r="C791" t="str">
        <f t="shared" si="281"/>
        <v>Mary Hernandez</v>
      </c>
      <c r="D791" t="s">
        <v>29</v>
      </c>
      <c r="E791" t="str">
        <f t="shared" si="282"/>
        <v>Female</v>
      </c>
      <c r="F791">
        <v>31</v>
      </c>
      <c r="G791" t="s">
        <v>169</v>
      </c>
      <c r="H791" t="s">
        <v>62</v>
      </c>
      <c r="I791" t="s">
        <v>63</v>
      </c>
      <c r="J791">
        <v>6</v>
      </c>
      <c r="K791" t="str" cm="1">
        <f t="array" ref="K791">_xlfn.IFS( J791&lt;=5,"0-5", J791&lt;=10,"6-10",J791&lt;=15,"11-15",J791&lt;=20,"16-20",J791&gt;20,"20+")</f>
        <v>6-10</v>
      </c>
      <c r="M791"/>
      <c r="N791">
        <v>3.5</v>
      </c>
      <c r="O791" t="s">
        <v>149</v>
      </c>
      <c r="Q791" s="1">
        <v>0.86</v>
      </c>
      <c r="R791" s="1">
        <f t="shared" ref="R791:R795" si="304">Q791</f>
        <v>0.86</v>
      </c>
    </row>
    <row r="792" spans="1:18" x14ac:dyDescent="0.2">
      <c r="A792" t="s">
        <v>1649</v>
      </c>
      <c r="B792" t="s">
        <v>1650</v>
      </c>
      <c r="C792" t="str">
        <f t="shared" si="281"/>
        <v>Jonathan Jones</v>
      </c>
      <c r="D792" t="s">
        <v>82</v>
      </c>
      <c r="E792" t="str">
        <f t="shared" si="282"/>
        <v>Male</v>
      </c>
      <c r="F792">
        <v>24</v>
      </c>
      <c r="G792" t="s">
        <v>48</v>
      </c>
      <c r="H792" t="s">
        <v>12</v>
      </c>
      <c r="I792" t="s">
        <v>68</v>
      </c>
      <c r="J792">
        <v>4</v>
      </c>
      <c r="K792" t="str" cm="1">
        <f t="array" ref="K792">_xlfn.IFS( J792&lt;=5,"0-5", J792&lt;=10,"6-10",J792&lt;=15,"11-15",J792&lt;=20,"16-20",J792&gt;20,"20+")</f>
        <v>0-5</v>
      </c>
      <c r="L792">
        <v>50</v>
      </c>
      <c r="M792" s="2">
        <f>L792</f>
        <v>50</v>
      </c>
      <c r="N792">
        <v>3.1</v>
      </c>
      <c r="O792" t="b">
        <v>0</v>
      </c>
      <c r="P792" t="s">
        <v>2074</v>
      </c>
      <c r="Q792" s="1">
        <v>0.95</v>
      </c>
      <c r="R792" s="1">
        <f t="shared" si="304"/>
        <v>0.95</v>
      </c>
    </row>
    <row r="793" spans="1:18" x14ac:dyDescent="0.2">
      <c r="A793" t="s">
        <v>1651</v>
      </c>
      <c r="B793" t="s">
        <v>1652</v>
      </c>
      <c r="C793" t="str">
        <f t="shared" si="281"/>
        <v>Gina Williams</v>
      </c>
      <c r="D793" t="s">
        <v>10</v>
      </c>
      <c r="E793" t="str">
        <f t="shared" si="282"/>
        <v>Female</v>
      </c>
      <c r="F793">
        <v>35</v>
      </c>
      <c r="G793" t="s">
        <v>97</v>
      </c>
      <c r="H793" t="s">
        <v>98</v>
      </c>
      <c r="I793" t="s">
        <v>68</v>
      </c>
      <c r="J793">
        <v>7</v>
      </c>
      <c r="K793" t="str" cm="1">
        <f t="array" ref="K793">_xlfn.IFS( J793&lt;=5,"0-5", J793&lt;=10,"6-10",J793&lt;=15,"11-15",J793&lt;=20,"16-20",J793&gt;20,"20+")</f>
        <v>6-10</v>
      </c>
      <c r="M793"/>
      <c r="N793">
        <v>3.9</v>
      </c>
      <c r="O793">
        <v>0</v>
      </c>
      <c r="Q793" s="1">
        <v>0.72</v>
      </c>
      <c r="R793" s="1">
        <f t="shared" si="304"/>
        <v>0.72</v>
      </c>
    </row>
    <row r="794" spans="1:18" x14ac:dyDescent="0.2">
      <c r="A794" t="s">
        <v>1653</v>
      </c>
      <c r="B794" t="s">
        <v>1654</v>
      </c>
      <c r="C794" t="str">
        <f t="shared" si="281"/>
        <v>Kelly Lawson</v>
      </c>
      <c r="D794" t="s">
        <v>10</v>
      </c>
      <c r="E794" t="str">
        <f t="shared" si="282"/>
        <v>Female</v>
      </c>
      <c r="F794">
        <v>20</v>
      </c>
      <c r="G794" t="s">
        <v>180</v>
      </c>
      <c r="H794" t="s">
        <v>62</v>
      </c>
      <c r="I794" t="s">
        <v>34</v>
      </c>
      <c r="J794">
        <v>1</v>
      </c>
      <c r="K794" t="str" cm="1">
        <f t="array" ref="K794">_xlfn.IFS( J794&lt;=5,"0-5", J794&lt;=10,"6-10",J794&lt;=15,"11-15",J794&lt;=20,"16-20",J794&gt;20,"20+")</f>
        <v>0-5</v>
      </c>
      <c r="M794"/>
      <c r="N794">
        <v>3.5</v>
      </c>
      <c r="O794">
        <v>0</v>
      </c>
      <c r="Q794" s="1">
        <v>0.71</v>
      </c>
      <c r="R794" s="1">
        <f t="shared" si="304"/>
        <v>0.71</v>
      </c>
    </row>
    <row r="795" spans="1:18" x14ac:dyDescent="0.2">
      <c r="A795" t="s">
        <v>1655</v>
      </c>
      <c r="B795" t="s">
        <v>1656</v>
      </c>
      <c r="C795" t="str">
        <f t="shared" ref="C795:C809" si="305">B795</f>
        <v>Keith Smith</v>
      </c>
      <c r="D795" t="s">
        <v>87</v>
      </c>
      <c r="E795" t="str">
        <f t="shared" ref="E795:E809" si="306">IF(LOWER(LEFT(D795,1)) ="f", "Female", "Male")</f>
        <v>Male</v>
      </c>
      <c r="F795">
        <v>26</v>
      </c>
      <c r="G795" t="s">
        <v>11</v>
      </c>
      <c r="H795" t="s">
        <v>12</v>
      </c>
      <c r="I795" t="s">
        <v>41</v>
      </c>
      <c r="J795">
        <v>5</v>
      </c>
      <c r="K795" t="str" cm="1">
        <f t="array" ref="K795">_xlfn.IFS( J795&lt;=5,"0-5", J795&lt;=10,"6-10",J795&lt;=15,"11-15",J795&lt;=20,"16-20",J795&gt;20,"20+")</f>
        <v>0-5</v>
      </c>
      <c r="L795" t="s">
        <v>219</v>
      </c>
      <c r="M795" t="str">
        <f>SUBSTITUTE(L795,"$"," ")</f>
        <v xml:space="preserve"> 100</v>
      </c>
      <c r="N795">
        <v>2.5</v>
      </c>
      <c r="O795" t="b">
        <v>1</v>
      </c>
      <c r="Q795" s="1">
        <v>0.93</v>
      </c>
      <c r="R795" s="1">
        <f t="shared" si="304"/>
        <v>0.93</v>
      </c>
    </row>
    <row r="796" spans="1:18" x14ac:dyDescent="0.2">
      <c r="A796" t="s">
        <v>1657</v>
      </c>
      <c r="B796" t="s">
        <v>1658</v>
      </c>
      <c r="C796" t="str">
        <f t="shared" si="305"/>
        <v>Christopher Hunter</v>
      </c>
      <c r="D796" t="s">
        <v>82</v>
      </c>
      <c r="E796" t="str">
        <f t="shared" si="306"/>
        <v>Male</v>
      </c>
      <c r="F796">
        <v>54</v>
      </c>
      <c r="G796" t="s">
        <v>57</v>
      </c>
      <c r="H796" t="s">
        <v>12</v>
      </c>
      <c r="I796" t="s">
        <v>79</v>
      </c>
      <c r="J796">
        <v>29</v>
      </c>
      <c r="K796" t="str" cm="1">
        <f t="array" ref="K796">_xlfn.IFS( J796&lt;=5,"0-5", J796&lt;=10,"6-10",J796&lt;=15,"11-15",J796&lt;=20,"16-20",J796&gt;20,"20+")</f>
        <v>20+</v>
      </c>
      <c r="L796" t="s">
        <v>45</v>
      </c>
      <c r="M796" t="str">
        <f>_xlfn.TEXTAFTER(L796, " ")</f>
        <v>40</v>
      </c>
      <c r="N796">
        <v>3.1</v>
      </c>
      <c r="O796">
        <v>1</v>
      </c>
    </row>
    <row r="797" spans="1:18" x14ac:dyDescent="0.2">
      <c r="A797" t="s">
        <v>1659</v>
      </c>
      <c r="B797" t="s">
        <v>1660</v>
      </c>
      <c r="C797" t="str">
        <f t="shared" si="305"/>
        <v>Dwayne Parks</v>
      </c>
      <c r="D797" t="s">
        <v>38</v>
      </c>
      <c r="E797" t="str">
        <f t="shared" si="306"/>
        <v>Male</v>
      </c>
      <c r="F797">
        <v>53</v>
      </c>
      <c r="G797" t="s">
        <v>114</v>
      </c>
      <c r="H797" t="s">
        <v>115</v>
      </c>
      <c r="I797" t="s">
        <v>68</v>
      </c>
      <c r="J797">
        <v>12</v>
      </c>
      <c r="K797" t="str" cm="1">
        <f t="array" ref="K797">_xlfn.IFS( J797&lt;=5,"0-5", J797&lt;=10,"6-10",J797&lt;=15,"11-15",J797&lt;=20,"16-20",J797&gt;20,"20+")</f>
        <v>11-15</v>
      </c>
      <c r="L797">
        <v>100</v>
      </c>
      <c r="M797" s="2">
        <f>L797</f>
        <v>100</v>
      </c>
      <c r="N797">
        <v>4.7</v>
      </c>
      <c r="O797">
        <v>1</v>
      </c>
      <c r="P797" t="s">
        <v>2075</v>
      </c>
      <c r="Q797" s="1">
        <v>0.87</v>
      </c>
      <c r="R797" s="1">
        <f>Q797</f>
        <v>0.87</v>
      </c>
    </row>
    <row r="798" spans="1:18" x14ac:dyDescent="0.2">
      <c r="A798" t="s">
        <v>1661</v>
      </c>
      <c r="B798" t="s">
        <v>1662</v>
      </c>
      <c r="C798" t="str">
        <f t="shared" si="305"/>
        <v>Mary Hall</v>
      </c>
      <c r="D798" t="s">
        <v>67</v>
      </c>
      <c r="E798" t="str">
        <f t="shared" si="306"/>
        <v>Female</v>
      </c>
      <c r="F798">
        <v>33</v>
      </c>
      <c r="G798" t="s">
        <v>118</v>
      </c>
      <c r="H798" t="s">
        <v>12</v>
      </c>
      <c r="I798" t="s">
        <v>79</v>
      </c>
      <c r="J798">
        <v>4</v>
      </c>
      <c r="K798" t="str" cm="1">
        <f t="array" ref="K798">_xlfn.IFS( J798&lt;=5,"0-5", J798&lt;=10,"6-10",J798&lt;=15,"11-15",J798&lt;=20,"16-20",J798&gt;20,"20+")</f>
        <v>0-5</v>
      </c>
      <c r="M798"/>
      <c r="N798">
        <v>1.9</v>
      </c>
      <c r="O798" t="b">
        <v>0</v>
      </c>
      <c r="Q798">
        <v>73</v>
      </c>
      <c r="R798" s="3">
        <f>Q798/100</f>
        <v>0.73</v>
      </c>
    </row>
    <row r="799" spans="1:18" x14ac:dyDescent="0.2">
      <c r="A799" t="s">
        <v>1663</v>
      </c>
      <c r="B799" t="s">
        <v>1664</v>
      </c>
      <c r="C799" t="str">
        <f t="shared" si="305"/>
        <v>Jake Gilmore</v>
      </c>
      <c r="D799" t="s">
        <v>38</v>
      </c>
      <c r="E799" t="str">
        <f t="shared" si="306"/>
        <v>Male</v>
      </c>
      <c r="F799">
        <v>43</v>
      </c>
      <c r="G799" t="s">
        <v>32</v>
      </c>
      <c r="H799" t="s">
        <v>33</v>
      </c>
      <c r="I799" t="s">
        <v>25</v>
      </c>
      <c r="J799">
        <v>12</v>
      </c>
      <c r="K799" t="str" cm="1">
        <f t="array" ref="K799">_xlfn.IFS( J799&lt;=5,"0-5", J799&lt;=10,"6-10",J799&lt;=15,"11-15",J799&lt;=20,"16-20",J799&gt;20,"20+")</f>
        <v>11-15</v>
      </c>
      <c r="M799"/>
      <c r="N799">
        <v>1.6</v>
      </c>
      <c r="O799">
        <v>1</v>
      </c>
      <c r="Q799" s="1">
        <v>0.74</v>
      </c>
      <c r="R799" s="1">
        <f t="shared" ref="R799:R802" si="307">Q799</f>
        <v>0.74</v>
      </c>
    </row>
    <row r="800" spans="1:18" x14ac:dyDescent="0.2">
      <c r="A800" t="s">
        <v>1665</v>
      </c>
      <c r="B800" t="s">
        <v>1666</v>
      </c>
      <c r="C800" t="str">
        <f t="shared" si="305"/>
        <v>Mark Lopez</v>
      </c>
      <c r="D800" t="s">
        <v>82</v>
      </c>
      <c r="E800" t="str">
        <f t="shared" si="306"/>
        <v>Male</v>
      </c>
      <c r="F800">
        <v>37</v>
      </c>
      <c r="G800" t="s">
        <v>118</v>
      </c>
      <c r="H800" t="s">
        <v>12</v>
      </c>
      <c r="I800" t="s">
        <v>79</v>
      </c>
      <c r="J800">
        <v>3</v>
      </c>
      <c r="K800" t="str" cm="1">
        <f t="array" ref="K800">_xlfn.IFS( J800&lt;=5,"0-5", J800&lt;=10,"6-10",J800&lt;=15,"11-15",J800&lt;=20,"16-20",J800&gt;20,"20+")</f>
        <v>0-5</v>
      </c>
      <c r="L800">
        <v>20</v>
      </c>
      <c r="M800" s="2">
        <f t="shared" ref="M800:M802" si="308">L800</f>
        <v>20</v>
      </c>
      <c r="N800">
        <v>2.5</v>
      </c>
      <c r="O800" t="s">
        <v>21</v>
      </c>
      <c r="P800" t="s">
        <v>2074</v>
      </c>
      <c r="Q800" s="1">
        <v>0.62</v>
      </c>
      <c r="R800" s="1">
        <f t="shared" si="307"/>
        <v>0.62</v>
      </c>
    </row>
    <row r="801" spans="1:18" x14ac:dyDescent="0.2">
      <c r="A801" t="s">
        <v>1667</v>
      </c>
      <c r="B801" t="s">
        <v>1668</v>
      </c>
      <c r="C801" t="str">
        <f t="shared" si="305"/>
        <v>Dana Rice</v>
      </c>
      <c r="D801" t="s">
        <v>29</v>
      </c>
      <c r="E801" t="str">
        <f t="shared" si="306"/>
        <v>Female</v>
      </c>
      <c r="F801">
        <v>58</v>
      </c>
      <c r="G801" t="s">
        <v>125</v>
      </c>
      <c r="H801" t="s">
        <v>126</v>
      </c>
      <c r="I801" t="s">
        <v>41</v>
      </c>
      <c r="J801">
        <v>15</v>
      </c>
      <c r="K801" t="str" cm="1">
        <f t="array" ref="K801">_xlfn.IFS( J801&lt;=5,"0-5", J801&lt;=10,"6-10",J801&lt;=15,"11-15",J801&lt;=20,"16-20",J801&gt;20,"20+")</f>
        <v>11-15</v>
      </c>
      <c r="L801">
        <v>20</v>
      </c>
      <c r="M801" s="2">
        <f t="shared" si="308"/>
        <v>20</v>
      </c>
      <c r="N801">
        <v>3.5</v>
      </c>
      <c r="Q801" s="1">
        <v>0.98</v>
      </c>
      <c r="R801" s="1">
        <f t="shared" si="307"/>
        <v>0.98</v>
      </c>
    </row>
    <row r="802" spans="1:18" x14ac:dyDescent="0.2">
      <c r="A802" t="s">
        <v>1669</v>
      </c>
      <c r="B802" t="s">
        <v>1670</v>
      </c>
      <c r="C802" t="str">
        <f t="shared" si="305"/>
        <v>Beth Young</v>
      </c>
      <c r="D802" t="s">
        <v>10</v>
      </c>
      <c r="E802" t="str">
        <f t="shared" si="306"/>
        <v>Female</v>
      </c>
      <c r="F802">
        <v>39</v>
      </c>
      <c r="G802" t="s">
        <v>180</v>
      </c>
      <c r="H802" t="s">
        <v>62</v>
      </c>
      <c r="I802" t="s">
        <v>13</v>
      </c>
      <c r="J802">
        <v>15</v>
      </c>
      <c r="K802" t="str" cm="1">
        <f t="array" ref="K802">_xlfn.IFS( J802&lt;=5,"0-5", J802&lt;=10,"6-10",J802&lt;=15,"11-15",J802&lt;=20,"16-20",J802&gt;20,"20+")</f>
        <v>11-15</v>
      </c>
      <c r="L802">
        <v>50</v>
      </c>
      <c r="M802" s="2">
        <f t="shared" si="308"/>
        <v>50</v>
      </c>
      <c r="O802">
        <v>0</v>
      </c>
      <c r="P802" t="s">
        <v>2074</v>
      </c>
      <c r="Q802" s="1">
        <v>0.8</v>
      </c>
      <c r="R802" s="1">
        <f t="shared" si="307"/>
        <v>0.8</v>
      </c>
    </row>
    <row r="803" spans="1:18" x14ac:dyDescent="0.2">
      <c r="A803" t="s">
        <v>1671</v>
      </c>
      <c r="B803" t="s">
        <v>1672</v>
      </c>
      <c r="C803" t="str">
        <f t="shared" si="305"/>
        <v>Ryan Powell</v>
      </c>
      <c r="D803" t="s">
        <v>17</v>
      </c>
      <c r="E803" t="str">
        <f t="shared" si="306"/>
        <v>Male</v>
      </c>
      <c r="F803">
        <v>43</v>
      </c>
      <c r="G803" t="s">
        <v>52</v>
      </c>
      <c r="H803" t="s">
        <v>53</v>
      </c>
      <c r="I803" t="s">
        <v>20</v>
      </c>
      <c r="J803">
        <v>13</v>
      </c>
      <c r="K803" t="str" cm="1">
        <f t="array" ref="K803">_xlfn.IFS( J803&lt;=5,"0-5", J803&lt;=10,"6-10",J803&lt;=15,"11-15",J803&lt;=20,"16-20",J803&gt;20,"20+")</f>
        <v>11-15</v>
      </c>
      <c r="L803" t="s">
        <v>304</v>
      </c>
      <c r="M803" t="str">
        <f t="shared" ref="M803:M804" si="309">_xlfn.TEXTAFTER(L803, " ")</f>
        <v>20</v>
      </c>
      <c r="N803">
        <v>1.2</v>
      </c>
      <c r="O803" t="s">
        <v>64</v>
      </c>
      <c r="Q803">
        <v>69</v>
      </c>
      <c r="R803" s="3">
        <f t="shared" ref="R803:R804" si="310">Q803/100</f>
        <v>0.69</v>
      </c>
    </row>
    <row r="804" spans="1:18" x14ac:dyDescent="0.2">
      <c r="A804" t="s">
        <v>1673</v>
      </c>
      <c r="B804" t="s">
        <v>1674</v>
      </c>
      <c r="C804" t="str">
        <f t="shared" si="305"/>
        <v>Amanda Fowler</v>
      </c>
      <c r="D804" t="s">
        <v>67</v>
      </c>
      <c r="E804" t="str">
        <f t="shared" si="306"/>
        <v>Female</v>
      </c>
      <c r="F804">
        <v>40</v>
      </c>
      <c r="G804" t="s">
        <v>180</v>
      </c>
      <c r="H804" t="s">
        <v>62</v>
      </c>
      <c r="I804" t="s">
        <v>7</v>
      </c>
      <c r="J804">
        <v>20</v>
      </c>
      <c r="K804" t="str" cm="1">
        <f t="array" ref="K804">_xlfn.IFS( J804&lt;=5,"0-5", J804&lt;=10,"6-10",J804&lt;=15,"11-15",J804&lt;=20,"16-20",J804&gt;20,"20+")</f>
        <v>16-20</v>
      </c>
      <c r="L804" t="s">
        <v>99</v>
      </c>
      <c r="M804" t="str">
        <f t="shared" si="309"/>
        <v>30</v>
      </c>
      <c r="O804" t="b">
        <v>0</v>
      </c>
      <c r="Q804">
        <v>90</v>
      </c>
      <c r="R804" s="3">
        <f t="shared" si="310"/>
        <v>0.9</v>
      </c>
    </row>
    <row r="805" spans="1:18" x14ac:dyDescent="0.2">
      <c r="A805" t="s">
        <v>1675</v>
      </c>
      <c r="B805" t="s">
        <v>1676</v>
      </c>
      <c r="C805" t="str">
        <f t="shared" si="305"/>
        <v>Lindsay Rivera</v>
      </c>
      <c r="D805" t="s">
        <v>4</v>
      </c>
      <c r="E805" t="str">
        <f t="shared" si="306"/>
        <v>Female</v>
      </c>
      <c r="F805">
        <v>51</v>
      </c>
      <c r="G805" t="s">
        <v>57</v>
      </c>
      <c r="H805" t="s">
        <v>12</v>
      </c>
      <c r="I805" t="s">
        <v>104</v>
      </c>
      <c r="J805">
        <v>30</v>
      </c>
      <c r="K805" t="str" cm="1">
        <f t="array" ref="K805">_xlfn.IFS( J805&lt;=5,"0-5", J805&lt;=10,"6-10",J805&lt;=15,"11-15",J805&lt;=20,"16-20",J805&gt;20,"20+")</f>
        <v>20+</v>
      </c>
      <c r="L805">
        <v>75</v>
      </c>
      <c r="M805" s="2">
        <f t="shared" ref="M805:M806" si="311">L805</f>
        <v>75</v>
      </c>
      <c r="O805" t="b">
        <v>1</v>
      </c>
      <c r="P805" t="s">
        <v>2075</v>
      </c>
      <c r="Q805" s="1">
        <v>0.74</v>
      </c>
      <c r="R805" s="1">
        <f t="shared" ref="R805:R808" si="312">Q805</f>
        <v>0.74</v>
      </c>
    </row>
    <row r="806" spans="1:18" x14ac:dyDescent="0.2">
      <c r="A806" t="s">
        <v>1677</v>
      </c>
      <c r="B806" t="s">
        <v>1678</v>
      </c>
      <c r="C806" t="str">
        <f t="shared" si="305"/>
        <v>Mark Ward</v>
      </c>
      <c r="D806" t="s">
        <v>17</v>
      </c>
      <c r="E806" t="str">
        <f t="shared" si="306"/>
        <v>Male</v>
      </c>
      <c r="F806">
        <v>23</v>
      </c>
      <c r="G806" t="s">
        <v>18</v>
      </c>
      <c r="H806" t="s">
        <v>19</v>
      </c>
      <c r="I806" t="s">
        <v>34</v>
      </c>
      <c r="J806">
        <v>4</v>
      </c>
      <c r="K806" t="str" cm="1">
        <f t="array" ref="K806">_xlfn.IFS( J806&lt;=5,"0-5", J806&lt;=10,"6-10",J806&lt;=15,"11-15",J806&lt;=20,"16-20",J806&gt;20,"20+")</f>
        <v>0-5</v>
      </c>
      <c r="L806">
        <v>50</v>
      </c>
      <c r="M806" s="2">
        <f t="shared" si="311"/>
        <v>50</v>
      </c>
      <c r="N806">
        <v>4.5</v>
      </c>
      <c r="O806" t="s">
        <v>21</v>
      </c>
      <c r="P806" t="s">
        <v>2074</v>
      </c>
      <c r="Q806" s="1">
        <v>0.98</v>
      </c>
      <c r="R806" s="1">
        <f t="shared" si="312"/>
        <v>0.98</v>
      </c>
    </row>
    <row r="807" spans="1:18" x14ac:dyDescent="0.2">
      <c r="A807" t="s">
        <v>1679</v>
      </c>
      <c r="B807" t="s">
        <v>1680</v>
      </c>
      <c r="C807" t="str">
        <f t="shared" si="305"/>
        <v>Amanda Smith</v>
      </c>
      <c r="D807" t="s">
        <v>4</v>
      </c>
      <c r="E807" t="str">
        <f t="shared" si="306"/>
        <v>Female</v>
      </c>
      <c r="F807">
        <v>31</v>
      </c>
      <c r="G807" t="s">
        <v>39</v>
      </c>
      <c r="H807" t="s">
        <v>40</v>
      </c>
      <c r="I807" t="s">
        <v>20</v>
      </c>
      <c r="K807" t="str" cm="1">
        <f t="array" ref="K807">_xlfn.IFS( J807&lt;=5,"0-5", J807&lt;=10,"6-10",J807&lt;=15,"11-15",J807&lt;=20,"16-20",J807&gt;20,"20+")</f>
        <v>0-5</v>
      </c>
      <c r="L807" t="s">
        <v>304</v>
      </c>
      <c r="M807" t="str">
        <f>_xlfn.TEXTAFTER(L807, " ")</f>
        <v>20</v>
      </c>
      <c r="O807" t="s">
        <v>64</v>
      </c>
      <c r="Q807" s="1">
        <v>0.84</v>
      </c>
      <c r="R807" s="1">
        <f t="shared" si="312"/>
        <v>0.84</v>
      </c>
    </row>
    <row r="808" spans="1:18" x14ac:dyDescent="0.2">
      <c r="A808" t="s">
        <v>1681</v>
      </c>
      <c r="B808" t="s">
        <v>1682</v>
      </c>
      <c r="C808" t="str">
        <f t="shared" si="305"/>
        <v>Emily Brown</v>
      </c>
      <c r="D808" t="s">
        <v>10</v>
      </c>
      <c r="E808" t="str">
        <f t="shared" si="306"/>
        <v>Female</v>
      </c>
      <c r="F808">
        <v>44</v>
      </c>
      <c r="G808" t="s">
        <v>114</v>
      </c>
      <c r="H808" t="s">
        <v>115</v>
      </c>
      <c r="I808" t="s">
        <v>25</v>
      </c>
      <c r="J808">
        <v>3</v>
      </c>
      <c r="K808" t="str" cm="1">
        <f t="array" ref="K808">_xlfn.IFS( J808&lt;=5,"0-5", J808&lt;=10,"6-10",J808&lt;=15,"11-15",J808&lt;=20,"16-20",J808&gt;20,"20+")</f>
        <v>0-5</v>
      </c>
      <c r="L808" t="s">
        <v>111</v>
      </c>
      <c r="M808" t="str">
        <f>SUBSTITUTE(L808,"$"," ")</f>
        <v xml:space="preserve"> 20</v>
      </c>
      <c r="N808">
        <v>5</v>
      </c>
      <c r="O808" t="s">
        <v>58</v>
      </c>
      <c r="Q808" s="1">
        <v>0.75</v>
      </c>
      <c r="R808" s="1">
        <f t="shared" si="312"/>
        <v>0.75</v>
      </c>
    </row>
    <row r="809" spans="1:18" x14ac:dyDescent="0.2">
      <c r="A809" t="s">
        <v>1683</v>
      </c>
      <c r="B809" t="s">
        <v>1684</v>
      </c>
      <c r="C809" t="str">
        <f t="shared" si="305"/>
        <v>Dwayne Cardenas</v>
      </c>
      <c r="D809" t="s">
        <v>87</v>
      </c>
      <c r="E809" t="str">
        <f t="shared" si="306"/>
        <v>Male</v>
      </c>
      <c r="F809">
        <v>56</v>
      </c>
      <c r="G809" t="s">
        <v>18</v>
      </c>
      <c r="H809" t="s">
        <v>19</v>
      </c>
      <c r="I809" t="s">
        <v>13</v>
      </c>
      <c r="J809">
        <v>23</v>
      </c>
      <c r="K809" t="str" cm="1">
        <f t="array" ref="K809">_xlfn.IFS( J809&lt;=5,"0-5", J809&lt;=10,"6-10",J809&lt;=15,"11-15",J809&lt;=20,"16-20",J809&gt;20,"20+")</f>
        <v>20+</v>
      </c>
      <c r="L809">
        <v>75</v>
      </c>
      <c r="M809" s="2">
        <f>L809</f>
        <v>75</v>
      </c>
      <c r="N809">
        <v>3.9</v>
      </c>
      <c r="O809">
        <v>1</v>
      </c>
      <c r="P809" t="s">
        <v>2075</v>
      </c>
    </row>
    <row r="810" spans="1:18" x14ac:dyDescent="0.2">
      <c r="A810" t="s">
        <v>1685</v>
      </c>
      <c r="B810" t="s">
        <v>1686</v>
      </c>
      <c r="C810" t="str">
        <f>_xlfn.TEXTAFTER(B810,".",)</f>
        <v xml:space="preserve"> Rhonda Hernandez</v>
      </c>
      <c r="D810" t="s">
        <v>10</v>
      </c>
      <c r="F810">
        <v>48</v>
      </c>
      <c r="G810" t="s">
        <v>11</v>
      </c>
      <c r="H810" t="s">
        <v>12</v>
      </c>
      <c r="I810" t="s">
        <v>68</v>
      </c>
      <c r="J810">
        <v>5</v>
      </c>
      <c r="K810" t="str" cm="1">
        <f t="array" ref="K810">_xlfn.IFS( J810&lt;=5,"0-5", J810&lt;=10,"6-10",J810&lt;=15,"11-15",J810&lt;=20,"16-20",J810&gt;20,"20+")</f>
        <v>0-5</v>
      </c>
      <c r="L810" t="s">
        <v>219</v>
      </c>
      <c r="M810" t="str">
        <f>SUBSTITUTE(L810,"$"," ")</f>
        <v xml:space="preserve"> 100</v>
      </c>
      <c r="N810">
        <v>1.8</v>
      </c>
      <c r="O810" t="b">
        <v>1</v>
      </c>
      <c r="Q810" s="1">
        <v>0.97</v>
      </c>
      <c r="R810" s="1">
        <f>Q810</f>
        <v>0.97</v>
      </c>
    </row>
    <row r="811" spans="1:18" x14ac:dyDescent="0.2">
      <c r="A811" t="s">
        <v>1687</v>
      </c>
      <c r="B811" t="s">
        <v>1688</v>
      </c>
      <c r="C811" t="str">
        <f t="shared" ref="C811:C874" si="313">B811</f>
        <v>Melody Barker</v>
      </c>
      <c r="D811" t="s">
        <v>4</v>
      </c>
      <c r="E811" t="str">
        <f t="shared" ref="E811:E874" si="314">IF(LOWER(LEFT(D811,1)) ="f", "Female", "Male")</f>
        <v>Female</v>
      </c>
      <c r="F811">
        <v>46</v>
      </c>
      <c r="G811" t="s">
        <v>114</v>
      </c>
      <c r="H811" t="s">
        <v>115</v>
      </c>
      <c r="I811" t="s">
        <v>25</v>
      </c>
      <c r="J811">
        <v>28</v>
      </c>
      <c r="K811" t="str" cm="1">
        <f t="array" ref="K811">_xlfn.IFS( J811&lt;=5,"0-5", J811&lt;=10,"6-10",J811&lt;=15,"11-15",J811&lt;=20,"16-20",J811&gt;20,"20+")</f>
        <v>20+</v>
      </c>
      <c r="L811">
        <v>30</v>
      </c>
      <c r="M811" s="2">
        <f t="shared" ref="M811:M813" si="315">L811</f>
        <v>30</v>
      </c>
      <c r="N811">
        <v>4.2</v>
      </c>
      <c r="O811" t="b">
        <v>1</v>
      </c>
      <c r="P811" t="s">
        <v>2075</v>
      </c>
    </row>
    <row r="812" spans="1:18" x14ac:dyDescent="0.2">
      <c r="A812" t="s">
        <v>1689</v>
      </c>
      <c r="B812" t="s">
        <v>1690</v>
      </c>
      <c r="C812" t="str">
        <f t="shared" si="313"/>
        <v>Russell Carpenter</v>
      </c>
      <c r="D812" t="s">
        <v>82</v>
      </c>
      <c r="E812" t="str">
        <f t="shared" si="314"/>
        <v>Male</v>
      </c>
      <c r="F812">
        <v>21</v>
      </c>
      <c r="G812" t="s">
        <v>129</v>
      </c>
      <c r="H812" t="s">
        <v>130</v>
      </c>
      <c r="I812" t="s">
        <v>34</v>
      </c>
      <c r="J812">
        <v>0</v>
      </c>
      <c r="K812" t="str" cm="1">
        <f t="array" ref="K812">_xlfn.IFS( J812&lt;=5,"0-5", J812&lt;=10,"6-10",J812&lt;=15,"11-15",J812&lt;=20,"16-20",J812&gt;20,"20+")</f>
        <v>0-5</v>
      </c>
      <c r="L812">
        <v>20</v>
      </c>
      <c r="M812" s="2">
        <f t="shared" si="315"/>
        <v>20</v>
      </c>
      <c r="N812">
        <v>2.6</v>
      </c>
      <c r="O812" t="s">
        <v>149</v>
      </c>
      <c r="P812" t="s">
        <v>2074</v>
      </c>
      <c r="Q812" s="1">
        <v>0.64</v>
      </c>
      <c r="R812" s="1">
        <f t="shared" ref="R812:R819" si="316">Q812</f>
        <v>0.64</v>
      </c>
    </row>
    <row r="813" spans="1:18" x14ac:dyDescent="0.2">
      <c r="A813" t="s">
        <v>1691</v>
      </c>
      <c r="B813" t="s">
        <v>1692</v>
      </c>
      <c r="C813" t="str">
        <f t="shared" si="313"/>
        <v>Richard Hill</v>
      </c>
      <c r="D813" t="s">
        <v>38</v>
      </c>
      <c r="E813" t="str">
        <f t="shared" si="314"/>
        <v>Male</v>
      </c>
      <c r="F813">
        <v>52</v>
      </c>
      <c r="G813" t="s">
        <v>114</v>
      </c>
      <c r="H813" t="s">
        <v>115</v>
      </c>
      <c r="I813" t="s">
        <v>41</v>
      </c>
      <c r="J813">
        <v>30</v>
      </c>
      <c r="K813" t="str" cm="1">
        <f t="array" ref="K813">_xlfn.IFS( J813&lt;=5,"0-5", J813&lt;=10,"6-10",J813&lt;=15,"11-15",J813&lt;=20,"16-20",J813&gt;20,"20+")</f>
        <v>20+</v>
      </c>
      <c r="L813">
        <v>30</v>
      </c>
      <c r="M813" s="2">
        <f t="shared" si="315"/>
        <v>30</v>
      </c>
      <c r="N813">
        <v>2</v>
      </c>
      <c r="O813">
        <v>1</v>
      </c>
      <c r="P813" t="s">
        <v>2075</v>
      </c>
      <c r="Q813" s="1">
        <v>0.68</v>
      </c>
      <c r="R813" s="1">
        <f t="shared" si="316"/>
        <v>0.68</v>
      </c>
    </row>
    <row r="814" spans="1:18" x14ac:dyDescent="0.2">
      <c r="A814" t="s">
        <v>1693</v>
      </c>
      <c r="B814" t="s">
        <v>1694</v>
      </c>
      <c r="C814" t="str">
        <f t="shared" si="313"/>
        <v>Lindsay Potts</v>
      </c>
      <c r="D814" t="s">
        <v>4</v>
      </c>
      <c r="E814" t="str">
        <f t="shared" si="314"/>
        <v>Female</v>
      </c>
      <c r="F814">
        <v>39</v>
      </c>
      <c r="G814" t="s">
        <v>114</v>
      </c>
      <c r="H814" t="s">
        <v>115</v>
      </c>
      <c r="I814" t="s">
        <v>20</v>
      </c>
      <c r="J814">
        <v>20</v>
      </c>
      <c r="K814" t="str" cm="1">
        <f t="array" ref="K814">_xlfn.IFS( J814&lt;=5,"0-5", J814&lt;=10,"6-10",J814&lt;=15,"11-15",J814&lt;=20,"16-20",J814&gt;20,"20+")</f>
        <v>16-20</v>
      </c>
      <c r="L814" t="s">
        <v>160</v>
      </c>
      <c r="M814" t="str">
        <f>SUBSTITUTE(L814,"$"," ")</f>
        <v xml:space="preserve"> 75</v>
      </c>
      <c r="N814">
        <v>2.7</v>
      </c>
      <c r="O814">
        <v>1</v>
      </c>
      <c r="Q814" s="1">
        <v>0.67</v>
      </c>
      <c r="R814" s="1">
        <f t="shared" si="316"/>
        <v>0.67</v>
      </c>
    </row>
    <row r="815" spans="1:18" x14ac:dyDescent="0.2">
      <c r="A815" t="s">
        <v>1695</v>
      </c>
      <c r="B815" t="s">
        <v>1696</v>
      </c>
      <c r="C815" t="str">
        <f t="shared" si="313"/>
        <v>Michelle Campbell</v>
      </c>
      <c r="D815" t="s">
        <v>4</v>
      </c>
      <c r="E815" t="str">
        <f t="shared" si="314"/>
        <v>Female</v>
      </c>
      <c r="F815">
        <v>31</v>
      </c>
      <c r="G815" t="s">
        <v>11</v>
      </c>
      <c r="H815" t="s">
        <v>12</v>
      </c>
      <c r="I815" t="s">
        <v>13</v>
      </c>
      <c r="J815">
        <v>0</v>
      </c>
      <c r="K815" t="str" cm="1">
        <f t="array" ref="K815">_xlfn.IFS( J815&lt;=5,"0-5", J815&lt;=10,"6-10",J815&lt;=15,"11-15",J815&lt;=20,"16-20",J815&gt;20,"20+")</f>
        <v>0-5</v>
      </c>
      <c r="L815">
        <v>30</v>
      </c>
      <c r="M815" s="2">
        <f>L815</f>
        <v>30</v>
      </c>
      <c r="N815">
        <v>2.2999999999999998</v>
      </c>
      <c r="O815" t="s">
        <v>149</v>
      </c>
      <c r="P815" t="s">
        <v>2074</v>
      </c>
      <c r="Q815" s="1">
        <v>0.79</v>
      </c>
      <c r="R815" s="1">
        <f t="shared" si="316"/>
        <v>0.79</v>
      </c>
    </row>
    <row r="816" spans="1:18" x14ac:dyDescent="0.2">
      <c r="A816" t="s">
        <v>1697</v>
      </c>
      <c r="B816" t="s">
        <v>1698</v>
      </c>
      <c r="C816" t="str">
        <f t="shared" si="313"/>
        <v>Alan Williams</v>
      </c>
      <c r="D816" t="s">
        <v>38</v>
      </c>
      <c r="E816" t="str">
        <f t="shared" si="314"/>
        <v>Male</v>
      </c>
      <c r="F816">
        <v>22</v>
      </c>
      <c r="G816" t="s">
        <v>102</v>
      </c>
      <c r="H816" t="s">
        <v>103</v>
      </c>
      <c r="I816" t="s">
        <v>63</v>
      </c>
      <c r="J816">
        <v>4</v>
      </c>
      <c r="K816" t="str" cm="1">
        <f t="array" ref="K816">_xlfn.IFS( J816&lt;=5,"0-5", J816&lt;=10,"6-10",J816&lt;=15,"11-15",J816&lt;=20,"16-20",J816&gt;20,"20+")</f>
        <v>0-5</v>
      </c>
      <c r="L816" t="s">
        <v>26</v>
      </c>
      <c r="M816" t="str">
        <f>SUBSTITUTE(L816,"$"," ")</f>
        <v xml:space="preserve"> 40</v>
      </c>
      <c r="N816">
        <v>3.8</v>
      </c>
      <c r="O816" t="b">
        <v>1</v>
      </c>
      <c r="Q816" s="1">
        <v>1</v>
      </c>
      <c r="R816" s="1">
        <f t="shared" si="316"/>
        <v>1</v>
      </c>
    </row>
    <row r="817" spans="1:18" x14ac:dyDescent="0.2">
      <c r="A817" t="s">
        <v>1699</v>
      </c>
      <c r="B817" t="s">
        <v>1700</v>
      </c>
      <c r="C817" t="str">
        <f t="shared" si="313"/>
        <v>Robin Hinton</v>
      </c>
      <c r="D817" t="s">
        <v>4</v>
      </c>
      <c r="E817" t="str">
        <f t="shared" si="314"/>
        <v>Female</v>
      </c>
      <c r="F817">
        <v>38</v>
      </c>
      <c r="G817" t="s">
        <v>57</v>
      </c>
      <c r="H817" t="s">
        <v>12</v>
      </c>
      <c r="I817" t="s">
        <v>63</v>
      </c>
      <c r="J817">
        <v>10</v>
      </c>
      <c r="K817" t="str" cm="1">
        <f t="array" ref="K817">_xlfn.IFS( J817&lt;=5,"0-5", J817&lt;=10,"6-10",J817&lt;=15,"11-15",J817&lt;=20,"16-20",J817&gt;20,"20+")</f>
        <v>6-10</v>
      </c>
      <c r="L817">
        <v>40</v>
      </c>
      <c r="M817" s="2">
        <f>L817</f>
        <v>40</v>
      </c>
      <c r="O817" t="s">
        <v>21</v>
      </c>
      <c r="P817" t="s">
        <v>2074</v>
      </c>
      <c r="Q817" s="1">
        <v>0.66</v>
      </c>
      <c r="R817" s="1">
        <f t="shared" si="316"/>
        <v>0.66</v>
      </c>
    </row>
    <row r="818" spans="1:18" x14ac:dyDescent="0.2">
      <c r="A818" t="s">
        <v>1701</v>
      </c>
      <c r="B818" t="s">
        <v>1702</v>
      </c>
      <c r="C818" t="str">
        <f t="shared" si="313"/>
        <v>Brian Holland</v>
      </c>
      <c r="D818" t="s">
        <v>87</v>
      </c>
      <c r="E818" t="str">
        <f t="shared" si="314"/>
        <v>Male</v>
      </c>
      <c r="F818">
        <v>44</v>
      </c>
      <c r="G818" t="s">
        <v>61</v>
      </c>
      <c r="H818" t="s">
        <v>62</v>
      </c>
      <c r="I818" t="s">
        <v>20</v>
      </c>
      <c r="J818">
        <v>24</v>
      </c>
      <c r="K818" t="str" cm="1">
        <f t="array" ref="K818">_xlfn.IFS( J818&lt;=5,"0-5", J818&lt;=10,"6-10",J818&lt;=15,"11-15",J818&lt;=20,"16-20",J818&gt;20,"20+")</f>
        <v>20+</v>
      </c>
      <c r="L818" t="s">
        <v>42</v>
      </c>
      <c r="M818" t="str">
        <f>_xlfn.TEXTAFTER(L818, " ")</f>
        <v>75</v>
      </c>
      <c r="N818">
        <v>4.5999999999999996</v>
      </c>
      <c r="O818" t="s">
        <v>149</v>
      </c>
      <c r="Q818" s="1">
        <v>0.97</v>
      </c>
      <c r="R818" s="1">
        <f t="shared" si="316"/>
        <v>0.97</v>
      </c>
    </row>
    <row r="819" spans="1:18" x14ac:dyDescent="0.2">
      <c r="A819" t="s">
        <v>1703</v>
      </c>
      <c r="B819" t="s">
        <v>1704</v>
      </c>
      <c r="C819" t="str">
        <f t="shared" si="313"/>
        <v>Adam Stone</v>
      </c>
      <c r="D819" t="s">
        <v>82</v>
      </c>
      <c r="E819" t="str">
        <f t="shared" si="314"/>
        <v>Male</v>
      </c>
      <c r="F819">
        <v>53</v>
      </c>
      <c r="G819" t="s">
        <v>39</v>
      </c>
      <c r="H819" t="s">
        <v>40</v>
      </c>
      <c r="I819" t="s">
        <v>104</v>
      </c>
      <c r="J819">
        <v>21</v>
      </c>
      <c r="K819" t="str" cm="1">
        <f t="array" ref="K819">_xlfn.IFS( J819&lt;=5,"0-5", J819&lt;=10,"6-10",J819&lt;=15,"11-15",J819&lt;=20,"16-20",J819&gt;20,"20+")</f>
        <v>20+</v>
      </c>
      <c r="L819">
        <v>100</v>
      </c>
      <c r="M819" s="2">
        <f>L819</f>
        <v>100</v>
      </c>
      <c r="N819">
        <v>3.4</v>
      </c>
      <c r="O819">
        <v>0</v>
      </c>
      <c r="P819" t="s">
        <v>2074</v>
      </c>
      <c r="Q819" s="1">
        <v>0.62</v>
      </c>
      <c r="R819" s="1">
        <f t="shared" si="316"/>
        <v>0.62</v>
      </c>
    </row>
    <row r="820" spans="1:18" x14ac:dyDescent="0.2">
      <c r="A820" t="s">
        <v>1705</v>
      </c>
      <c r="B820" t="s">
        <v>1706</v>
      </c>
      <c r="C820" t="str">
        <f t="shared" si="313"/>
        <v>Curtis Lambert</v>
      </c>
      <c r="D820" t="s">
        <v>87</v>
      </c>
      <c r="E820" t="str">
        <f t="shared" si="314"/>
        <v>Male</v>
      </c>
      <c r="F820">
        <v>22</v>
      </c>
      <c r="G820" t="s">
        <v>165</v>
      </c>
      <c r="H820" t="s">
        <v>166</v>
      </c>
      <c r="I820" t="s">
        <v>41</v>
      </c>
      <c r="J820">
        <v>2</v>
      </c>
      <c r="K820" t="str" cm="1">
        <f t="array" ref="K820">_xlfn.IFS( J820&lt;=5,"0-5", J820&lt;=10,"6-10",J820&lt;=15,"11-15",J820&lt;=20,"16-20",J820&gt;20,"20+")</f>
        <v>0-5</v>
      </c>
      <c r="L820" t="s">
        <v>304</v>
      </c>
      <c r="M820" t="str">
        <f>_xlfn.TEXTAFTER(L820, " ")</f>
        <v>20</v>
      </c>
      <c r="O820" t="s">
        <v>149</v>
      </c>
    </row>
    <row r="821" spans="1:18" x14ac:dyDescent="0.2">
      <c r="A821" t="s">
        <v>1707</v>
      </c>
      <c r="B821" t="s">
        <v>1708</v>
      </c>
      <c r="C821" t="str">
        <f t="shared" si="313"/>
        <v>Alexandra Sims</v>
      </c>
      <c r="D821" t="s">
        <v>67</v>
      </c>
      <c r="E821" t="str">
        <f t="shared" si="314"/>
        <v>Female</v>
      </c>
      <c r="F821">
        <v>40</v>
      </c>
      <c r="G821" t="s">
        <v>83</v>
      </c>
      <c r="H821" t="s">
        <v>84</v>
      </c>
      <c r="I821" t="s">
        <v>7</v>
      </c>
      <c r="J821">
        <v>14</v>
      </c>
      <c r="K821" t="str" cm="1">
        <f t="array" ref="K821">_xlfn.IFS( J821&lt;=5,"0-5", J821&lt;=10,"6-10",J821&lt;=15,"11-15",J821&lt;=20,"16-20",J821&gt;20,"20+")</f>
        <v>11-15</v>
      </c>
      <c r="L821">
        <v>75</v>
      </c>
      <c r="M821" s="2">
        <f t="shared" ref="M821:M822" si="317">L821</f>
        <v>75</v>
      </c>
      <c r="N821">
        <v>0</v>
      </c>
      <c r="O821">
        <v>1</v>
      </c>
      <c r="P821" t="s">
        <v>2075</v>
      </c>
      <c r="Q821" s="1">
        <v>0.79</v>
      </c>
      <c r="R821" s="1">
        <f t="shared" ref="R821:R824" si="318">Q821</f>
        <v>0.79</v>
      </c>
    </row>
    <row r="822" spans="1:18" x14ac:dyDescent="0.2">
      <c r="A822" t="s">
        <v>1709</v>
      </c>
      <c r="B822" t="s">
        <v>1710</v>
      </c>
      <c r="C822" t="str">
        <f t="shared" si="313"/>
        <v>Brenda Spencer</v>
      </c>
      <c r="D822" t="s">
        <v>29</v>
      </c>
      <c r="E822" t="str">
        <f t="shared" si="314"/>
        <v>Female</v>
      </c>
      <c r="F822">
        <v>49</v>
      </c>
      <c r="G822" t="s">
        <v>165</v>
      </c>
      <c r="H822" t="s">
        <v>166</v>
      </c>
      <c r="I822" t="s">
        <v>13</v>
      </c>
      <c r="J822">
        <v>15</v>
      </c>
      <c r="K822" t="str" cm="1">
        <f t="array" ref="K822">_xlfn.IFS( J822&lt;=5,"0-5", J822&lt;=10,"6-10",J822&lt;=15,"11-15",J822&lt;=20,"16-20",J822&gt;20,"20+")</f>
        <v>11-15</v>
      </c>
      <c r="L822">
        <v>40</v>
      </c>
      <c r="M822" s="2">
        <f t="shared" si="317"/>
        <v>40</v>
      </c>
      <c r="N822">
        <v>3.9</v>
      </c>
      <c r="O822" t="b">
        <v>0</v>
      </c>
      <c r="P822" t="s">
        <v>2074</v>
      </c>
      <c r="Q822" s="1">
        <v>0.86</v>
      </c>
      <c r="R822" s="1">
        <f t="shared" si="318"/>
        <v>0.86</v>
      </c>
    </row>
    <row r="823" spans="1:18" x14ac:dyDescent="0.2">
      <c r="A823" t="s">
        <v>1711</v>
      </c>
      <c r="B823" t="s">
        <v>1712</v>
      </c>
      <c r="C823" t="str">
        <f t="shared" si="313"/>
        <v>Joshua Bush</v>
      </c>
      <c r="D823" t="s">
        <v>51</v>
      </c>
      <c r="E823" t="str">
        <f t="shared" si="314"/>
        <v>Male</v>
      </c>
      <c r="F823">
        <v>30</v>
      </c>
      <c r="G823" t="s">
        <v>11</v>
      </c>
      <c r="H823" t="s">
        <v>12</v>
      </c>
      <c r="I823" t="s">
        <v>63</v>
      </c>
      <c r="J823">
        <v>11</v>
      </c>
      <c r="K823" t="str" cm="1">
        <f t="array" ref="K823">_xlfn.IFS( J823&lt;=5,"0-5", J823&lt;=10,"6-10",J823&lt;=15,"11-15",J823&lt;=20,"16-20",J823&gt;20,"20+")</f>
        <v>11-15</v>
      </c>
      <c r="L823" t="s">
        <v>35</v>
      </c>
      <c r="M823" t="str">
        <f>SUBSTITUTE(L823,"$"," ")</f>
        <v xml:space="preserve"> 30</v>
      </c>
      <c r="N823">
        <v>4.2</v>
      </c>
      <c r="O823">
        <v>0</v>
      </c>
      <c r="Q823" s="1">
        <v>0.65</v>
      </c>
      <c r="R823" s="1">
        <f t="shared" si="318"/>
        <v>0.65</v>
      </c>
    </row>
    <row r="824" spans="1:18" x14ac:dyDescent="0.2">
      <c r="A824" t="s">
        <v>1713</v>
      </c>
      <c r="B824" t="s">
        <v>1714</v>
      </c>
      <c r="C824" t="str">
        <f t="shared" si="313"/>
        <v>Erin Martin</v>
      </c>
      <c r="D824" t="s">
        <v>29</v>
      </c>
      <c r="E824" t="str">
        <f t="shared" si="314"/>
        <v>Female</v>
      </c>
      <c r="F824">
        <v>37</v>
      </c>
      <c r="G824" t="s">
        <v>75</v>
      </c>
      <c r="H824" t="s">
        <v>76</v>
      </c>
      <c r="I824" t="s">
        <v>34</v>
      </c>
      <c r="J824">
        <v>6</v>
      </c>
      <c r="K824" t="str" cm="1">
        <f t="array" ref="K824">_xlfn.IFS( J824&lt;=5,"0-5", J824&lt;=10,"6-10",J824&lt;=15,"11-15",J824&lt;=20,"16-20",J824&gt;20,"20+")</f>
        <v>6-10</v>
      </c>
      <c r="L824">
        <v>20</v>
      </c>
      <c r="M824" s="2">
        <f t="shared" ref="M824:M825" si="319">L824</f>
        <v>20</v>
      </c>
      <c r="Q824" s="1">
        <v>0.99</v>
      </c>
      <c r="R824" s="1">
        <f t="shared" si="318"/>
        <v>0.99</v>
      </c>
    </row>
    <row r="825" spans="1:18" x14ac:dyDescent="0.2">
      <c r="A825" t="s">
        <v>1715</v>
      </c>
      <c r="B825" t="s">
        <v>1716</v>
      </c>
      <c r="C825" t="str">
        <f t="shared" si="313"/>
        <v>Alexander Hogan</v>
      </c>
      <c r="D825" t="s">
        <v>17</v>
      </c>
      <c r="E825" t="str">
        <f t="shared" si="314"/>
        <v>Male</v>
      </c>
      <c r="F825">
        <v>21</v>
      </c>
      <c r="G825" t="s">
        <v>129</v>
      </c>
      <c r="H825" t="s">
        <v>130</v>
      </c>
      <c r="I825" t="s">
        <v>20</v>
      </c>
      <c r="J825">
        <v>2</v>
      </c>
      <c r="K825" t="str" cm="1">
        <f t="array" ref="K825">_xlfn.IFS( J825&lt;=5,"0-5", J825&lt;=10,"6-10",J825&lt;=15,"11-15",J825&lt;=20,"16-20",J825&gt;20,"20+")</f>
        <v>0-5</v>
      </c>
      <c r="L825">
        <v>100</v>
      </c>
      <c r="M825" s="2">
        <f t="shared" si="319"/>
        <v>100</v>
      </c>
      <c r="N825">
        <v>3.6</v>
      </c>
      <c r="O825" t="b">
        <v>0</v>
      </c>
      <c r="P825" t="s">
        <v>2074</v>
      </c>
      <c r="Q825">
        <v>85</v>
      </c>
      <c r="R825" s="3">
        <f>Q825/100</f>
        <v>0.85</v>
      </c>
    </row>
    <row r="826" spans="1:18" x14ac:dyDescent="0.2">
      <c r="A826" t="s">
        <v>1717</v>
      </c>
      <c r="B826" t="s">
        <v>1718</v>
      </c>
      <c r="C826" t="str">
        <f t="shared" si="313"/>
        <v>William Harris</v>
      </c>
      <c r="D826" t="s">
        <v>87</v>
      </c>
      <c r="E826" t="str">
        <f t="shared" si="314"/>
        <v>Male</v>
      </c>
      <c r="F826">
        <v>20</v>
      </c>
      <c r="G826" t="s">
        <v>102</v>
      </c>
      <c r="H826" t="s">
        <v>103</v>
      </c>
      <c r="I826" t="s">
        <v>34</v>
      </c>
      <c r="J826">
        <v>1</v>
      </c>
      <c r="K826" t="str" cm="1">
        <f t="array" ref="K826">_xlfn.IFS( J826&lt;=5,"0-5", J826&lt;=10,"6-10",J826&lt;=15,"11-15",J826&lt;=20,"16-20",J826&gt;20,"20+")</f>
        <v>0-5</v>
      </c>
      <c r="L826" t="s">
        <v>88</v>
      </c>
      <c r="M826" t="str">
        <f>_xlfn.TEXTAFTER(L826, " ")</f>
        <v>50</v>
      </c>
      <c r="O826" t="s">
        <v>58</v>
      </c>
      <c r="Q826" s="1">
        <v>0.81</v>
      </c>
      <c r="R826" s="1">
        <f t="shared" ref="R826:R829" si="320">Q826</f>
        <v>0.81</v>
      </c>
    </row>
    <row r="827" spans="1:18" x14ac:dyDescent="0.2">
      <c r="A827" t="s">
        <v>1719</v>
      </c>
      <c r="B827" t="s">
        <v>1720</v>
      </c>
      <c r="C827" t="str">
        <f t="shared" si="313"/>
        <v>Michael Mcmahon</v>
      </c>
      <c r="D827" t="s">
        <v>17</v>
      </c>
      <c r="E827" t="str">
        <f t="shared" si="314"/>
        <v>Male</v>
      </c>
      <c r="F827">
        <v>20</v>
      </c>
      <c r="G827" t="s">
        <v>165</v>
      </c>
      <c r="H827" t="s">
        <v>166</v>
      </c>
      <c r="I827" t="s">
        <v>41</v>
      </c>
      <c r="J827">
        <v>2</v>
      </c>
      <c r="K827" t="str" cm="1">
        <f t="array" ref="K827">_xlfn.IFS( J827&lt;=5,"0-5", J827&lt;=10,"6-10",J827&lt;=15,"11-15",J827&lt;=20,"16-20",J827&gt;20,"20+")</f>
        <v>0-5</v>
      </c>
      <c r="L827" t="s">
        <v>26</v>
      </c>
      <c r="M827" t="str">
        <f>SUBSTITUTE(L827,"$"," ")</f>
        <v xml:space="preserve"> 40</v>
      </c>
      <c r="N827">
        <v>2.1</v>
      </c>
      <c r="O827" t="s">
        <v>21</v>
      </c>
      <c r="Q827" s="1">
        <v>0.64</v>
      </c>
      <c r="R827" s="1">
        <f t="shared" si="320"/>
        <v>0.64</v>
      </c>
    </row>
    <row r="828" spans="1:18" x14ac:dyDescent="0.2">
      <c r="A828" t="s">
        <v>1721</v>
      </c>
      <c r="B828" t="s">
        <v>1722</v>
      </c>
      <c r="C828" t="str">
        <f t="shared" si="313"/>
        <v>Michael Watson</v>
      </c>
      <c r="D828" t="s">
        <v>51</v>
      </c>
      <c r="E828" t="str">
        <f t="shared" si="314"/>
        <v>Male</v>
      </c>
      <c r="F828">
        <v>20</v>
      </c>
      <c r="G828" t="s">
        <v>61</v>
      </c>
      <c r="H828" t="s">
        <v>62</v>
      </c>
      <c r="I828" t="s">
        <v>104</v>
      </c>
      <c r="J828">
        <v>2</v>
      </c>
      <c r="K828" t="str" cm="1">
        <f t="array" ref="K828">_xlfn.IFS( J828&lt;=5,"0-5", J828&lt;=10,"6-10",J828&lt;=15,"11-15",J828&lt;=20,"16-20",J828&gt;20,"20+")</f>
        <v>0-5</v>
      </c>
      <c r="L828">
        <v>20</v>
      </c>
      <c r="M828" s="2">
        <f t="shared" ref="M828:M829" si="321">L828</f>
        <v>20</v>
      </c>
      <c r="N828">
        <v>3.9</v>
      </c>
      <c r="O828" t="b">
        <v>0</v>
      </c>
      <c r="P828" t="s">
        <v>2074</v>
      </c>
      <c r="Q828" s="1">
        <v>0.84</v>
      </c>
      <c r="R828" s="1">
        <f t="shared" si="320"/>
        <v>0.84</v>
      </c>
    </row>
    <row r="829" spans="1:18" x14ac:dyDescent="0.2">
      <c r="A829" t="s">
        <v>1723</v>
      </c>
      <c r="B829" t="s">
        <v>1724</v>
      </c>
      <c r="C829" t="str">
        <f t="shared" si="313"/>
        <v>Lori Perez</v>
      </c>
      <c r="D829" t="s">
        <v>4</v>
      </c>
      <c r="E829" t="str">
        <f t="shared" si="314"/>
        <v>Female</v>
      </c>
      <c r="F829">
        <v>26</v>
      </c>
      <c r="G829" t="s">
        <v>114</v>
      </c>
      <c r="H829" t="s">
        <v>115</v>
      </c>
      <c r="I829" t="s">
        <v>104</v>
      </c>
      <c r="J829">
        <v>2</v>
      </c>
      <c r="K829" t="str" cm="1">
        <f t="array" ref="K829">_xlfn.IFS( J829&lt;=5,"0-5", J829&lt;=10,"6-10",J829&lt;=15,"11-15",J829&lt;=20,"16-20",J829&gt;20,"20+")</f>
        <v>0-5</v>
      </c>
      <c r="L829">
        <v>40</v>
      </c>
      <c r="M829" s="2">
        <f t="shared" si="321"/>
        <v>40</v>
      </c>
      <c r="N829">
        <v>0</v>
      </c>
      <c r="Q829" s="1">
        <v>0.66</v>
      </c>
      <c r="R829" s="1">
        <f t="shared" si="320"/>
        <v>0.66</v>
      </c>
    </row>
    <row r="830" spans="1:18" x14ac:dyDescent="0.2">
      <c r="A830" t="s">
        <v>1725</v>
      </c>
      <c r="B830" t="s">
        <v>1726</v>
      </c>
      <c r="C830" t="str">
        <f t="shared" si="313"/>
        <v>Lindsay Le</v>
      </c>
      <c r="D830" t="s">
        <v>29</v>
      </c>
      <c r="E830" t="str">
        <f t="shared" si="314"/>
        <v>Female</v>
      </c>
      <c r="F830">
        <v>50</v>
      </c>
      <c r="G830" t="s">
        <v>102</v>
      </c>
      <c r="H830" t="s">
        <v>103</v>
      </c>
      <c r="I830" t="s">
        <v>25</v>
      </c>
      <c r="J830">
        <v>12</v>
      </c>
      <c r="K830" t="str" cm="1">
        <f t="array" ref="K830">_xlfn.IFS( J830&lt;=5,"0-5", J830&lt;=10,"6-10",J830&lt;=15,"11-15",J830&lt;=20,"16-20",J830&gt;20,"20+")</f>
        <v>11-15</v>
      </c>
      <c r="L830" t="s">
        <v>160</v>
      </c>
      <c r="M830" t="str">
        <f>SUBSTITUTE(L830,"$"," ")</f>
        <v xml:space="preserve"> 75</v>
      </c>
      <c r="N830">
        <v>0</v>
      </c>
      <c r="O830" t="b">
        <v>0</v>
      </c>
      <c r="Q830">
        <v>75</v>
      </c>
      <c r="R830" s="3">
        <f>Q830/100</f>
        <v>0.75</v>
      </c>
    </row>
    <row r="831" spans="1:18" x14ac:dyDescent="0.2">
      <c r="A831" t="s">
        <v>1727</v>
      </c>
      <c r="B831" t="s">
        <v>1728</v>
      </c>
      <c r="C831" t="str">
        <f t="shared" si="313"/>
        <v>Scott Long</v>
      </c>
      <c r="D831" t="s">
        <v>87</v>
      </c>
      <c r="E831" t="str">
        <f t="shared" si="314"/>
        <v>Male</v>
      </c>
      <c r="F831">
        <v>50</v>
      </c>
      <c r="G831" t="s">
        <v>180</v>
      </c>
      <c r="H831" t="s">
        <v>62</v>
      </c>
      <c r="I831" t="s">
        <v>34</v>
      </c>
      <c r="J831">
        <v>28</v>
      </c>
      <c r="K831" t="str" cm="1">
        <f t="array" ref="K831">_xlfn.IFS( J831&lt;=5,"0-5", J831&lt;=10,"6-10",J831&lt;=15,"11-15",J831&lt;=20,"16-20",J831&gt;20,"20+")</f>
        <v>20+</v>
      </c>
      <c r="L831">
        <v>30</v>
      </c>
      <c r="M831" s="2">
        <f t="shared" ref="M831:M833" si="322">L831</f>
        <v>30</v>
      </c>
      <c r="N831">
        <v>1.8</v>
      </c>
    </row>
    <row r="832" spans="1:18" x14ac:dyDescent="0.2">
      <c r="A832" t="s">
        <v>1729</v>
      </c>
      <c r="B832" t="s">
        <v>1730</v>
      </c>
      <c r="C832" t="str">
        <f t="shared" si="313"/>
        <v>Diana Ferguson</v>
      </c>
      <c r="D832" t="s">
        <v>67</v>
      </c>
      <c r="E832" t="str">
        <f t="shared" si="314"/>
        <v>Female</v>
      </c>
      <c r="F832">
        <v>54</v>
      </c>
      <c r="G832" t="s">
        <v>39</v>
      </c>
      <c r="H832" t="s">
        <v>40</v>
      </c>
      <c r="I832" t="s">
        <v>34</v>
      </c>
      <c r="J832">
        <v>4</v>
      </c>
      <c r="K832" t="str" cm="1">
        <f t="array" ref="K832">_xlfn.IFS( J832&lt;=5,"0-5", J832&lt;=10,"6-10",J832&lt;=15,"11-15",J832&lt;=20,"16-20",J832&gt;20,"20+")</f>
        <v>0-5</v>
      </c>
      <c r="L832">
        <v>20</v>
      </c>
      <c r="M832" s="2">
        <f t="shared" si="322"/>
        <v>20</v>
      </c>
      <c r="N832">
        <v>1.1000000000000001</v>
      </c>
      <c r="O832">
        <v>1</v>
      </c>
      <c r="P832" t="s">
        <v>2075</v>
      </c>
      <c r="Q832" s="1">
        <v>0.63</v>
      </c>
      <c r="R832" s="1">
        <f t="shared" ref="R832:R834" si="323">Q832</f>
        <v>0.63</v>
      </c>
    </row>
    <row r="833" spans="1:18" x14ac:dyDescent="0.2">
      <c r="A833" t="s">
        <v>1731</v>
      </c>
      <c r="B833" t="s">
        <v>1732</v>
      </c>
      <c r="C833" t="str">
        <f t="shared" si="313"/>
        <v>Joseph Miller</v>
      </c>
      <c r="D833" t="s">
        <v>17</v>
      </c>
      <c r="E833" t="str">
        <f t="shared" si="314"/>
        <v>Male</v>
      </c>
      <c r="F833">
        <v>54</v>
      </c>
      <c r="G833" t="s">
        <v>180</v>
      </c>
      <c r="H833" t="s">
        <v>62</v>
      </c>
      <c r="I833" t="s">
        <v>7</v>
      </c>
      <c r="J833">
        <v>3</v>
      </c>
      <c r="K833" t="str" cm="1">
        <f t="array" ref="K833">_xlfn.IFS( J833&lt;=5,"0-5", J833&lt;=10,"6-10",J833&lt;=15,"11-15",J833&lt;=20,"16-20",J833&gt;20,"20+")</f>
        <v>0-5</v>
      </c>
      <c r="L833">
        <v>20</v>
      </c>
      <c r="M833" s="2">
        <f t="shared" si="322"/>
        <v>20</v>
      </c>
      <c r="N833">
        <v>1.6</v>
      </c>
      <c r="O833" t="s">
        <v>64</v>
      </c>
      <c r="P833" t="s">
        <v>2075</v>
      </c>
      <c r="Q833" s="1">
        <v>0.7</v>
      </c>
      <c r="R833" s="1">
        <f t="shared" si="323"/>
        <v>0.7</v>
      </c>
    </row>
    <row r="834" spans="1:18" x14ac:dyDescent="0.2">
      <c r="A834" t="s">
        <v>1733</v>
      </c>
      <c r="B834" t="s">
        <v>1734</v>
      </c>
      <c r="C834" t="str">
        <f t="shared" si="313"/>
        <v>Julia Reid</v>
      </c>
      <c r="D834" t="s">
        <v>67</v>
      </c>
      <c r="E834" t="str">
        <f t="shared" si="314"/>
        <v>Female</v>
      </c>
      <c r="F834">
        <v>34</v>
      </c>
      <c r="G834" t="s">
        <v>129</v>
      </c>
      <c r="H834" t="s">
        <v>130</v>
      </c>
      <c r="I834" t="s">
        <v>104</v>
      </c>
      <c r="J834">
        <v>4</v>
      </c>
      <c r="K834" t="str" cm="1">
        <f t="array" ref="K834">_xlfn.IFS( J834&lt;=5,"0-5", J834&lt;=10,"6-10",J834&lt;=15,"11-15",J834&lt;=20,"16-20",J834&gt;20,"20+")</f>
        <v>0-5</v>
      </c>
      <c r="L834" t="s">
        <v>35</v>
      </c>
      <c r="M834" t="str">
        <f>SUBSTITUTE(L834,"$"," ")</f>
        <v xml:space="preserve"> 30</v>
      </c>
      <c r="N834">
        <v>3.1</v>
      </c>
      <c r="Q834" s="1">
        <v>0.9</v>
      </c>
      <c r="R834" s="1">
        <f t="shared" si="323"/>
        <v>0.9</v>
      </c>
    </row>
    <row r="835" spans="1:18" x14ac:dyDescent="0.2">
      <c r="A835" t="s">
        <v>1735</v>
      </c>
      <c r="B835" t="s">
        <v>1736</v>
      </c>
      <c r="C835" t="str">
        <f t="shared" si="313"/>
        <v>Samantha Matthews</v>
      </c>
      <c r="D835" t="s">
        <v>67</v>
      </c>
      <c r="E835" t="str">
        <f t="shared" si="314"/>
        <v>Female</v>
      </c>
      <c r="F835">
        <v>20</v>
      </c>
      <c r="G835" t="s">
        <v>5</v>
      </c>
      <c r="H835" t="s">
        <v>6</v>
      </c>
      <c r="I835" t="s">
        <v>79</v>
      </c>
      <c r="J835">
        <v>1</v>
      </c>
      <c r="K835" t="str" cm="1">
        <f t="array" ref="K835">_xlfn.IFS( J835&lt;=5,"0-5", J835&lt;=10,"6-10",J835&lt;=15,"11-15",J835&lt;=20,"16-20",J835&gt;20,"20+")</f>
        <v>0-5</v>
      </c>
      <c r="L835">
        <v>50</v>
      </c>
      <c r="M835" s="2">
        <f t="shared" ref="M835:M836" si="324">L835</f>
        <v>50</v>
      </c>
      <c r="N835">
        <v>3.4</v>
      </c>
      <c r="O835">
        <v>1</v>
      </c>
      <c r="P835" t="s">
        <v>2075</v>
      </c>
      <c r="Q835">
        <v>79</v>
      </c>
      <c r="R835" s="3">
        <f>Q835/100</f>
        <v>0.79</v>
      </c>
    </row>
    <row r="836" spans="1:18" x14ac:dyDescent="0.2">
      <c r="A836" t="s">
        <v>1737</v>
      </c>
      <c r="B836" t="s">
        <v>1738</v>
      </c>
      <c r="C836" t="str">
        <f t="shared" si="313"/>
        <v>Brian Bailey</v>
      </c>
      <c r="D836" t="s">
        <v>17</v>
      </c>
      <c r="E836" t="str">
        <f t="shared" si="314"/>
        <v>Male</v>
      </c>
      <c r="F836">
        <v>29</v>
      </c>
      <c r="G836" t="s">
        <v>18</v>
      </c>
      <c r="H836" t="s">
        <v>19</v>
      </c>
      <c r="I836" t="s">
        <v>34</v>
      </c>
      <c r="J836">
        <v>8</v>
      </c>
      <c r="K836" t="str" cm="1">
        <f t="array" ref="K836">_xlfn.IFS( J836&lt;=5,"0-5", J836&lt;=10,"6-10",J836&lt;=15,"11-15",J836&lt;=20,"16-20",J836&gt;20,"20+")</f>
        <v>6-10</v>
      </c>
      <c r="L836">
        <v>40</v>
      </c>
      <c r="M836" s="2">
        <f t="shared" si="324"/>
        <v>40</v>
      </c>
      <c r="N836">
        <v>3.1</v>
      </c>
      <c r="O836" t="s">
        <v>21</v>
      </c>
      <c r="P836" t="s">
        <v>2074</v>
      </c>
      <c r="Q836" s="1">
        <v>0.6</v>
      </c>
      <c r="R836" s="1">
        <f>Q836</f>
        <v>0.6</v>
      </c>
    </row>
    <row r="837" spans="1:18" x14ac:dyDescent="0.2">
      <c r="A837" t="s">
        <v>1739</v>
      </c>
      <c r="B837" t="s">
        <v>1740</v>
      </c>
      <c r="C837" t="str">
        <f t="shared" si="313"/>
        <v>Toni Hinton</v>
      </c>
      <c r="D837" t="s">
        <v>29</v>
      </c>
      <c r="E837" t="str">
        <f t="shared" si="314"/>
        <v>Female</v>
      </c>
      <c r="F837">
        <v>57</v>
      </c>
      <c r="G837" t="s">
        <v>57</v>
      </c>
      <c r="H837" t="s">
        <v>12</v>
      </c>
      <c r="I837" t="s">
        <v>79</v>
      </c>
      <c r="J837">
        <v>11</v>
      </c>
      <c r="K837" t="str" cm="1">
        <f t="array" ref="K837">_xlfn.IFS( J837&lt;=5,"0-5", J837&lt;=10,"6-10",J837&lt;=15,"11-15",J837&lt;=20,"16-20",J837&gt;20,"20+")</f>
        <v>11-15</v>
      </c>
      <c r="L837" t="s">
        <v>42</v>
      </c>
      <c r="M837" t="str">
        <f t="shared" ref="M837:M838" si="325">_xlfn.TEXTAFTER(L837, " ")</f>
        <v>75</v>
      </c>
      <c r="N837">
        <v>2.2999999999999998</v>
      </c>
      <c r="O837">
        <v>0</v>
      </c>
    </row>
    <row r="838" spans="1:18" x14ac:dyDescent="0.2">
      <c r="A838" t="s">
        <v>1741</v>
      </c>
      <c r="B838" t="s">
        <v>1742</v>
      </c>
      <c r="C838" t="str">
        <f t="shared" si="313"/>
        <v>Robin Ortiz</v>
      </c>
      <c r="D838" t="s">
        <v>24</v>
      </c>
      <c r="E838" t="str">
        <f t="shared" si="314"/>
        <v>Female</v>
      </c>
      <c r="F838">
        <v>36</v>
      </c>
      <c r="G838" t="s">
        <v>32</v>
      </c>
      <c r="H838" t="s">
        <v>33</v>
      </c>
      <c r="I838" t="s">
        <v>34</v>
      </c>
      <c r="J838">
        <v>8</v>
      </c>
      <c r="K838" t="str" cm="1">
        <f t="array" ref="K838">_xlfn.IFS( J838&lt;=5,"0-5", J838&lt;=10,"6-10",J838&lt;=15,"11-15",J838&lt;=20,"16-20",J838&gt;20,"20+")</f>
        <v>6-10</v>
      </c>
      <c r="L838" t="s">
        <v>45</v>
      </c>
      <c r="M838" t="str">
        <f t="shared" si="325"/>
        <v>40</v>
      </c>
      <c r="O838" t="s">
        <v>21</v>
      </c>
      <c r="Q838" s="1">
        <v>0.8</v>
      </c>
      <c r="R838" s="1">
        <f>Q838</f>
        <v>0.8</v>
      </c>
    </row>
    <row r="839" spans="1:18" x14ac:dyDescent="0.2">
      <c r="A839" t="s">
        <v>1743</v>
      </c>
      <c r="B839" t="s">
        <v>1744</v>
      </c>
      <c r="C839" t="str">
        <f t="shared" si="313"/>
        <v>Adam Griffith</v>
      </c>
      <c r="D839" t="s">
        <v>87</v>
      </c>
      <c r="E839" t="str">
        <f t="shared" si="314"/>
        <v>Male</v>
      </c>
      <c r="F839">
        <v>51</v>
      </c>
      <c r="G839" t="s">
        <v>102</v>
      </c>
      <c r="H839" t="s">
        <v>103</v>
      </c>
      <c r="I839" t="s">
        <v>25</v>
      </c>
      <c r="J839">
        <v>32</v>
      </c>
      <c r="K839" t="str" cm="1">
        <f t="array" ref="K839">_xlfn.IFS( J839&lt;=5,"0-5", J839&lt;=10,"6-10",J839&lt;=15,"11-15",J839&lt;=20,"16-20",J839&gt;20,"20+")</f>
        <v>20+</v>
      </c>
      <c r="L839" t="s">
        <v>54</v>
      </c>
      <c r="M839" t="str">
        <f>SUBSTITUTE(L839,"$"," ")</f>
        <v xml:space="preserve"> 50</v>
      </c>
      <c r="N839">
        <v>3.2</v>
      </c>
      <c r="O839">
        <v>0</v>
      </c>
      <c r="Q839">
        <v>88</v>
      </c>
      <c r="R839" s="3">
        <f>Q839/100</f>
        <v>0.88</v>
      </c>
    </row>
    <row r="840" spans="1:18" x14ac:dyDescent="0.2">
      <c r="A840" t="s">
        <v>1745</v>
      </c>
      <c r="B840" t="s">
        <v>1746</v>
      </c>
      <c r="C840" t="str">
        <f t="shared" si="313"/>
        <v>Daniel Roberson</v>
      </c>
      <c r="D840" t="s">
        <v>38</v>
      </c>
      <c r="E840" t="str">
        <f t="shared" si="314"/>
        <v>Male</v>
      </c>
      <c r="F840">
        <v>44</v>
      </c>
      <c r="G840" t="s">
        <v>83</v>
      </c>
      <c r="H840" t="s">
        <v>84</v>
      </c>
      <c r="I840" t="s">
        <v>63</v>
      </c>
      <c r="J840">
        <v>4</v>
      </c>
      <c r="K840" t="str" cm="1">
        <f t="array" ref="K840">_xlfn.IFS( J840&lt;=5,"0-5", J840&lt;=10,"6-10",J840&lt;=15,"11-15",J840&lt;=20,"16-20",J840&gt;20,"20+")</f>
        <v>0-5</v>
      </c>
      <c r="L840" t="s">
        <v>99</v>
      </c>
      <c r="M840" t="str">
        <f>_xlfn.TEXTAFTER(L840, " ")</f>
        <v>30</v>
      </c>
      <c r="N840">
        <v>0</v>
      </c>
      <c r="O840" t="s">
        <v>21</v>
      </c>
      <c r="Q840" s="1">
        <v>0.8</v>
      </c>
      <c r="R840" s="1">
        <f t="shared" ref="R840:R843" si="326">Q840</f>
        <v>0.8</v>
      </c>
    </row>
    <row r="841" spans="1:18" x14ac:dyDescent="0.2">
      <c r="A841" t="s">
        <v>1747</v>
      </c>
      <c r="B841" t="s">
        <v>1748</v>
      </c>
      <c r="C841" t="str">
        <f t="shared" si="313"/>
        <v>Dale Haynes</v>
      </c>
      <c r="D841" t="s">
        <v>87</v>
      </c>
      <c r="E841" t="str">
        <f t="shared" si="314"/>
        <v>Male</v>
      </c>
      <c r="F841">
        <v>58</v>
      </c>
      <c r="G841" t="s">
        <v>180</v>
      </c>
      <c r="H841" t="s">
        <v>62</v>
      </c>
      <c r="I841" t="s">
        <v>68</v>
      </c>
      <c r="J841">
        <v>33</v>
      </c>
      <c r="K841" t="str" cm="1">
        <f t="array" ref="K841">_xlfn.IFS( J841&lt;=5,"0-5", J841&lt;=10,"6-10",J841&lt;=15,"11-15",J841&lt;=20,"16-20",J841&gt;20,"20+")</f>
        <v>20+</v>
      </c>
      <c r="L841">
        <v>30</v>
      </c>
      <c r="M841" s="2">
        <f>L841</f>
        <v>30</v>
      </c>
      <c r="N841">
        <v>3.3</v>
      </c>
      <c r="O841" t="s">
        <v>64</v>
      </c>
      <c r="P841" t="s">
        <v>2075</v>
      </c>
      <c r="Q841" s="1">
        <v>0.71</v>
      </c>
      <c r="R841" s="1">
        <f t="shared" si="326"/>
        <v>0.71</v>
      </c>
    </row>
    <row r="842" spans="1:18" x14ac:dyDescent="0.2">
      <c r="A842" t="s">
        <v>1749</v>
      </c>
      <c r="B842" t="s">
        <v>1750</v>
      </c>
      <c r="C842" t="str">
        <f t="shared" si="313"/>
        <v>Emily Scott</v>
      </c>
      <c r="D842" t="s">
        <v>4</v>
      </c>
      <c r="E842" t="str">
        <f t="shared" si="314"/>
        <v>Female</v>
      </c>
      <c r="F842">
        <v>38</v>
      </c>
      <c r="G842" t="s">
        <v>143</v>
      </c>
      <c r="H842" t="s">
        <v>144</v>
      </c>
      <c r="I842" t="s">
        <v>13</v>
      </c>
      <c r="J842">
        <v>14</v>
      </c>
      <c r="K842" t="str" cm="1">
        <f t="array" ref="K842">_xlfn.IFS( J842&lt;=5,"0-5", J842&lt;=10,"6-10",J842&lt;=15,"11-15",J842&lt;=20,"16-20",J842&gt;20,"20+")</f>
        <v>11-15</v>
      </c>
      <c r="M842"/>
      <c r="N842">
        <v>1.1000000000000001</v>
      </c>
      <c r="O842">
        <v>1</v>
      </c>
      <c r="Q842" s="1">
        <v>0.76</v>
      </c>
      <c r="R842" s="1">
        <f t="shared" si="326"/>
        <v>0.76</v>
      </c>
    </row>
    <row r="843" spans="1:18" x14ac:dyDescent="0.2">
      <c r="A843" t="s">
        <v>1751</v>
      </c>
      <c r="B843" t="s">
        <v>1752</v>
      </c>
      <c r="C843" t="str">
        <f t="shared" si="313"/>
        <v>David Brown</v>
      </c>
      <c r="D843" t="s">
        <v>82</v>
      </c>
      <c r="E843" t="str">
        <f t="shared" si="314"/>
        <v>Male</v>
      </c>
      <c r="F843">
        <v>24</v>
      </c>
      <c r="G843" t="s">
        <v>48</v>
      </c>
      <c r="H843" t="s">
        <v>12</v>
      </c>
      <c r="I843" t="s">
        <v>63</v>
      </c>
      <c r="J843">
        <v>6</v>
      </c>
      <c r="K843" t="str" cm="1">
        <f t="array" ref="K843">_xlfn.IFS( J843&lt;=5,"0-5", J843&lt;=10,"6-10",J843&lt;=15,"11-15",J843&lt;=20,"16-20",J843&gt;20,"20+")</f>
        <v>6-10</v>
      </c>
      <c r="L843" t="s">
        <v>99</v>
      </c>
      <c r="M843" t="str">
        <f t="shared" ref="M843:M844" si="327">_xlfn.TEXTAFTER(L843, " ")</f>
        <v>30</v>
      </c>
      <c r="N843">
        <v>4.5999999999999996</v>
      </c>
      <c r="O843">
        <v>1</v>
      </c>
      <c r="Q843" s="1">
        <v>0.93</v>
      </c>
      <c r="R843" s="1">
        <f t="shared" si="326"/>
        <v>0.93</v>
      </c>
    </row>
    <row r="844" spans="1:18" x14ac:dyDescent="0.2">
      <c r="A844" t="s">
        <v>1753</v>
      </c>
      <c r="B844" t="s">
        <v>1754</v>
      </c>
      <c r="C844" t="str">
        <f t="shared" si="313"/>
        <v>Stephanie Guzman</v>
      </c>
      <c r="D844" t="s">
        <v>24</v>
      </c>
      <c r="E844" t="str">
        <f t="shared" si="314"/>
        <v>Female</v>
      </c>
      <c r="F844">
        <v>30</v>
      </c>
      <c r="G844" t="s">
        <v>52</v>
      </c>
      <c r="H844" t="s">
        <v>53</v>
      </c>
      <c r="I844" t="s">
        <v>7</v>
      </c>
      <c r="J844">
        <v>5</v>
      </c>
      <c r="K844" t="str" cm="1">
        <f t="array" ref="K844">_xlfn.IFS( J844&lt;=5,"0-5", J844&lt;=10,"6-10",J844&lt;=15,"11-15",J844&lt;=20,"16-20",J844&gt;20,"20+")</f>
        <v>0-5</v>
      </c>
      <c r="L844" t="s">
        <v>99</v>
      </c>
      <c r="M844" t="str">
        <f t="shared" si="327"/>
        <v>30</v>
      </c>
      <c r="O844">
        <v>0</v>
      </c>
    </row>
    <row r="845" spans="1:18" x14ac:dyDescent="0.2">
      <c r="A845" t="s">
        <v>1755</v>
      </c>
      <c r="B845" t="s">
        <v>1756</v>
      </c>
      <c r="C845" t="str">
        <f t="shared" si="313"/>
        <v>Maxwell Johnson</v>
      </c>
      <c r="D845" t="s">
        <v>51</v>
      </c>
      <c r="E845" t="str">
        <f t="shared" si="314"/>
        <v>Male</v>
      </c>
      <c r="F845">
        <v>25</v>
      </c>
      <c r="G845" t="s">
        <v>39</v>
      </c>
      <c r="H845" t="s">
        <v>40</v>
      </c>
      <c r="I845" t="s">
        <v>68</v>
      </c>
      <c r="J845">
        <v>3</v>
      </c>
      <c r="K845" t="str" cm="1">
        <f t="array" ref="K845">_xlfn.IFS( J845&lt;=5,"0-5", J845&lt;=10,"6-10",J845&lt;=15,"11-15",J845&lt;=20,"16-20",J845&gt;20,"20+")</f>
        <v>0-5</v>
      </c>
      <c r="L845">
        <v>75</v>
      </c>
      <c r="M845" s="2">
        <f>L845</f>
        <v>75</v>
      </c>
      <c r="O845">
        <v>0</v>
      </c>
      <c r="P845" t="s">
        <v>2074</v>
      </c>
      <c r="Q845" s="1">
        <v>0.83</v>
      </c>
      <c r="R845" s="1">
        <f t="shared" ref="R845:R847" si="328">Q845</f>
        <v>0.83</v>
      </c>
    </row>
    <row r="846" spans="1:18" x14ac:dyDescent="0.2">
      <c r="A846" t="s">
        <v>1757</v>
      </c>
      <c r="B846" t="s">
        <v>1758</v>
      </c>
      <c r="C846" t="str">
        <f t="shared" si="313"/>
        <v>Reginald Stephens</v>
      </c>
      <c r="D846" t="s">
        <v>82</v>
      </c>
      <c r="E846" t="str">
        <f t="shared" si="314"/>
        <v>Male</v>
      </c>
      <c r="F846">
        <v>54</v>
      </c>
      <c r="G846" t="s">
        <v>39</v>
      </c>
      <c r="H846" t="s">
        <v>40</v>
      </c>
      <c r="I846" t="s">
        <v>13</v>
      </c>
      <c r="J846">
        <v>17</v>
      </c>
      <c r="K846" t="str" cm="1">
        <f t="array" ref="K846">_xlfn.IFS( J846&lt;=5,"0-5", J846&lt;=10,"6-10",J846&lt;=15,"11-15",J846&lt;=20,"16-20",J846&gt;20,"20+")</f>
        <v>16-20</v>
      </c>
      <c r="L846" t="s">
        <v>219</v>
      </c>
      <c r="M846" t="str">
        <f>SUBSTITUTE(L846,"$"," ")</f>
        <v xml:space="preserve"> 100</v>
      </c>
      <c r="N846">
        <v>0</v>
      </c>
      <c r="O846">
        <v>0</v>
      </c>
      <c r="Q846" s="1">
        <v>0.71</v>
      </c>
      <c r="R846" s="1">
        <f t="shared" si="328"/>
        <v>0.71</v>
      </c>
    </row>
    <row r="847" spans="1:18" x14ac:dyDescent="0.2">
      <c r="A847" t="s">
        <v>1759</v>
      </c>
      <c r="B847" t="s">
        <v>1760</v>
      </c>
      <c r="C847" t="str">
        <f t="shared" si="313"/>
        <v>Justin Jones</v>
      </c>
      <c r="D847" t="s">
        <v>17</v>
      </c>
      <c r="E847" t="str">
        <f t="shared" si="314"/>
        <v>Male</v>
      </c>
      <c r="F847">
        <v>54</v>
      </c>
      <c r="G847" t="s">
        <v>5</v>
      </c>
      <c r="H847" t="s">
        <v>6</v>
      </c>
      <c r="I847" t="s">
        <v>68</v>
      </c>
      <c r="J847">
        <v>9</v>
      </c>
      <c r="K847" t="str" cm="1">
        <f t="array" ref="K847">_xlfn.IFS( J847&lt;=5,"0-5", J847&lt;=10,"6-10",J847&lt;=15,"11-15",J847&lt;=20,"16-20",J847&gt;20,"20+")</f>
        <v>6-10</v>
      </c>
      <c r="L847" t="s">
        <v>304</v>
      </c>
      <c r="M847" t="str">
        <f>_xlfn.TEXTAFTER(L847, " ")</f>
        <v>20</v>
      </c>
      <c r="N847">
        <v>0</v>
      </c>
      <c r="O847" t="s">
        <v>58</v>
      </c>
      <c r="Q847" s="1">
        <v>0.96</v>
      </c>
      <c r="R847" s="1">
        <f t="shared" si="328"/>
        <v>0.96</v>
      </c>
    </row>
    <row r="848" spans="1:18" x14ac:dyDescent="0.2">
      <c r="A848" t="s">
        <v>1761</v>
      </c>
      <c r="B848" t="s">
        <v>1762</v>
      </c>
      <c r="C848" t="str">
        <f t="shared" si="313"/>
        <v>Kristine Garcia</v>
      </c>
      <c r="D848" t="s">
        <v>24</v>
      </c>
      <c r="E848" t="str">
        <f t="shared" si="314"/>
        <v>Female</v>
      </c>
      <c r="F848">
        <v>53</v>
      </c>
      <c r="G848" t="s">
        <v>125</v>
      </c>
      <c r="H848" t="s">
        <v>126</v>
      </c>
      <c r="I848" t="s">
        <v>20</v>
      </c>
      <c r="J848">
        <v>16</v>
      </c>
      <c r="K848" t="str" cm="1">
        <f t="array" ref="K848">_xlfn.IFS( J848&lt;=5,"0-5", J848&lt;=10,"6-10",J848&lt;=15,"11-15",J848&lt;=20,"16-20",J848&gt;20,"20+")</f>
        <v>16-20</v>
      </c>
      <c r="L848">
        <v>40</v>
      </c>
      <c r="M848" s="2">
        <f t="shared" ref="M848:M849" si="329">L848</f>
        <v>40</v>
      </c>
      <c r="N848">
        <v>0</v>
      </c>
      <c r="O848" t="s">
        <v>149</v>
      </c>
      <c r="P848" t="s">
        <v>2074</v>
      </c>
    </row>
    <row r="849" spans="1:18" x14ac:dyDescent="0.2">
      <c r="A849" t="s">
        <v>1763</v>
      </c>
      <c r="B849" t="s">
        <v>1764</v>
      </c>
      <c r="C849" t="str">
        <f t="shared" si="313"/>
        <v>John Nguyen</v>
      </c>
      <c r="D849" t="s">
        <v>17</v>
      </c>
      <c r="E849" t="str">
        <f t="shared" si="314"/>
        <v>Male</v>
      </c>
      <c r="F849">
        <v>22</v>
      </c>
      <c r="G849" t="s">
        <v>114</v>
      </c>
      <c r="H849" t="s">
        <v>115</v>
      </c>
      <c r="I849" t="s">
        <v>34</v>
      </c>
      <c r="J849">
        <v>3</v>
      </c>
      <c r="K849" t="str" cm="1">
        <f t="array" ref="K849">_xlfn.IFS( J849&lt;=5,"0-5", J849&lt;=10,"6-10",J849&lt;=15,"11-15",J849&lt;=20,"16-20",J849&gt;20,"20+")</f>
        <v>0-5</v>
      </c>
      <c r="L849">
        <v>75</v>
      </c>
      <c r="M849" s="2">
        <f t="shared" si="329"/>
        <v>75</v>
      </c>
      <c r="N849">
        <v>3.4</v>
      </c>
      <c r="O849" t="s">
        <v>64</v>
      </c>
      <c r="P849" t="s">
        <v>2075</v>
      </c>
      <c r="Q849" s="1">
        <v>0.65</v>
      </c>
      <c r="R849" s="1">
        <f>Q849</f>
        <v>0.65</v>
      </c>
    </row>
    <row r="850" spans="1:18" x14ac:dyDescent="0.2">
      <c r="A850" t="s">
        <v>1765</v>
      </c>
      <c r="B850" t="s">
        <v>1766</v>
      </c>
      <c r="C850" t="str">
        <f t="shared" si="313"/>
        <v>Anna Fleming</v>
      </c>
      <c r="D850" t="s">
        <v>29</v>
      </c>
      <c r="E850" t="str">
        <f t="shared" si="314"/>
        <v>Female</v>
      </c>
      <c r="F850">
        <v>23</v>
      </c>
      <c r="G850" t="s">
        <v>169</v>
      </c>
      <c r="H850" t="s">
        <v>62</v>
      </c>
      <c r="I850" t="s">
        <v>41</v>
      </c>
      <c r="J850">
        <v>2</v>
      </c>
      <c r="K850" t="str" cm="1">
        <f t="array" ref="K850">_xlfn.IFS( J850&lt;=5,"0-5", J850&lt;=10,"6-10",J850&lt;=15,"11-15",J850&lt;=20,"16-20",J850&gt;20,"20+")</f>
        <v>0-5</v>
      </c>
      <c r="L850" t="s">
        <v>304</v>
      </c>
      <c r="M850" t="str">
        <f>_xlfn.TEXTAFTER(L850, " ")</f>
        <v>20</v>
      </c>
      <c r="N850">
        <v>1.3</v>
      </c>
      <c r="O850" t="s">
        <v>21</v>
      </c>
    </row>
    <row r="851" spans="1:18" x14ac:dyDescent="0.2">
      <c r="A851" t="s">
        <v>1767</v>
      </c>
      <c r="B851" t="s">
        <v>1768</v>
      </c>
      <c r="C851" t="str">
        <f t="shared" si="313"/>
        <v>Linda Williamson</v>
      </c>
      <c r="D851" t="s">
        <v>10</v>
      </c>
      <c r="E851" t="str">
        <f t="shared" si="314"/>
        <v>Female</v>
      </c>
      <c r="F851">
        <v>47</v>
      </c>
      <c r="G851" t="s">
        <v>125</v>
      </c>
      <c r="H851" t="s">
        <v>126</v>
      </c>
      <c r="I851" t="s">
        <v>68</v>
      </c>
      <c r="J851">
        <v>16</v>
      </c>
      <c r="K851" t="str" cm="1">
        <f t="array" ref="K851">_xlfn.IFS( J851&lt;=5,"0-5", J851&lt;=10,"6-10",J851&lt;=15,"11-15",J851&lt;=20,"16-20",J851&gt;20,"20+")</f>
        <v>16-20</v>
      </c>
      <c r="L851">
        <v>50</v>
      </c>
      <c r="M851" s="2">
        <f t="shared" ref="M851:M852" si="330">L851</f>
        <v>50</v>
      </c>
      <c r="N851">
        <v>1.9</v>
      </c>
      <c r="O851">
        <v>0</v>
      </c>
      <c r="P851" t="s">
        <v>2074</v>
      </c>
      <c r="Q851" s="1">
        <v>0.71</v>
      </c>
      <c r="R851" s="1">
        <f>Q851</f>
        <v>0.71</v>
      </c>
    </row>
    <row r="852" spans="1:18" x14ac:dyDescent="0.2">
      <c r="A852" t="s">
        <v>1769</v>
      </c>
      <c r="B852" t="s">
        <v>1770</v>
      </c>
      <c r="C852" t="str">
        <f t="shared" si="313"/>
        <v>Roy Wilson</v>
      </c>
      <c r="D852" t="s">
        <v>87</v>
      </c>
      <c r="E852" t="str">
        <f t="shared" si="314"/>
        <v>Male</v>
      </c>
      <c r="F852">
        <v>24</v>
      </c>
      <c r="G852" t="s">
        <v>125</v>
      </c>
      <c r="H852" t="s">
        <v>126</v>
      </c>
      <c r="I852" t="s">
        <v>25</v>
      </c>
      <c r="J852">
        <v>6</v>
      </c>
      <c r="K852" t="str" cm="1">
        <f t="array" ref="K852">_xlfn.IFS( J852&lt;=5,"0-5", J852&lt;=10,"6-10",J852&lt;=15,"11-15",J852&lt;=20,"16-20",J852&gt;20,"20+")</f>
        <v>6-10</v>
      </c>
      <c r="L852">
        <v>50</v>
      </c>
      <c r="M852" s="2">
        <f t="shared" si="330"/>
        <v>50</v>
      </c>
      <c r="N852">
        <v>1.4</v>
      </c>
      <c r="O852" t="s">
        <v>64</v>
      </c>
      <c r="P852" t="s">
        <v>2075</v>
      </c>
      <c r="Q852">
        <v>63</v>
      </c>
      <c r="R852" s="3">
        <f>Q852/100</f>
        <v>0.63</v>
      </c>
    </row>
    <row r="853" spans="1:18" x14ac:dyDescent="0.2">
      <c r="A853" t="s">
        <v>1771</v>
      </c>
      <c r="B853" t="s">
        <v>1772</v>
      </c>
      <c r="C853" t="str">
        <f t="shared" si="313"/>
        <v>Jennifer Pierce</v>
      </c>
      <c r="D853" t="s">
        <v>4</v>
      </c>
      <c r="E853" t="str">
        <f t="shared" si="314"/>
        <v>Female</v>
      </c>
      <c r="F853">
        <v>57</v>
      </c>
      <c r="G853" t="s">
        <v>83</v>
      </c>
      <c r="H853" t="s">
        <v>84</v>
      </c>
      <c r="I853" t="s">
        <v>63</v>
      </c>
      <c r="J853">
        <v>10</v>
      </c>
      <c r="K853" t="str" cm="1">
        <f t="array" ref="K853">_xlfn.IFS( J853&lt;=5,"0-5", J853&lt;=10,"6-10",J853&lt;=15,"11-15",J853&lt;=20,"16-20",J853&gt;20,"20+")</f>
        <v>6-10</v>
      </c>
      <c r="L853" t="s">
        <v>219</v>
      </c>
      <c r="M853" t="str">
        <f t="shared" ref="M853:M855" si="331">SUBSTITUTE(L853,"$"," ")</f>
        <v xml:space="preserve"> 100</v>
      </c>
      <c r="N853">
        <v>4.3</v>
      </c>
      <c r="O853" t="b">
        <v>0</v>
      </c>
    </row>
    <row r="854" spans="1:18" x14ac:dyDescent="0.2">
      <c r="A854" t="s">
        <v>1773</v>
      </c>
      <c r="B854" t="s">
        <v>1774</v>
      </c>
      <c r="C854" t="str">
        <f t="shared" si="313"/>
        <v>Jason Johnson</v>
      </c>
      <c r="D854" t="s">
        <v>87</v>
      </c>
      <c r="E854" t="str">
        <f t="shared" si="314"/>
        <v>Male</v>
      </c>
      <c r="F854">
        <v>48</v>
      </c>
      <c r="G854" t="s">
        <v>180</v>
      </c>
      <c r="H854" t="s">
        <v>62</v>
      </c>
      <c r="I854" t="s">
        <v>20</v>
      </c>
      <c r="J854">
        <v>16</v>
      </c>
      <c r="K854" t="str" cm="1">
        <f t="array" ref="K854">_xlfn.IFS( J854&lt;=5,"0-5", J854&lt;=10,"6-10",J854&lt;=15,"11-15",J854&lt;=20,"16-20",J854&gt;20,"20+")</f>
        <v>16-20</v>
      </c>
      <c r="L854" t="s">
        <v>35</v>
      </c>
      <c r="M854" t="str">
        <f t="shared" si="331"/>
        <v xml:space="preserve"> 30</v>
      </c>
      <c r="O854" t="s">
        <v>149</v>
      </c>
      <c r="Q854" s="1">
        <v>0.97</v>
      </c>
      <c r="R854" s="1">
        <f>Q854</f>
        <v>0.97</v>
      </c>
    </row>
    <row r="855" spans="1:18" x14ac:dyDescent="0.2">
      <c r="A855" t="s">
        <v>1775</v>
      </c>
      <c r="B855" t="s">
        <v>1776</v>
      </c>
      <c r="C855" t="str">
        <f t="shared" si="313"/>
        <v>Jasmine Lane</v>
      </c>
      <c r="D855" t="s">
        <v>67</v>
      </c>
      <c r="E855" t="str">
        <f t="shared" si="314"/>
        <v>Female</v>
      </c>
      <c r="F855">
        <v>21</v>
      </c>
      <c r="G855" t="s">
        <v>52</v>
      </c>
      <c r="H855" t="s">
        <v>53</v>
      </c>
      <c r="I855" t="s">
        <v>63</v>
      </c>
      <c r="J855">
        <v>0</v>
      </c>
      <c r="K855" t="str" cm="1">
        <f t="array" ref="K855">_xlfn.IFS( J855&lt;=5,"0-5", J855&lt;=10,"6-10",J855&lt;=15,"11-15",J855&lt;=20,"16-20",J855&gt;20,"20+")</f>
        <v>0-5</v>
      </c>
      <c r="L855" t="s">
        <v>219</v>
      </c>
      <c r="M855" t="str">
        <f t="shared" si="331"/>
        <v xml:space="preserve"> 100</v>
      </c>
      <c r="N855">
        <v>4.3</v>
      </c>
      <c r="O855">
        <v>0</v>
      </c>
    </row>
    <row r="856" spans="1:18" x14ac:dyDescent="0.2">
      <c r="A856" t="s">
        <v>1777</v>
      </c>
      <c r="B856" t="s">
        <v>1778</v>
      </c>
      <c r="C856" t="str">
        <f t="shared" si="313"/>
        <v>Evan Soto</v>
      </c>
      <c r="D856" t="s">
        <v>38</v>
      </c>
      <c r="E856" t="str">
        <f t="shared" si="314"/>
        <v>Male</v>
      </c>
      <c r="F856">
        <v>33</v>
      </c>
      <c r="G856" t="s">
        <v>75</v>
      </c>
      <c r="H856" t="s">
        <v>76</v>
      </c>
      <c r="I856" t="s">
        <v>34</v>
      </c>
      <c r="J856">
        <v>13</v>
      </c>
      <c r="K856" t="str" cm="1">
        <f t="array" ref="K856">_xlfn.IFS( J856&lt;=5,"0-5", J856&lt;=10,"6-10",J856&lt;=15,"11-15",J856&lt;=20,"16-20",J856&gt;20,"20+")</f>
        <v>11-15</v>
      </c>
      <c r="L856" t="s">
        <v>42</v>
      </c>
      <c r="M856" t="str">
        <f>_xlfn.TEXTAFTER(L856, " ")</f>
        <v>75</v>
      </c>
      <c r="N856">
        <v>0</v>
      </c>
      <c r="O856" t="b">
        <v>1</v>
      </c>
    </row>
    <row r="857" spans="1:18" x14ac:dyDescent="0.2">
      <c r="A857" t="s">
        <v>1779</v>
      </c>
      <c r="B857" t="s">
        <v>1780</v>
      </c>
      <c r="C857" t="str">
        <f t="shared" si="313"/>
        <v>Kevin Serrano</v>
      </c>
      <c r="D857" t="s">
        <v>87</v>
      </c>
      <c r="E857" t="str">
        <f t="shared" si="314"/>
        <v>Male</v>
      </c>
      <c r="F857">
        <v>41</v>
      </c>
      <c r="G857" t="s">
        <v>52</v>
      </c>
      <c r="H857" t="s">
        <v>53</v>
      </c>
      <c r="I857" t="s">
        <v>79</v>
      </c>
      <c r="J857">
        <v>12</v>
      </c>
      <c r="K857" t="str" cm="1">
        <f t="array" ref="K857">_xlfn.IFS( J857&lt;=5,"0-5", J857&lt;=10,"6-10",J857&lt;=15,"11-15",J857&lt;=20,"16-20",J857&gt;20,"20+")</f>
        <v>11-15</v>
      </c>
      <c r="M857"/>
      <c r="N857">
        <v>1.3</v>
      </c>
      <c r="O857">
        <v>0</v>
      </c>
      <c r="Q857" s="1">
        <v>0.85</v>
      </c>
      <c r="R857" s="1">
        <f t="shared" ref="R857:R859" si="332">Q857</f>
        <v>0.85</v>
      </c>
    </row>
    <row r="858" spans="1:18" x14ac:dyDescent="0.2">
      <c r="A858" t="s">
        <v>1781</v>
      </c>
      <c r="B858" t="s">
        <v>1782</v>
      </c>
      <c r="C858" t="str">
        <f t="shared" si="313"/>
        <v>Nathaniel Benson</v>
      </c>
      <c r="D858" t="s">
        <v>51</v>
      </c>
      <c r="E858" t="str">
        <f t="shared" si="314"/>
        <v>Male</v>
      </c>
      <c r="F858">
        <v>40</v>
      </c>
      <c r="G858" t="s">
        <v>11</v>
      </c>
      <c r="H858" t="s">
        <v>12</v>
      </c>
      <c r="I858" t="s">
        <v>68</v>
      </c>
      <c r="J858">
        <v>13</v>
      </c>
      <c r="K858" t="str" cm="1">
        <f t="array" ref="K858">_xlfn.IFS( J858&lt;=5,"0-5", J858&lt;=10,"6-10",J858&lt;=15,"11-15",J858&lt;=20,"16-20",J858&gt;20,"20+")</f>
        <v>11-15</v>
      </c>
      <c r="L858" t="s">
        <v>88</v>
      </c>
      <c r="M858" t="str">
        <f t="shared" ref="M858:M859" si="333">_xlfn.TEXTAFTER(L858, " ")</f>
        <v>50</v>
      </c>
      <c r="N858">
        <v>2.9</v>
      </c>
      <c r="O858" t="s">
        <v>149</v>
      </c>
      <c r="Q858" s="1">
        <v>0.82</v>
      </c>
      <c r="R858" s="1">
        <f t="shared" si="332"/>
        <v>0.82</v>
      </c>
    </row>
    <row r="859" spans="1:18" x14ac:dyDescent="0.2">
      <c r="A859" t="s">
        <v>1783</v>
      </c>
      <c r="B859" t="s">
        <v>1784</v>
      </c>
      <c r="C859" t="str">
        <f t="shared" si="313"/>
        <v>Deanna Miles</v>
      </c>
      <c r="D859" t="s">
        <v>4</v>
      </c>
      <c r="E859" t="str">
        <f t="shared" si="314"/>
        <v>Female</v>
      </c>
      <c r="F859">
        <v>40</v>
      </c>
      <c r="G859" t="s">
        <v>169</v>
      </c>
      <c r="H859" t="s">
        <v>62</v>
      </c>
      <c r="I859" t="s">
        <v>20</v>
      </c>
      <c r="J859">
        <v>22</v>
      </c>
      <c r="K859" t="str" cm="1">
        <f t="array" ref="K859">_xlfn.IFS( J859&lt;=5,"0-5", J859&lt;=10,"6-10",J859&lt;=15,"11-15",J859&lt;=20,"16-20",J859&gt;20,"20+")</f>
        <v>20+</v>
      </c>
      <c r="L859" t="s">
        <v>45</v>
      </c>
      <c r="M859" t="str">
        <f t="shared" si="333"/>
        <v>40</v>
      </c>
      <c r="N859">
        <v>4.3</v>
      </c>
      <c r="O859">
        <v>0</v>
      </c>
      <c r="Q859" s="1">
        <v>0.95</v>
      </c>
      <c r="R859" s="1">
        <f t="shared" si="332"/>
        <v>0.95</v>
      </c>
    </row>
    <row r="860" spans="1:18" x14ac:dyDescent="0.2">
      <c r="A860" t="s">
        <v>1785</v>
      </c>
      <c r="B860" t="s">
        <v>1786</v>
      </c>
      <c r="C860" t="str">
        <f t="shared" si="313"/>
        <v>Beverly Roy</v>
      </c>
      <c r="D860" t="s">
        <v>67</v>
      </c>
      <c r="E860" t="str">
        <f t="shared" si="314"/>
        <v>Female</v>
      </c>
      <c r="F860">
        <v>20</v>
      </c>
      <c r="G860" t="s">
        <v>48</v>
      </c>
      <c r="H860" t="s">
        <v>12</v>
      </c>
      <c r="I860" t="s">
        <v>20</v>
      </c>
      <c r="J860">
        <v>1</v>
      </c>
      <c r="K860" t="str" cm="1">
        <f t="array" ref="K860">_xlfn.IFS( J860&lt;=5,"0-5", J860&lt;=10,"6-10",J860&lt;=15,"11-15",J860&lt;=20,"16-20",J860&gt;20,"20+")</f>
        <v>0-5</v>
      </c>
      <c r="M860"/>
      <c r="N860">
        <v>2.7</v>
      </c>
      <c r="O860">
        <v>0</v>
      </c>
      <c r="Q860">
        <v>94</v>
      </c>
      <c r="R860" s="3">
        <f>Q860/100</f>
        <v>0.94</v>
      </c>
    </row>
    <row r="861" spans="1:18" x14ac:dyDescent="0.2">
      <c r="A861" t="s">
        <v>1787</v>
      </c>
      <c r="B861" t="s">
        <v>1788</v>
      </c>
      <c r="C861" t="str">
        <f t="shared" si="313"/>
        <v>Heather Saunders</v>
      </c>
      <c r="D861" t="s">
        <v>24</v>
      </c>
      <c r="E861" t="str">
        <f t="shared" si="314"/>
        <v>Female</v>
      </c>
      <c r="F861">
        <v>42</v>
      </c>
      <c r="G861" t="s">
        <v>169</v>
      </c>
      <c r="H861" t="s">
        <v>62</v>
      </c>
      <c r="I861" t="s">
        <v>25</v>
      </c>
      <c r="K861" t="str" cm="1">
        <f t="array" ref="K861">_xlfn.IFS( J861&lt;=5,"0-5", J861&lt;=10,"6-10",J861&lt;=15,"11-15",J861&lt;=20,"16-20",J861&gt;20,"20+")</f>
        <v>0-5</v>
      </c>
      <c r="L861" t="s">
        <v>54</v>
      </c>
      <c r="M861" t="str">
        <f>SUBSTITUTE(L861,"$"," ")</f>
        <v xml:space="preserve"> 50</v>
      </c>
      <c r="N861">
        <v>4.2</v>
      </c>
      <c r="Q861" s="1">
        <v>0.96</v>
      </c>
      <c r="R861" s="1">
        <f t="shared" ref="R861:R868" si="334">Q861</f>
        <v>0.96</v>
      </c>
    </row>
    <row r="862" spans="1:18" x14ac:dyDescent="0.2">
      <c r="A862" t="s">
        <v>1789</v>
      </c>
      <c r="B862" t="s">
        <v>1790</v>
      </c>
      <c r="C862" t="str">
        <f t="shared" si="313"/>
        <v>Nicholas Guerrero</v>
      </c>
      <c r="D862" t="s">
        <v>38</v>
      </c>
      <c r="E862" t="str">
        <f t="shared" si="314"/>
        <v>Male</v>
      </c>
      <c r="F862">
        <v>32</v>
      </c>
      <c r="G862" t="s">
        <v>118</v>
      </c>
      <c r="H862" t="s">
        <v>12</v>
      </c>
      <c r="I862" t="s">
        <v>7</v>
      </c>
      <c r="J862">
        <v>12</v>
      </c>
      <c r="K862" t="str" cm="1">
        <f t="array" ref="K862">_xlfn.IFS( J862&lt;=5,"0-5", J862&lt;=10,"6-10",J862&lt;=15,"11-15",J862&lt;=20,"16-20",J862&gt;20,"20+")</f>
        <v>11-15</v>
      </c>
      <c r="L862">
        <v>40</v>
      </c>
      <c r="M862" s="2">
        <f t="shared" ref="M862:M866" si="335">L862</f>
        <v>40</v>
      </c>
      <c r="N862">
        <v>0</v>
      </c>
      <c r="O862" t="s">
        <v>58</v>
      </c>
      <c r="P862" t="s">
        <v>2075</v>
      </c>
      <c r="Q862" s="1">
        <v>0.63</v>
      </c>
      <c r="R862" s="1">
        <f t="shared" si="334"/>
        <v>0.63</v>
      </c>
    </row>
    <row r="863" spans="1:18" x14ac:dyDescent="0.2">
      <c r="A863" t="s">
        <v>1791</v>
      </c>
      <c r="B863" t="s">
        <v>1792</v>
      </c>
      <c r="C863" t="str">
        <f t="shared" si="313"/>
        <v>Christopher Johnson</v>
      </c>
      <c r="D863" t="s">
        <v>87</v>
      </c>
      <c r="E863" t="str">
        <f t="shared" si="314"/>
        <v>Male</v>
      </c>
      <c r="F863">
        <v>60</v>
      </c>
      <c r="G863" t="s">
        <v>75</v>
      </c>
      <c r="H863" t="s">
        <v>76</v>
      </c>
      <c r="I863" t="s">
        <v>34</v>
      </c>
      <c r="K863" t="str" cm="1">
        <f t="array" ref="K863">_xlfn.IFS( J863&lt;=5,"0-5", J863&lt;=10,"6-10",J863&lt;=15,"11-15",J863&lt;=20,"16-20",J863&gt;20,"20+")</f>
        <v>0-5</v>
      </c>
      <c r="L863">
        <v>20</v>
      </c>
      <c r="M863" s="2">
        <f t="shared" si="335"/>
        <v>20</v>
      </c>
      <c r="N863">
        <v>2.2000000000000002</v>
      </c>
      <c r="O863" t="b">
        <v>0</v>
      </c>
      <c r="P863" t="s">
        <v>2074</v>
      </c>
      <c r="Q863" s="1">
        <v>0.6</v>
      </c>
      <c r="R863" s="1">
        <f t="shared" si="334"/>
        <v>0.6</v>
      </c>
    </row>
    <row r="864" spans="1:18" x14ac:dyDescent="0.2">
      <c r="A864" t="s">
        <v>1793</v>
      </c>
      <c r="B864" t="s">
        <v>1794</v>
      </c>
      <c r="C864" t="str">
        <f t="shared" si="313"/>
        <v>Steven Flowers</v>
      </c>
      <c r="D864" t="s">
        <v>82</v>
      </c>
      <c r="E864" t="str">
        <f t="shared" si="314"/>
        <v>Male</v>
      </c>
      <c r="F864">
        <v>46</v>
      </c>
      <c r="G864" t="s">
        <v>129</v>
      </c>
      <c r="H864" t="s">
        <v>130</v>
      </c>
      <c r="I864" t="s">
        <v>104</v>
      </c>
      <c r="J864">
        <v>12</v>
      </c>
      <c r="K864" t="str" cm="1">
        <f t="array" ref="K864">_xlfn.IFS( J864&lt;=5,"0-5", J864&lt;=10,"6-10",J864&lt;=15,"11-15",J864&lt;=20,"16-20",J864&gt;20,"20+")</f>
        <v>11-15</v>
      </c>
      <c r="L864">
        <v>50</v>
      </c>
      <c r="M864" s="2">
        <f t="shared" si="335"/>
        <v>50</v>
      </c>
      <c r="N864">
        <v>4.7</v>
      </c>
      <c r="O864" t="s">
        <v>58</v>
      </c>
      <c r="P864" t="s">
        <v>2075</v>
      </c>
      <c r="Q864" s="1">
        <v>0.77</v>
      </c>
      <c r="R864" s="1">
        <f t="shared" si="334"/>
        <v>0.77</v>
      </c>
    </row>
    <row r="865" spans="1:18" x14ac:dyDescent="0.2">
      <c r="A865" t="s">
        <v>1795</v>
      </c>
      <c r="B865" t="s">
        <v>1796</v>
      </c>
      <c r="C865" t="str">
        <f t="shared" si="313"/>
        <v>Marvin Woods III</v>
      </c>
      <c r="D865" t="s">
        <v>17</v>
      </c>
      <c r="E865" t="str">
        <f t="shared" si="314"/>
        <v>Male</v>
      </c>
      <c r="F865">
        <v>29</v>
      </c>
      <c r="G865" t="s">
        <v>165</v>
      </c>
      <c r="H865" t="s">
        <v>166</v>
      </c>
      <c r="I865" t="s">
        <v>79</v>
      </c>
      <c r="J865">
        <v>0</v>
      </c>
      <c r="K865" t="str" cm="1">
        <f t="array" ref="K865">_xlfn.IFS( J865&lt;=5,"0-5", J865&lt;=10,"6-10",J865&lt;=15,"11-15",J865&lt;=20,"16-20",J865&gt;20,"20+")</f>
        <v>0-5</v>
      </c>
      <c r="L865">
        <v>30</v>
      </c>
      <c r="M865" s="2">
        <f t="shared" si="335"/>
        <v>30</v>
      </c>
      <c r="N865">
        <v>0</v>
      </c>
      <c r="O865">
        <v>0</v>
      </c>
      <c r="P865" t="s">
        <v>2074</v>
      </c>
      <c r="Q865" s="1">
        <v>0.63</v>
      </c>
      <c r="R865" s="1">
        <f t="shared" si="334"/>
        <v>0.63</v>
      </c>
    </row>
    <row r="866" spans="1:18" x14ac:dyDescent="0.2">
      <c r="A866" t="s">
        <v>1797</v>
      </c>
      <c r="B866" t="s">
        <v>1798</v>
      </c>
      <c r="C866" t="str">
        <f t="shared" si="313"/>
        <v>Michelle Cook</v>
      </c>
      <c r="D866" t="s">
        <v>10</v>
      </c>
      <c r="E866" t="str">
        <f t="shared" si="314"/>
        <v>Female</v>
      </c>
      <c r="F866">
        <v>39</v>
      </c>
      <c r="G866" t="s">
        <v>97</v>
      </c>
      <c r="H866" t="s">
        <v>98</v>
      </c>
      <c r="I866" t="s">
        <v>13</v>
      </c>
      <c r="J866">
        <v>18</v>
      </c>
      <c r="K866" t="str" cm="1">
        <f t="array" ref="K866">_xlfn.IFS( J866&lt;=5,"0-5", J866&lt;=10,"6-10",J866&lt;=15,"11-15",J866&lt;=20,"16-20",J866&gt;20,"20+")</f>
        <v>16-20</v>
      </c>
      <c r="L866">
        <v>20</v>
      </c>
      <c r="M866" s="2">
        <f t="shared" si="335"/>
        <v>20</v>
      </c>
      <c r="N866">
        <v>2.5</v>
      </c>
      <c r="O866" t="s">
        <v>58</v>
      </c>
      <c r="P866" t="s">
        <v>2075</v>
      </c>
      <c r="Q866" s="1">
        <v>0.61</v>
      </c>
      <c r="R866" s="1">
        <f t="shared" si="334"/>
        <v>0.61</v>
      </c>
    </row>
    <row r="867" spans="1:18" x14ac:dyDescent="0.2">
      <c r="A867" t="s">
        <v>1799</v>
      </c>
      <c r="B867" t="s">
        <v>1800</v>
      </c>
      <c r="C867" t="str">
        <f t="shared" si="313"/>
        <v>Logan Zamora</v>
      </c>
      <c r="D867" t="s">
        <v>51</v>
      </c>
      <c r="E867" t="str">
        <f t="shared" si="314"/>
        <v>Male</v>
      </c>
      <c r="F867">
        <v>55</v>
      </c>
      <c r="G867" t="s">
        <v>114</v>
      </c>
      <c r="H867" t="s">
        <v>115</v>
      </c>
      <c r="I867" t="s">
        <v>13</v>
      </c>
      <c r="J867">
        <v>2</v>
      </c>
      <c r="K867" t="str" cm="1">
        <f t="array" ref="K867">_xlfn.IFS( J867&lt;=5,"0-5", J867&lt;=10,"6-10",J867&lt;=15,"11-15",J867&lt;=20,"16-20",J867&gt;20,"20+")</f>
        <v>0-5</v>
      </c>
      <c r="L867" t="s">
        <v>54</v>
      </c>
      <c r="M867" t="str">
        <f>SUBSTITUTE(L867,"$"," ")</f>
        <v xml:space="preserve"> 50</v>
      </c>
      <c r="N867">
        <v>3.9</v>
      </c>
      <c r="O867" t="s">
        <v>58</v>
      </c>
      <c r="Q867" s="1">
        <v>0.88</v>
      </c>
      <c r="R867" s="1">
        <f t="shared" si="334"/>
        <v>0.88</v>
      </c>
    </row>
    <row r="868" spans="1:18" x14ac:dyDescent="0.2">
      <c r="A868" t="s">
        <v>1801</v>
      </c>
      <c r="B868" t="s">
        <v>1802</v>
      </c>
      <c r="C868" t="str">
        <f t="shared" si="313"/>
        <v>Casey Roberts</v>
      </c>
      <c r="D868" t="s">
        <v>38</v>
      </c>
      <c r="E868" t="str">
        <f t="shared" si="314"/>
        <v>Male</v>
      </c>
      <c r="F868">
        <v>55</v>
      </c>
      <c r="G868" t="s">
        <v>52</v>
      </c>
      <c r="H868" t="s">
        <v>53</v>
      </c>
      <c r="I868" t="s">
        <v>68</v>
      </c>
      <c r="K868" t="str" cm="1">
        <f t="array" ref="K868">_xlfn.IFS( J868&lt;=5,"0-5", J868&lt;=10,"6-10",J868&lt;=15,"11-15",J868&lt;=20,"16-20",J868&gt;20,"20+")</f>
        <v>0-5</v>
      </c>
      <c r="L868" t="s">
        <v>14</v>
      </c>
      <c r="M868" t="str">
        <f>_xlfn.TEXTAFTER(L868, " ")</f>
        <v>100</v>
      </c>
      <c r="N868">
        <v>1.2</v>
      </c>
      <c r="O868">
        <v>1</v>
      </c>
      <c r="Q868" s="1">
        <v>0.69</v>
      </c>
      <c r="R868" s="1">
        <f t="shared" si="334"/>
        <v>0.69</v>
      </c>
    </row>
    <row r="869" spans="1:18" x14ac:dyDescent="0.2">
      <c r="A869" t="s">
        <v>1803</v>
      </c>
      <c r="B869" t="s">
        <v>1804</v>
      </c>
      <c r="C869" t="str">
        <f t="shared" si="313"/>
        <v>Jerry Price</v>
      </c>
      <c r="D869" t="s">
        <v>87</v>
      </c>
      <c r="E869" t="str">
        <f t="shared" si="314"/>
        <v>Male</v>
      </c>
      <c r="F869">
        <v>40</v>
      </c>
      <c r="G869" t="s">
        <v>39</v>
      </c>
      <c r="H869" t="s">
        <v>40</v>
      </c>
      <c r="I869" t="s">
        <v>41</v>
      </c>
      <c r="J869">
        <v>2</v>
      </c>
      <c r="K869" t="str" cm="1">
        <f t="array" ref="K869">_xlfn.IFS( J869&lt;=5,"0-5", J869&lt;=10,"6-10",J869&lt;=15,"11-15",J869&lt;=20,"16-20",J869&gt;20,"20+")</f>
        <v>0-5</v>
      </c>
      <c r="L869">
        <v>75</v>
      </c>
      <c r="M869" s="2">
        <f>L869</f>
        <v>75</v>
      </c>
      <c r="N869">
        <v>4.5</v>
      </c>
      <c r="O869" t="s">
        <v>58</v>
      </c>
      <c r="P869" t="s">
        <v>2075</v>
      </c>
    </row>
    <row r="870" spans="1:18" x14ac:dyDescent="0.2">
      <c r="A870" t="s">
        <v>1805</v>
      </c>
      <c r="B870" t="s">
        <v>1806</v>
      </c>
      <c r="C870" t="str">
        <f t="shared" si="313"/>
        <v>Kelly Ellis</v>
      </c>
      <c r="D870" t="s">
        <v>4</v>
      </c>
      <c r="E870" t="str">
        <f t="shared" si="314"/>
        <v>Female</v>
      </c>
      <c r="F870">
        <v>56</v>
      </c>
      <c r="G870" t="s">
        <v>165</v>
      </c>
      <c r="H870" t="s">
        <v>166</v>
      </c>
      <c r="I870" t="s">
        <v>63</v>
      </c>
      <c r="J870">
        <v>35</v>
      </c>
      <c r="K870" t="str" cm="1">
        <f t="array" ref="K870">_xlfn.IFS( J870&lt;=5,"0-5", J870&lt;=10,"6-10",J870&lt;=15,"11-15",J870&lt;=20,"16-20",J870&gt;20,"20+")</f>
        <v>20+</v>
      </c>
      <c r="L870" t="s">
        <v>26</v>
      </c>
      <c r="M870" t="str">
        <f>SUBSTITUTE(L870,"$"," ")</f>
        <v xml:space="preserve"> 40</v>
      </c>
      <c r="N870">
        <v>2.7</v>
      </c>
      <c r="O870" t="b">
        <v>1</v>
      </c>
      <c r="Q870" s="1">
        <v>0.82</v>
      </c>
      <c r="R870" s="1">
        <f t="shared" ref="R870:R873" si="336">Q870</f>
        <v>0.82</v>
      </c>
    </row>
    <row r="871" spans="1:18" x14ac:dyDescent="0.2">
      <c r="A871" t="s">
        <v>1807</v>
      </c>
      <c r="B871" t="s">
        <v>1808</v>
      </c>
      <c r="C871" t="str">
        <f t="shared" si="313"/>
        <v>Caleb Guerra</v>
      </c>
      <c r="D871" t="s">
        <v>51</v>
      </c>
      <c r="E871" t="str">
        <f t="shared" si="314"/>
        <v>Male</v>
      </c>
      <c r="F871">
        <v>57</v>
      </c>
      <c r="G871" t="s">
        <v>169</v>
      </c>
      <c r="H871" t="s">
        <v>62</v>
      </c>
      <c r="I871" t="s">
        <v>13</v>
      </c>
      <c r="J871">
        <v>21</v>
      </c>
      <c r="K871" t="str" cm="1">
        <f t="array" ref="K871">_xlfn.IFS( J871&lt;=5,"0-5", J871&lt;=10,"6-10",J871&lt;=15,"11-15",J871&lt;=20,"16-20",J871&gt;20,"20+")</f>
        <v>20+</v>
      </c>
      <c r="L871">
        <v>75</v>
      </c>
      <c r="M871" s="2">
        <f>L871</f>
        <v>75</v>
      </c>
      <c r="N871">
        <v>2</v>
      </c>
      <c r="O871" t="s">
        <v>21</v>
      </c>
      <c r="P871" t="s">
        <v>2074</v>
      </c>
      <c r="Q871" s="1">
        <v>0.96</v>
      </c>
      <c r="R871" s="1">
        <f t="shared" si="336"/>
        <v>0.96</v>
      </c>
    </row>
    <row r="872" spans="1:18" x14ac:dyDescent="0.2">
      <c r="A872" t="s">
        <v>1809</v>
      </c>
      <c r="B872" t="s">
        <v>1810</v>
      </c>
      <c r="C872" t="str">
        <f t="shared" si="313"/>
        <v>Samantha Norman</v>
      </c>
      <c r="D872" t="s">
        <v>24</v>
      </c>
      <c r="E872" t="str">
        <f t="shared" si="314"/>
        <v>Female</v>
      </c>
      <c r="F872">
        <v>56</v>
      </c>
      <c r="G872" t="s">
        <v>114</v>
      </c>
      <c r="H872" t="s">
        <v>115</v>
      </c>
      <c r="I872" t="s">
        <v>79</v>
      </c>
      <c r="J872">
        <v>3</v>
      </c>
      <c r="K872" t="str" cm="1">
        <f t="array" ref="K872">_xlfn.IFS( J872&lt;=5,"0-5", J872&lt;=10,"6-10",J872&lt;=15,"11-15",J872&lt;=20,"16-20",J872&gt;20,"20+")</f>
        <v>0-5</v>
      </c>
      <c r="L872" t="s">
        <v>26</v>
      </c>
      <c r="M872" t="str">
        <f t="shared" ref="M872:M874" si="337">SUBSTITUTE(L872,"$"," ")</f>
        <v xml:space="preserve"> 40</v>
      </c>
      <c r="N872">
        <v>1.7</v>
      </c>
      <c r="O872" t="s">
        <v>21</v>
      </c>
      <c r="Q872" s="1">
        <v>0.71</v>
      </c>
      <c r="R872" s="1">
        <f t="shared" si="336"/>
        <v>0.71</v>
      </c>
    </row>
    <row r="873" spans="1:18" x14ac:dyDescent="0.2">
      <c r="A873" t="s">
        <v>1811</v>
      </c>
      <c r="B873" t="s">
        <v>1812</v>
      </c>
      <c r="C873" t="str">
        <f t="shared" si="313"/>
        <v>Sarah Clarke</v>
      </c>
      <c r="D873" t="s">
        <v>4</v>
      </c>
      <c r="E873" t="str">
        <f t="shared" si="314"/>
        <v>Female</v>
      </c>
      <c r="F873">
        <v>49</v>
      </c>
      <c r="G873" t="s">
        <v>18</v>
      </c>
      <c r="H873" t="s">
        <v>19</v>
      </c>
      <c r="I873" t="s">
        <v>13</v>
      </c>
      <c r="J873">
        <v>24</v>
      </c>
      <c r="K873" t="str" cm="1">
        <f t="array" ref="K873">_xlfn.IFS( J873&lt;=5,"0-5", J873&lt;=10,"6-10",J873&lt;=15,"11-15",J873&lt;=20,"16-20",J873&gt;20,"20+")</f>
        <v>20+</v>
      </c>
      <c r="L873" t="s">
        <v>160</v>
      </c>
      <c r="M873" t="str">
        <f t="shared" si="337"/>
        <v xml:space="preserve"> 75</v>
      </c>
      <c r="N873">
        <v>3</v>
      </c>
      <c r="O873">
        <v>1</v>
      </c>
      <c r="Q873" s="1">
        <v>0.77</v>
      </c>
      <c r="R873" s="1">
        <f t="shared" si="336"/>
        <v>0.77</v>
      </c>
    </row>
    <row r="874" spans="1:18" x14ac:dyDescent="0.2">
      <c r="A874" t="s">
        <v>1813</v>
      </c>
      <c r="B874" t="s">
        <v>1814</v>
      </c>
      <c r="C874" t="str">
        <f t="shared" si="313"/>
        <v>Aaron Blair</v>
      </c>
      <c r="D874" t="s">
        <v>51</v>
      </c>
      <c r="E874" t="str">
        <f t="shared" si="314"/>
        <v>Male</v>
      </c>
      <c r="F874">
        <v>26</v>
      </c>
      <c r="G874" t="s">
        <v>180</v>
      </c>
      <c r="H874" t="s">
        <v>62</v>
      </c>
      <c r="I874" t="s">
        <v>7</v>
      </c>
      <c r="K874" t="str" cm="1">
        <f t="array" ref="K874">_xlfn.IFS( J874&lt;=5,"0-5", J874&lt;=10,"6-10",J874&lt;=15,"11-15",J874&lt;=20,"16-20",J874&gt;20,"20+")</f>
        <v>0-5</v>
      </c>
      <c r="L874" t="s">
        <v>160</v>
      </c>
      <c r="M874" t="str">
        <f t="shared" si="337"/>
        <v xml:space="preserve"> 75</v>
      </c>
      <c r="N874">
        <v>2.1</v>
      </c>
      <c r="O874" t="s">
        <v>58</v>
      </c>
    </row>
    <row r="875" spans="1:18" x14ac:dyDescent="0.2">
      <c r="A875" t="s">
        <v>1815</v>
      </c>
      <c r="B875" t="s">
        <v>1816</v>
      </c>
      <c r="C875" t="str">
        <f t="shared" ref="C875:C877" si="338">B875</f>
        <v>Courtney Burton</v>
      </c>
      <c r="D875" t="s">
        <v>67</v>
      </c>
      <c r="E875" t="str">
        <f t="shared" ref="E875:E877" si="339">IF(LOWER(LEFT(D875,1)) ="f", "Female", "Male")</f>
        <v>Female</v>
      </c>
      <c r="F875">
        <v>36</v>
      </c>
      <c r="G875" t="s">
        <v>102</v>
      </c>
      <c r="H875" t="s">
        <v>103</v>
      </c>
      <c r="I875" t="s">
        <v>63</v>
      </c>
      <c r="J875">
        <v>0</v>
      </c>
      <c r="K875" t="str" cm="1">
        <f t="array" ref="K875">_xlfn.IFS( J875&lt;=5,"0-5", J875&lt;=10,"6-10",J875&lt;=15,"11-15",J875&lt;=20,"16-20",J875&gt;20,"20+")</f>
        <v>0-5</v>
      </c>
      <c r="L875">
        <v>75</v>
      </c>
      <c r="M875" s="2">
        <f>L875</f>
        <v>75</v>
      </c>
      <c r="N875">
        <v>1.5</v>
      </c>
      <c r="Q875" s="1">
        <v>0.73</v>
      </c>
      <c r="R875" s="1">
        <f t="shared" ref="R875:R878" si="340">Q875</f>
        <v>0.73</v>
      </c>
    </row>
    <row r="876" spans="1:18" x14ac:dyDescent="0.2">
      <c r="A876" t="s">
        <v>1817</v>
      </c>
      <c r="B876" t="s">
        <v>1818</v>
      </c>
      <c r="C876" t="str">
        <f t="shared" si="338"/>
        <v>Gerald Taylor</v>
      </c>
      <c r="D876" t="s">
        <v>82</v>
      </c>
      <c r="E876" t="str">
        <f t="shared" si="339"/>
        <v>Male</v>
      </c>
      <c r="F876">
        <v>20</v>
      </c>
      <c r="G876" t="s">
        <v>114</v>
      </c>
      <c r="H876" t="s">
        <v>115</v>
      </c>
      <c r="I876" t="s">
        <v>25</v>
      </c>
      <c r="J876">
        <v>2</v>
      </c>
      <c r="K876" t="str" cm="1">
        <f t="array" ref="K876">_xlfn.IFS( J876&lt;=5,"0-5", J876&lt;=10,"6-10",J876&lt;=15,"11-15",J876&lt;=20,"16-20",J876&gt;20,"20+")</f>
        <v>0-5</v>
      </c>
      <c r="L876" t="s">
        <v>99</v>
      </c>
      <c r="M876" t="str">
        <f>_xlfn.TEXTAFTER(L876, " ")</f>
        <v>30</v>
      </c>
      <c r="N876">
        <v>1.7</v>
      </c>
      <c r="O876" t="b">
        <v>1</v>
      </c>
      <c r="Q876" s="1">
        <v>0.6</v>
      </c>
      <c r="R876" s="1">
        <f t="shared" si="340"/>
        <v>0.6</v>
      </c>
    </row>
    <row r="877" spans="1:18" x14ac:dyDescent="0.2">
      <c r="A877" t="s">
        <v>1819</v>
      </c>
      <c r="B877" t="s">
        <v>1820</v>
      </c>
      <c r="C877" t="str">
        <f t="shared" si="338"/>
        <v>Mary Ward</v>
      </c>
      <c r="D877" t="s">
        <v>4</v>
      </c>
      <c r="E877" t="str">
        <f t="shared" si="339"/>
        <v>Female</v>
      </c>
      <c r="F877">
        <v>40</v>
      </c>
      <c r="G877" t="s">
        <v>180</v>
      </c>
      <c r="H877" t="s">
        <v>62</v>
      </c>
      <c r="I877" t="s">
        <v>34</v>
      </c>
      <c r="K877" t="str" cm="1">
        <f t="array" ref="K877">_xlfn.IFS( J877&lt;=5,"0-5", J877&lt;=10,"6-10",J877&lt;=15,"11-15",J877&lt;=20,"16-20",J877&gt;20,"20+")</f>
        <v>0-5</v>
      </c>
      <c r="M877"/>
      <c r="N877">
        <v>1.2</v>
      </c>
      <c r="O877">
        <v>1</v>
      </c>
      <c r="Q877" s="1">
        <v>0.67</v>
      </c>
      <c r="R877" s="1">
        <f t="shared" si="340"/>
        <v>0.67</v>
      </c>
    </row>
    <row r="878" spans="1:18" x14ac:dyDescent="0.2">
      <c r="A878" t="s">
        <v>1821</v>
      </c>
      <c r="B878" t="s">
        <v>1822</v>
      </c>
      <c r="C878" t="str">
        <f>_xlfn.TEXTAFTER(B878,".",)</f>
        <v xml:space="preserve"> Lisa Beard DVM</v>
      </c>
      <c r="D878" t="s">
        <v>29</v>
      </c>
      <c r="F878">
        <v>30</v>
      </c>
      <c r="G878" t="s">
        <v>83</v>
      </c>
      <c r="H878" t="s">
        <v>84</v>
      </c>
      <c r="I878" t="s">
        <v>13</v>
      </c>
      <c r="J878">
        <v>6</v>
      </c>
      <c r="K878" t="str" cm="1">
        <f t="array" ref="K878">_xlfn.IFS( J878&lt;=5,"0-5", J878&lt;=10,"6-10",J878&lt;=15,"11-15",J878&lt;=20,"16-20",J878&gt;20,"20+")</f>
        <v>6-10</v>
      </c>
      <c r="L878">
        <v>75</v>
      </c>
      <c r="M878" s="2">
        <f t="shared" ref="M878:M882" si="341">L878</f>
        <v>75</v>
      </c>
      <c r="N878">
        <v>0</v>
      </c>
      <c r="O878" t="b">
        <v>0</v>
      </c>
      <c r="P878" t="s">
        <v>2074</v>
      </c>
      <c r="Q878" s="1">
        <v>0.8</v>
      </c>
      <c r="R878" s="1">
        <f t="shared" si="340"/>
        <v>0.8</v>
      </c>
    </row>
    <row r="879" spans="1:18" x14ac:dyDescent="0.2">
      <c r="A879" t="s">
        <v>1823</v>
      </c>
      <c r="B879" t="s">
        <v>1824</v>
      </c>
      <c r="C879" t="str">
        <f t="shared" ref="C879:C880" si="342">B879</f>
        <v>Larry Wallace</v>
      </c>
      <c r="D879" t="s">
        <v>87</v>
      </c>
      <c r="E879" t="str">
        <f t="shared" ref="E879:E880" si="343">IF(LOWER(LEFT(D879,1)) ="f", "Female", "Male")</f>
        <v>Male</v>
      </c>
      <c r="F879">
        <v>51</v>
      </c>
      <c r="G879" t="s">
        <v>11</v>
      </c>
      <c r="H879" t="s">
        <v>12</v>
      </c>
      <c r="I879" t="s">
        <v>20</v>
      </c>
      <c r="J879">
        <v>21</v>
      </c>
      <c r="K879" t="str" cm="1">
        <f t="array" ref="K879">_xlfn.IFS( J879&lt;=5,"0-5", J879&lt;=10,"6-10",J879&lt;=15,"11-15",J879&lt;=20,"16-20",J879&gt;20,"20+")</f>
        <v>20+</v>
      </c>
      <c r="L879">
        <v>20</v>
      </c>
      <c r="M879" s="2">
        <f t="shared" si="341"/>
        <v>20</v>
      </c>
      <c r="O879" t="s">
        <v>64</v>
      </c>
      <c r="P879" t="s">
        <v>2075</v>
      </c>
    </row>
    <row r="880" spans="1:18" x14ac:dyDescent="0.2">
      <c r="A880" t="s">
        <v>1825</v>
      </c>
      <c r="B880" t="s">
        <v>1826</v>
      </c>
      <c r="C880" t="str">
        <f t="shared" si="342"/>
        <v>Jeremiah Thompson</v>
      </c>
      <c r="D880" t="s">
        <v>87</v>
      </c>
      <c r="E880" t="str">
        <f t="shared" si="343"/>
        <v>Male</v>
      </c>
      <c r="F880">
        <v>46</v>
      </c>
      <c r="G880" t="s">
        <v>48</v>
      </c>
      <c r="H880" t="s">
        <v>12</v>
      </c>
      <c r="I880" t="s">
        <v>63</v>
      </c>
      <c r="J880">
        <v>24</v>
      </c>
      <c r="K880" t="str" cm="1">
        <f t="array" ref="K880">_xlfn.IFS( J880&lt;=5,"0-5", J880&lt;=10,"6-10",J880&lt;=15,"11-15",J880&lt;=20,"16-20",J880&gt;20,"20+")</f>
        <v>20+</v>
      </c>
      <c r="L880">
        <v>40</v>
      </c>
      <c r="M880" s="2">
        <f t="shared" si="341"/>
        <v>40</v>
      </c>
      <c r="N880">
        <v>3.3</v>
      </c>
      <c r="O880">
        <v>1</v>
      </c>
      <c r="P880" t="s">
        <v>2075</v>
      </c>
      <c r="Q880" s="1">
        <v>0.87</v>
      </c>
      <c r="R880" s="1">
        <f>Q880</f>
        <v>0.87</v>
      </c>
    </row>
    <row r="881" spans="1:18" x14ac:dyDescent="0.2">
      <c r="A881" t="s">
        <v>1827</v>
      </c>
      <c r="B881" t="s">
        <v>1828</v>
      </c>
      <c r="C881" t="str">
        <f>_xlfn.TEXTAFTER(B881,".",)</f>
        <v xml:space="preserve"> Jessica Williams DVM</v>
      </c>
      <c r="D881" t="s">
        <v>10</v>
      </c>
      <c r="F881">
        <v>25</v>
      </c>
      <c r="G881" t="s">
        <v>102</v>
      </c>
      <c r="H881" t="s">
        <v>103</v>
      </c>
      <c r="I881" t="s">
        <v>34</v>
      </c>
      <c r="J881">
        <v>6</v>
      </c>
      <c r="K881" t="str" cm="1">
        <f t="array" ref="K881">_xlfn.IFS( J881&lt;=5,"0-5", J881&lt;=10,"6-10",J881&lt;=15,"11-15",J881&lt;=20,"16-20",J881&gt;20,"20+")</f>
        <v>6-10</v>
      </c>
      <c r="L881">
        <v>20</v>
      </c>
      <c r="M881" s="2">
        <f t="shared" si="341"/>
        <v>20</v>
      </c>
      <c r="N881">
        <v>2.1</v>
      </c>
      <c r="O881" t="s">
        <v>149</v>
      </c>
      <c r="P881" t="s">
        <v>2074</v>
      </c>
    </row>
    <row r="882" spans="1:18" x14ac:dyDescent="0.2">
      <c r="A882" t="s">
        <v>1829</v>
      </c>
      <c r="B882" t="s">
        <v>1830</v>
      </c>
      <c r="C882" t="str">
        <f t="shared" ref="C882:C923" si="344">B882</f>
        <v>Martin Moreno</v>
      </c>
      <c r="D882" t="s">
        <v>17</v>
      </c>
      <c r="E882" t="str">
        <f t="shared" ref="E882:E923" si="345">IF(LOWER(LEFT(D882,1)) ="f", "Female", "Male")</f>
        <v>Male</v>
      </c>
      <c r="F882">
        <v>53</v>
      </c>
      <c r="G882" t="s">
        <v>32</v>
      </c>
      <c r="H882" t="s">
        <v>33</v>
      </c>
      <c r="I882" t="s">
        <v>25</v>
      </c>
      <c r="J882">
        <v>32</v>
      </c>
      <c r="K882" t="str" cm="1">
        <f t="array" ref="K882">_xlfn.IFS( J882&lt;=5,"0-5", J882&lt;=10,"6-10",J882&lt;=15,"11-15",J882&lt;=20,"16-20",J882&gt;20,"20+")</f>
        <v>20+</v>
      </c>
      <c r="L882">
        <v>50</v>
      </c>
      <c r="M882" s="2">
        <f t="shared" si="341"/>
        <v>50</v>
      </c>
      <c r="O882">
        <v>1</v>
      </c>
      <c r="P882" t="s">
        <v>2075</v>
      </c>
    </row>
    <row r="883" spans="1:18" x14ac:dyDescent="0.2">
      <c r="A883" t="s">
        <v>1831</v>
      </c>
      <c r="B883" t="s">
        <v>1832</v>
      </c>
      <c r="C883" t="str">
        <f t="shared" si="344"/>
        <v>Yolanda Proctor</v>
      </c>
      <c r="D883" t="s">
        <v>10</v>
      </c>
      <c r="E883" t="str">
        <f t="shared" si="345"/>
        <v>Female</v>
      </c>
      <c r="F883">
        <v>50</v>
      </c>
      <c r="G883" t="s">
        <v>129</v>
      </c>
      <c r="H883" t="s">
        <v>130</v>
      </c>
      <c r="I883" t="s">
        <v>13</v>
      </c>
      <c r="J883">
        <v>31</v>
      </c>
      <c r="K883" t="str" cm="1">
        <f t="array" ref="K883">_xlfn.IFS( J883&lt;=5,"0-5", J883&lt;=10,"6-10",J883&lt;=15,"11-15",J883&lt;=20,"16-20",J883&gt;20,"20+")</f>
        <v>20+</v>
      </c>
      <c r="L883" t="s">
        <v>14</v>
      </c>
      <c r="M883" t="str">
        <f t="shared" ref="M883:M884" si="346">_xlfn.TEXTAFTER(L883, " ")</f>
        <v>100</v>
      </c>
      <c r="N883">
        <v>2.9</v>
      </c>
      <c r="O883" t="s">
        <v>64</v>
      </c>
      <c r="Q883" s="1">
        <v>0.89</v>
      </c>
      <c r="R883" s="1">
        <f t="shared" ref="R883:R890" si="347">Q883</f>
        <v>0.89</v>
      </c>
    </row>
    <row r="884" spans="1:18" x14ac:dyDescent="0.2">
      <c r="A884" t="s">
        <v>1833</v>
      </c>
      <c r="B884" t="s">
        <v>1834</v>
      </c>
      <c r="C884" t="str">
        <f t="shared" si="344"/>
        <v>Allen Turner</v>
      </c>
      <c r="D884" t="s">
        <v>17</v>
      </c>
      <c r="E884" t="str">
        <f t="shared" si="345"/>
        <v>Male</v>
      </c>
      <c r="F884">
        <v>45</v>
      </c>
      <c r="G884" t="s">
        <v>102</v>
      </c>
      <c r="H884" t="s">
        <v>103</v>
      </c>
      <c r="I884" t="s">
        <v>34</v>
      </c>
      <c r="K884" t="str" cm="1">
        <f t="array" ref="K884">_xlfn.IFS( J884&lt;=5,"0-5", J884&lt;=10,"6-10",J884&lt;=15,"11-15",J884&lt;=20,"16-20",J884&gt;20,"20+")</f>
        <v>0-5</v>
      </c>
      <c r="L884" t="s">
        <v>304</v>
      </c>
      <c r="M884" t="str">
        <f t="shared" si="346"/>
        <v>20</v>
      </c>
      <c r="N884">
        <v>3.3</v>
      </c>
      <c r="O884" t="b">
        <v>1</v>
      </c>
      <c r="Q884" s="1">
        <v>0.93</v>
      </c>
      <c r="R884" s="1">
        <f t="shared" si="347"/>
        <v>0.93</v>
      </c>
    </row>
    <row r="885" spans="1:18" x14ac:dyDescent="0.2">
      <c r="A885" t="s">
        <v>1835</v>
      </c>
      <c r="B885" t="s">
        <v>1836</v>
      </c>
      <c r="C885" t="str">
        <f t="shared" si="344"/>
        <v>Beth Huff</v>
      </c>
      <c r="D885" t="s">
        <v>24</v>
      </c>
      <c r="E885" t="str">
        <f t="shared" si="345"/>
        <v>Female</v>
      </c>
      <c r="F885">
        <v>48</v>
      </c>
      <c r="G885" t="s">
        <v>118</v>
      </c>
      <c r="H885" t="s">
        <v>12</v>
      </c>
      <c r="I885" t="s">
        <v>68</v>
      </c>
      <c r="J885">
        <v>24</v>
      </c>
      <c r="K885" t="str" cm="1">
        <f t="array" ref="K885">_xlfn.IFS( J885&lt;=5,"0-5", J885&lt;=10,"6-10",J885&lt;=15,"11-15",J885&lt;=20,"16-20",J885&gt;20,"20+")</f>
        <v>20+</v>
      </c>
      <c r="L885">
        <v>100</v>
      </c>
      <c r="M885" s="2">
        <f>L885</f>
        <v>100</v>
      </c>
      <c r="N885">
        <v>4.8</v>
      </c>
      <c r="O885">
        <v>1</v>
      </c>
      <c r="P885" t="s">
        <v>2075</v>
      </c>
      <c r="Q885" s="1">
        <v>0.84</v>
      </c>
      <c r="R885" s="1">
        <f t="shared" si="347"/>
        <v>0.84</v>
      </c>
    </row>
    <row r="886" spans="1:18" x14ac:dyDescent="0.2">
      <c r="A886" t="s">
        <v>1837</v>
      </c>
      <c r="B886" t="s">
        <v>1838</v>
      </c>
      <c r="C886" t="str">
        <f t="shared" si="344"/>
        <v>John Mckinney</v>
      </c>
      <c r="D886" t="s">
        <v>51</v>
      </c>
      <c r="E886" t="str">
        <f t="shared" si="345"/>
        <v>Male</v>
      </c>
      <c r="F886">
        <v>30</v>
      </c>
      <c r="G886" t="s">
        <v>39</v>
      </c>
      <c r="H886" t="s">
        <v>40</v>
      </c>
      <c r="I886" t="s">
        <v>79</v>
      </c>
      <c r="K886" t="str" cm="1">
        <f t="array" ref="K886">_xlfn.IFS( J886&lt;=5,"0-5", J886&lt;=10,"6-10",J886&lt;=15,"11-15",J886&lt;=20,"16-20",J886&gt;20,"20+")</f>
        <v>0-5</v>
      </c>
      <c r="L886" t="s">
        <v>219</v>
      </c>
      <c r="M886" t="str">
        <f t="shared" ref="M886:M887" si="348">SUBSTITUTE(L886,"$"," ")</f>
        <v xml:space="preserve"> 100</v>
      </c>
      <c r="N886">
        <v>4.5</v>
      </c>
      <c r="Q886" s="1">
        <v>0.78</v>
      </c>
      <c r="R886" s="1">
        <f t="shared" si="347"/>
        <v>0.78</v>
      </c>
    </row>
    <row r="887" spans="1:18" x14ac:dyDescent="0.2">
      <c r="A887" t="s">
        <v>1839</v>
      </c>
      <c r="B887" t="s">
        <v>557</v>
      </c>
      <c r="C887" t="str">
        <f t="shared" si="344"/>
        <v>Sarah Ho</v>
      </c>
      <c r="D887" t="s">
        <v>24</v>
      </c>
      <c r="E887" t="str">
        <f t="shared" si="345"/>
        <v>Female</v>
      </c>
      <c r="F887">
        <v>33</v>
      </c>
      <c r="G887" t="s">
        <v>32</v>
      </c>
      <c r="H887" t="s">
        <v>33</v>
      </c>
      <c r="I887" t="s">
        <v>63</v>
      </c>
      <c r="J887">
        <v>6</v>
      </c>
      <c r="K887" t="str" cm="1">
        <f t="array" ref="K887">_xlfn.IFS( J887&lt;=5,"0-5", J887&lt;=10,"6-10",J887&lt;=15,"11-15",J887&lt;=20,"16-20",J887&gt;20,"20+")</f>
        <v>6-10</v>
      </c>
      <c r="L887" t="s">
        <v>54</v>
      </c>
      <c r="M887" t="str">
        <f t="shared" si="348"/>
        <v xml:space="preserve"> 50</v>
      </c>
      <c r="N887">
        <v>3.1</v>
      </c>
      <c r="O887" t="s">
        <v>149</v>
      </c>
      <c r="Q887" s="1">
        <v>0.9</v>
      </c>
      <c r="R887" s="1">
        <f t="shared" si="347"/>
        <v>0.9</v>
      </c>
    </row>
    <row r="888" spans="1:18" x14ac:dyDescent="0.2">
      <c r="A888" t="s">
        <v>1840</v>
      </c>
      <c r="B888" t="s">
        <v>1841</v>
      </c>
      <c r="C888" t="str">
        <f t="shared" si="344"/>
        <v>Lindsey Wang</v>
      </c>
      <c r="D888" t="s">
        <v>24</v>
      </c>
      <c r="E888" t="str">
        <f t="shared" si="345"/>
        <v>Female</v>
      </c>
      <c r="F888">
        <v>50</v>
      </c>
      <c r="G888" t="s">
        <v>57</v>
      </c>
      <c r="H888" t="s">
        <v>12</v>
      </c>
      <c r="I888" t="s">
        <v>79</v>
      </c>
      <c r="J888">
        <v>11</v>
      </c>
      <c r="K888" t="str" cm="1">
        <f t="array" ref="K888">_xlfn.IFS( J888&lt;=5,"0-5", J888&lt;=10,"6-10",J888&lt;=15,"11-15",J888&lt;=20,"16-20",J888&gt;20,"20+")</f>
        <v>11-15</v>
      </c>
      <c r="M888"/>
      <c r="N888">
        <v>4.9000000000000004</v>
      </c>
      <c r="O888">
        <v>1</v>
      </c>
      <c r="Q888" s="1">
        <v>0.88</v>
      </c>
      <c r="R888" s="1">
        <f t="shared" si="347"/>
        <v>0.88</v>
      </c>
    </row>
    <row r="889" spans="1:18" x14ac:dyDescent="0.2">
      <c r="A889" t="s">
        <v>1842</v>
      </c>
      <c r="B889" t="s">
        <v>1843</v>
      </c>
      <c r="C889" t="str">
        <f t="shared" si="344"/>
        <v>Margaret Schwartz</v>
      </c>
      <c r="D889" t="s">
        <v>67</v>
      </c>
      <c r="E889" t="str">
        <f t="shared" si="345"/>
        <v>Female</v>
      </c>
      <c r="F889">
        <v>24</v>
      </c>
      <c r="G889" t="s">
        <v>39</v>
      </c>
      <c r="H889" t="s">
        <v>40</v>
      </c>
      <c r="I889" t="s">
        <v>41</v>
      </c>
      <c r="K889" t="str" cm="1">
        <f t="array" ref="K889">_xlfn.IFS( J889&lt;=5,"0-5", J889&lt;=10,"6-10",J889&lt;=15,"11-15",J889&lt;=20,"16-20",J889&gt;20,"20+")</f>
        <v>0-5</v>
      </c>
      <c r="L889" t="s">
        <v>111</v>
      </c>
      <c r="M889" t="str">
        <f>SUBSTITUTE(L889,"$"," ")</f>
        <v xml:space="preserve"> 20</v>
      </c>
      <c r="N889">
        <v>0</v>
      </c>
      <c r="O889">
        <v>0</v>
      </c>
      <c r="Q889" s="1">
        <v>0.76</v>
      </c>
      <c r="R889" s="1">
        <f t="shared" si="347"/>
        <v>0.76</v>
      </c>
    </row>
    <row r="890" spans="1:18" x14ac:dyDescent="0.2">
      <c r="A890" t="s">
        <v>1844</v>
      </c>
      <c r="B890" t="s">
        <v>1845</v>
      </c>
      <c r="C890" t="str">
        <f t="shared" si="344"/>
        <v>Kyle Ray</v>
      </c>
      <c r="D890" t="s">
        <v>17</v>
      </c>
      <c r="E890" t="str">
        <f t="shared" si="345"/>
        <v>Male</v>
      </c>
      <c r="F890">
        <v>38</v>
      </c>
      <c r="G890" t="s">
        <v>5</v>
      </c>
      <c r="H890" t="s">
        <v>6</v>
      </c>
      <c r="I890" t="s">
        <v>25</v>
      </c>
      <c r="J890">
        <v>14</v>
      </c>
      <c r="K890" t="str" cm="1">
        <f t="array" ref="K890">_xlfn.IFS( J890&lt;=5,"0-5", J890&lt;=10,"6-10",J890&lt;=15,"11-15",J890&lt;=20,"16-20",J890&gt;20,"20+")</f>
        <v>11-15</v>
      </c>
      <c r="L890">
        <v>75</v>
      </c>
      <c r="M890" s="2">
        <f>L890</f>
        <v>75</v>
      </c>
      <c r="N890">
        <v>1.5</v>
      </c>
      <c r="O890" t="s">
        <v>21</v>
      </c>
      <c r="P890" t="s">
        <v>2074</v>
      </c>
      <c r="Q890" s="1">
        <v>0.62</v>
      </c>
      <c r="R890" s="1">
        <f t="shared" si="347"/>
        <v>0.62</v>
      </c>
    </row>
    <row r="891" spans="1:18" x14ac:dyDescent="0.2">
      <c r="A891" t="s">
        <v>1846</v>
      </c>
      <c r="B891" t="s">
        <v>1847</v>
      </c>
      <c r="C891" t="str">
        <f t="shared" si="344"/>
        <v>Isaac Hebert</v>
      </c>
      <c r="D891" t="s">
        <v>51</v>
      </c>
      <c r="E891" t="str">
        <f t="shared" si="345"/>
        <v>Male</v>
      </c>
      <c r="F891">
        <v>56</v>
      </c>
      <c r="G891" t="s">
        <v>75</v>
      </c>
      <c r="H891" t="s">
        <v>76</v>
      </c>
      <c r="I891" t="s">
        <v>79</v>
      </c>
      <c r="J891">
        <v>2</v>
      </c>
      <c r="K891" t="str" cm="1">
        <f t="array" ref="K891">_xlfn.IFS( J891&lt;=5,"0-5", J891&lt;=10,"6-10",J891&lt;=15,"11-15",J891&lt;=20,"16-20",J891&gt;20,"20+")</f>
        <v>0-5</v>
      </c>
      <c r="L891" t="s">
        <v>160</v>
      </c>
      <c r="M891" t="str">
        <f>SUBSTITUTE(L891,"$"," ")</f>
        <v xml:space="preserve"> 75</v>
      </c>
      <c r="N891">
        <v>2.4</v>
      </c>
      <c r="O891" t="s">
        <v>21</v>
      </c>
    </row>
    <row r="892" spans="1:18" x14ac:dyDescent="0.2">
      <c r="A892" t="s">
        <v>1848</v>
      </c>
      <c r="B892" t="s">
        <v>1849</v>
      </c>
      <c r="C892" t="str">
        <f t="shared" si="344"/>
        <v>Michele Jones</v>
      </c>
      <c r="D892" t="s">
        <v>4</v>
      </c>
      <c r="E892" t="str">
        <f t="shared" si="345"/>
        <v>Female</v>
      </c>
      <c r="F892">
        <v>41</v>
      </c>
      <c r="G892" t="s">
        <v>114</v>
      </c>
      <c r="H892" t="s">
        <v>115</v>
      </c>
      <c r="I892" t="s">
        <v>79</v>
      </c>
      <c r="J892">
        <v>2</v>
      </c>
      <c r="K892" t="str" cm="1">
        <f t="array" ref="K892">_xlfn.IFS( J892&lt;=5,"0-5", J892&lt;=10,"6-10",J892&lt;=15,"11-15",J892&lt;=20,"16-20",J892&gt;20,"20+")</f>
        <v>0-5</v>
      </c>
      <c r="L892" t="s">
        <v>14</v>
      </c>
      <c r="M892" t="str">
        <f t="shared" ref="M892:M893" si="349">_xlfn.TEXTAFTER(L892, " ")</f>
        <v>100</v>
      </c>
      <c r="N892">
        <v>4.5</v>
      </c>
      <c r="O892" t="s">
        <v>21</v>
      </c>
      <c r="Q892">
        <v>75</v>
      </c>
      <c r="R892" s="3">
        <f t="shared" ref="R892:R893" si="350">Q892/100</f>
        <v>0.75</v>
      </c>
    </row>
    <row r="893" spans="1:18" x14ac:dyDescent="0.2">
      <c r="A893" t="s">
        <v>1850</v>
      </c>
      <c r="B893" t="s">
        <v>1851</v>
      </c>
      <c r="C893" t="str">
        <f t="shared" si="344"/>
        <v>Austin Allen</v>
      </c>
      <c r="D893" t="s">
        <v>87</v>
      </c>
      <c r="E893" t="str">
        <f t="shared" si="345"/>
        <v>Male</v>
      </c>
      <c r="G893" t="s">
        <v>5</v>
      </c>
      <c r="H893" t="s">
        <v>6</v>
      </c>
      <c r="I893" t="s">
        <v>63</v>
      </c>
      <c r="J893">
        <v>11</v>
      </c>
      <c r="K893" t="str" cm="1">
        <f t="array" ref="K893">_xlfn.IFS( J893&lt;=5,"0-5", J893&lt;=10,"6-10",J893&lt;=15,"11-15",J893&lt;=20,"16-20",J893&gt;20,"20+")</f>
        <v>11-15</v>
      </c>
      <c r="L893" t="s">
        <v>14</v>
      </c>
      <c r="M893" t="str">
        <f t="shared" si="349"/>
        <v>100</v>
      </c>
      <c r="N893">
        <v>2.5</v>
      </c>
      <c r="O893" t="s">
        <v>58</v>
      </c>
      <c r="Q893">
        <v>80</v>
      </c>
      <c r="R893" s="3">
        <f t="shared" si="350"/>
        <v>0.8</v>
      </c>
    </row>
    <row r="894" spans="1:18" x14ac:dyDescent="0.2">
      <c r="A894" t="s">
        <v>1852</v>
      </c>
      <c r="B894" t="s">
        <v>1853</v>
      </c>
      <c r="C894" t="str">
        <f t="shared" si="344"/>
        <v>Haley Castro</v>
      </c>
      <c r="D894" t="s">
        <v>4</v>
      </c>
      <c r="E894" t="str">
        <f t="shared" si="345"/>
        <v>Female</v>
      </c>
      <c r="F894">
        <v>42</v>
      </c>
      <c r="G894" t="s">
        <v>18</v>
      </c>
      <c r="H894" t="s">
        <v>19</v>
      </c>
      <c r="I894" t="s">
        <v>20</v>
      </c>
      <c r="J894">
        <v>13</v>
      </c>
      <c r="K894" t="str" cm="1">
        <f t="array" ref="K894">_xlfn.IFS( J894&lt;=5,"0-5", J894&lt;=10,"6-10",J894&lt;=15,"11-15",J894&lt;=20,"16-20",J894&gt;20,"20+")</f>
        <v>11-15</v>
      </c>
      <c r="L894">
        <v>30</v>
      </c>
      <c r="M894" s="2">
        <f t="shared" ref="M894:M896" si="351">L894</f>
        <v>30</v>
      </c>
      <c r="N894">
        <v>3.3</v>
      </c>
      <c r="Q894" s="1">
        <v>0.63</v>
      </c>
      <c r="R894" s="1">
        <f t="shared" ref="R894:R895" si="352">Q894</f>
        <v>0.63</v>
      </c>
    </row>
    <row r="895" spans="1:18" x14ac:dyDescent="0.2">
      <c r="A895" t="s">
        <v>1854</v>
      </c>
      <c r="B895" t="s">
        <v>1855</v>
      </c>
      <c r="C895" t="str">
        <f t="shared" si="344"/>
        <v>David Armstrong</v>
      </c>
      <c r="D895" t="s">
        <v>87</v>
      </c>
      <c r="E895" t="str">
        <f t="shared" si="345"/>
        <v>Male</v>
      </c>
      <c r="F895">
        <v>26</v>
      </c>
      <c r="G895" t="s">
        <v>83</v>
      </c>
      <c r="H895" t="s">
        <v>84</v>
      </c>
      <c r="I895" t="s">
        <v>7</v>
      </c>
      <c r="J895">
        <v>7</v>
      </c>
      <c r="K895" t="str" cm="1">
        <f t="array" ref="K895">_xlfn.IFS( J895&lt;=5,"0-5", J895&lt;=10,"6-10",J895&lt;=15,"11-15",J895&lt;=20,"16-20",J895&gt;20,"20+")</f>
        <v>6-10</v>
      </c>
      <c r="L895">
        <v>75</v>
      </c>
      <c r="M895" s="2">
        <f t="shared" si="351"/>
        <v>75</v>
      </c>
      <c r="N895">
        <v>3</v>
      </c>
      <c r="Q895" s="1">
        <v>0.84</v>
      </c>
      <c r="R895" s="1">
        <f t="shared" si="352"/>
        <v>0.84</v>
      </c>
    </row>
    <row r="896" spans="1:18" x14ac:dyDescent="0.2">
      <c r="A896" t="s">
        <v>1856</v>
      </c>
      <c r="B896" t="s">
        <v>1857</v>
      </c>
      <c r="C896" t="str">
        <f t="shared" si="344"/>
        <v>Wendy Mitchell</v>
      </c>
      <c r="D896" t="s">
        <v>4</v>
      </c>
      <c r="E896" t="str">
        <f t="shared" si="345"/>
        <v>Female</v>
      </c>
      <c r="F896">
        <v>44</v>
      </c>
      <c r="G896" t="s">
        <v>118</v>
      </c>
      <c r="H896" t="s">
        <v>12</v>
      </c>
      <c r="I896" t="s">
        <v>68</v>
      </c>
      <c r="J896">
        <v>25</v>
      </c>
      <c r="K896" t="str" cm="1">
        <f t="array" ref="K896">_xlfn.IFS( J896&lt;=5,"0-5", J896&lt;=10,"6-10",J896&lt;=15,"11-15",J896&lt;=20,"16-20",J896&gt;20,"20+")</f>
        <v>20+</v>
      </c>
      <c r="L896">
        <v>75</v>
      </c>
      <c r="M896" s="2">
        <f t="shared" si="351"/>
        <v>75</v>
      </c>
      <c r="N896">
        <v>2.7</v>
      </c>
      <c r="O896">
        <v>1</v>
      </c>
      <c r="P896" t="s">
        <v>2075</v>
      </c>
      <c r="Q896">
        <v>78</v>
      </c>
      <c r="R896" s="3">
        <f>Q896/100</f>
        <v>0.78</v>
      </c>
    </row>
    <row r="897" spans="1:18" x14ac:dyDescent="0.2">
      <c r="A897" t="s">
        <v>1858</v>
      </c>
      <c r="B897" t="s">
        <v>1859</v>
      </c>
      <c r="C897" t="str">
        <f t="shared" si="344"/>
        <v>Anthony Hernandez</v>
      </c>
      <c r="D897" t="s">
        <v>51</v>
      </c>
      <c r="E897" t="str">
        <f t="shared" si="345"/>
        <v>Male</v>
      </c>
      <c r="F897">
        <v>46</v>
      </c>
      <c r="G897" t="s">
        <v>118</v>
      </c>
      <c r="H897" t="s">
        <v>12</v>
      </c>
      <c r="I897" t="s">
        <v>20</v>
      </c>
      <c r="J897">
        <v>20</v>
      </c>
      <c r="K897" t="str" cm="1">
        <f t="array" ref="K897">_xlfn.IFS( J897&lt;=5,"0-5", J897&lt;=10,"6-10",J897&lt;=15,"11-15",J897&lt;=20,"16-20",J897&gt;20,"20+")</f>
        <v>16-20</v>
      </c>
      <c r="L897" t="s">
        <v>111</v>
      </c>
      <c r="M897" t="str">
        <f>SUBSTITUTE(L897,"$"," ")</f>
        <v xml:space="preserve"> 20</v>
      </c>
      <c r="N897">
        <v>1.2</v>
      </c>
      <c r="O897" t="b">
        <v>0</v>
      </c>
      <c r="Q897" s="1">
        <v>0.74</v>
      </c>
      <c r="R897" s="1">
        <f t="shared" ref="R897:R898" si="353">Q897</f>
        <v>0.74</v>
      </c>
    </row>
    <row r="898" spans="1:18" x14ac:dyDescent="0.2">
      <c r="A898" t="s">
        <v>1860</v>
      </c>
      <c r="B898" t="s">
        <v>1861</v>
      </c>
      <c r="C898" t="str">
        <f t="shared" si="344"/>
        <v>Erica Johnson</v>
      </c>
      <c r="D898" t="s">
        <v>29</v>
      </c>
      <c r="E898" t="str">
        <f t="shared" si="345"/>
        <v>Female</v>
      </c>
      <c r="F898">
        <v>36</v>
      </c>
      <c r="G898" t="s">
        <v>48</v>
      </c>
      <c r="H898" t="s">
        <v>12</v>
      </c>
      <c r="I898" t="s">
        <v>63</v>
      </c>
      <c r="J898">
        <v>8</v>
      </c>
      <c r="K898" t="str" cm="1">
        <f t="array" ref="K898">_xlfn.IFS( J898&lt;=5,"0-5", J898&lt;=10,"6-10",J898&lt;=15,"11-15",J898&lt;=20,"16-20",J898&gt;20,"20+")</f>
        <v>6-10</v>
      </c>
      <c r="L898">
        <v>50</v>
      </c>
      <c r="M898" s="2">
        <f>L898</f>
        <v>50</v>
      </c>
      <c r="N898">
        <v>4.3</v>
      </c>
      <c r="O898">
        <v>0</v>
      </c>
      <c r="P898" t="s">
        <v>2074</v>
      </c>
      <c r="Q898" s="1">
        <v>0.9</v>
      </c>
      <c r="R898" s="1">
        <f t="shared" si="353"/>
        <v>0.9</v>
      </c>
    </row>
    <row r="899" spans="1:18" x14ac:dyDescent="0.2">
      <c r="A899" t="s">
        <v>1862</v>
      </c>
      <c r="B899" t="s">
        <v>1863</v>
      </c>
      <c r="C899" t="str">
        <f t="shared" si="344"/>
        <v>Randall Barrett</v>
      </c>
      <c r="D899" t="s">
        <v>87</v>
      </c>
      <c r="E899" t="str">
        <f t="shared" si="345"/>
        <v>Male</v>
      </c>
      <c r="F899">
        <v>26</v>
      </c>
      <c r="G899" t="s">
        <v>32</v>
      </c>
      <c r="H899" t="s">
        <v>33</v>
      </c>
      <c r="I899" t="s">
        <v>34</v>
      </c>
      <c r="J899">
        <v>6</v>
      </c>
      <c r="K899" t="str" cm="1">
        <f t="array" ref="K899">_xlfn.IFS( J899&lt;=5,"0-5", J899&lt;=10,"6-10",J899&lt;=15,"11-15",J899&lt;=20,"16-20",J899&gt;20,"20+")</f>
        <v>6-10</v>
      </c>
      <c r="L899" t="s">
        <v>26</v>
      </c>
      <c r="M899" t="str">
        <f>SUBSTITUTE(L899,"$"," ")</f>
        <v xml:space="preserve"> 40</v>
      </c>
      <c r="N899">
        <v>1.3</v>
      </c>
      <c r="O899">
        <v>0</v>
      </c>
    </row>
    <row r="900" spans="1:18" x14ac:dyDescent="0.2">
      <c r="A900" t="s">
        <v>1864</v>
      </c>
      <c r="B900" t="s">
        <v>1865</v>
      </c>
      <c r="C900" t="str">
        <f t="shared" si="344"/>
        <v>Nathan Huff</v>
      </c>
      <c r="D900" t="s">
        <v>17</v>
      </c>
      <c r="E900" t="str">
        <f t="shared" si="345"/>
        <v>Male</v>
      </c>
      <c r="F900">
        <v>21</v>
      </c>
      <c r="G900" t="s">
        <v>18</v>
      </c>
      <c r="H900" t="s">
        <v>19</v>
      </c>
      <c r="I900" t="s">
        <v>63</v>
      </c>
      <c r="J900">
        <v>3</v>
      </c>
      <c r="K900" t="str" cm="1">
        <f t="array" ref="K900">_xlfn.IFS( J900&lt;=5,"0-5", J900&lt;=10,"6-10",J900&lt;=15,"11-15",J900&lt;=20,"16-20",J900&gt;20,"20+")</f>
        <v>0-5</v>
      </c>
      <c r="L900">
        <v>50</v>
      </c>
      <c r="M900" s="2">
        <f t="shared" ref="M900:M903" si="354">L900</f>
        <v>50</v>
      </c>
      <c r="N900">
        <v>4.5999999999999996</v>
      </c>
      <c r="O900" t="s">
        <v>64</v>
      </c>
      <c r="P900" t="s">
        <v>2075</v>
      </c>
    </row>
    <row r="901" spans="1:18" x14ac:dyDescent="0.2">
      <c r="A901" t="s">
        <v>1866</v>
      </c>
      <c r="B901" t="s">
        <v>1867</v>
      </c>
      <c r="C901" t="str">
        <f t="shared" si="344"/>
        <v>Robin Walsh</v>
      </c>
      <c r="D901" t="s">
        <v>4</v>
      </c>
      <c r="E901" t="str">
        <f t="shared" si="345"/>
        <v>Female</v>
      </c>
      <c r="F901">
        <v>39</v>
      </c>
      <c r="G901" t="s">
        <v>39</v>
      </c>
      <c r="H901" t="s">
        <v>40</v>
      </c>
      <c r="I901" t="s">
        <v>63</v>
      </c>
      <c r="J901">
        <v>18</v>
      </c>
      <c r="K901" t="str" cm="1">
        <f t="array" ref="K901">_xlfn.IFS( J901&lt;=5,"0-5", J901&lt;=10,"6-10",J901&lt;=15,"11-15",J901&lt;=20,"16-20",J901&gt;20,"20+")</f>
        <v>16-20</v>
      </c>
      <c r="L901">
        <v>50</v>
      </c>
      <c r="M901" s="2">
        <f t="shared" si="354"/>
        <v>50</v>
      </c>
      <c r="N901">
        <v>2.1</v>
      </c>
      <c r="O901">
        <v>0</v>
      </c>
      <c r="P901" t="s">
        <v>2074</v>
      </c>
      <c r="Q901">
        <v>75</v>
      </c>
      <c r="R901" s="3">
        <f>Q901/100</f>
        <v>0.75</v>
      </c>
    </row>
    <row r="902" spans="1:18" x14ac:dyDescent="0.2">
      <c r="A902" t="s">
        <v>1868</v>
      </c>
      <c r="B902" t="s">
        <v>1869</v>
      </c>
      <c r="C902" t="str">
        <f t="shared" si="344"/>
        <v>Yvonne Robinson</v>
      </c>
      <c r="D902" t="s">
        <v>67</v>
      </c>
      <c r="E902" t="str">
        <f t="shared" si="345"/>
        <v>Female</v>
      </c>
      <c r="F902">
        <v>37</v>
      </c>
      <c r="G902" t="s">
        <v>48</v>
      </c>
      <c r="H902" t="s">
        <v>12</v>
      </c>
      <c r="I902" t="s">
        <v>7</v>
      </c>
      <c r="J902">
        <v>18</v>
      </c>
      <c r="K902" t="str" cm="1">
        <f t="array" ref="K902">_xlfn.IFS( J902&lt;=5,"0-5", J902&lt;=10,"6-10",J902&lt;=15,"11-15",J902&lt;=20,"16-20",J902&gt;20,"20+")</f>
        <v>16-20</v>
      </c>
      <c r="L902">
        <v>40</v>
      </c>
      <c r="M902" s="2">
        <f t="shared" si="354"/>
        <v>40</v>
      </c>
      <c r="N902">
        <v>4.5</v>
      </c>
      <c r="O902" t="s">
        <v>149</v>
      </c>
      <c r="P902" t="s">
        <v>2074</v>
      </c>
      <c r="Q902" s="1">
        <v>0.72</v>
      </c>
      <c r="R902" s="1">
        <f t="shared" ref="R902:R903" si="355">Q902</f>
        <v>0.72</v>
      </c>
    </row>
    <row r="903" spans="1:18" x14ac:dyDescent="0.2">
      <c r="A903" t="s">
        <v>1870</v>
      </c>
      <c r="B903" t="s">
        <v>1871</v>
      </c>
      <c r="C903" t="str">
        <f t="shared" si="344"/>
        <v>Kathleen Hendrix</v>
      </c>
      <c r="D903" t="s">
        <v>67</v>
      </c>
      <c r="E903" t="str">
        <f t="shared" si="345"/>
        <v>Female</v>
      </c>
      <c r="F903">
        <v>47</v>
      </c>
      <c r="G903" t="s">
        <v>114</v>
      </c>
      <c r="H903" t="s">
        <v>115</v>
      </c>
      <c r="I903" t="s">
        <v>63</v>
      </c>
      <c r="J903">
        <v>3</v>
      </c>
      <c r="K903" t="str" cm="1">
        <f t="array" ref="K903">_xlfn.IFS( J903&lt;=5,"0-5", J903&lt;=10,"6-10",J903&lt;=15,"11-15",J903&lt;=20,"16-20",J903&gt;20,"20+")</f>
        <v>0-5</v>
      </c>
      <c r="L903">
        <v>40</v>
      </c>
      <c r="M903" s="2">
        <f t="shared" si="354"/>
        <v>40</v>
      </c>
      <c r="N903">
        <v>4.4000000000000004</v>
      </c>
      <c r="O903" t="s">
        <v>58</v>
      </c>
      <c r="P903" t="s">
        <v>2075</v>
      </c>
      <c r="Q903" s="1">
        <v>0.92</v>
      </c>
      <c r="R903" s="1">
        <f t="shared" si="355"/>
        <v>0.92</v>
      </c>
    </row>
    <row r="904" spans="1:18" x14ac:dyDescent="0.2">
      <c r="A904" t="s">
        <v>1872</v>
      </c>
      <c r="B904" t="s">
        <v>1873</v>
      </c>
      <c r="C904" t="str">
        <f t="shared" si="344"/>
        <v>Jennifer Baker</v>
      </c>
      <c r="D904" t="s">
        <v>10</v>
      </c>
      <c r="E904" t="str">
        <f t="shared" si="345"/>
        <v>Female</v>
      </c>
      <c r="F904">
        <v>53</v>
      </c>
      <c r="G904" t="s">
        <v>114</v>
      </c>
      <c r="H904" t="s">
        <v>115</v>
      </c>
      <c r="I904" t="s">
        <v>20</v>
      </c>
      <c r="J904">
        <v>32</v>
      </c>
      <c r="K904" t="str" cm="1">
        <f t="array" ref="K904">_xlfn.IFS( J904&lt;=5,"0-5", J904&lt;=10,"6-10",J904&lt;=15,"11-15",J904&lt;=20,"16-20",J904&gt;20,"20+")</f>
        <v>20+</v>
      </c>
      <c r="L904" t="s">
        <v>304</v>
      </c>
      <c r="M904" t="str">
        <f t="shared" ref="M904:M905" si="356">_xlfn.TEXTAFTER(L904, " ")</f>
        <v>20</v>
      </c>
      <c r="N904">
        <v>0</v>
      </c>
      <c r="O904" t="s">
        <v>21</v>
      </c>
    </row>
    <row r="905" spans="1:18" x14ac:dyDescent="0.2">
      <c r="A905" t="s">
        <v>1874</v>
      </c>
      <c r="B905" t="s">
        <v>1875</v>
      </c>
      <c r="C905" t="str">
        <f t="shared" si="344"/>
        <v>Kim Martinez</v>
      </c>
      <c r="D905" t="s">
        <v>29</v>
      </c>
      <c r="E905" t="str">
        <f t="shared" si="345"/>
        <v>Female</v>
      </c>
      <c r="F905">
        <v>53</v>
      </c>
      <c r="G905" t="s">
        <v>61</v>
      </c>
      <c r="H905" t="s">
        <v>62</v>
      </c>
      <c r="I905" t="s">
        <v>13</v>
      </c>
      <c r="J905">
        <v>19</v>
      </c>
      <c r="K905" t="str" cm="1">
        <f t="array" ref="K905">_xlfn.IFS( J905&lt;=5,"0-5", J905&lt;=10,"6-10",J905&lt;=15,"11-15",J905&lt;=20,"16-20",J905&gt;20,"20+")</f>
        <v>16-20</v>
      </c>
      <c r="L905" t="s">
        <v>304</v>
      </c>
      <c r="M905" t="str">
        <f t="shared" si="356"/>
        <v>20</v>
      </c>
      <c r="N905">
        <v>1.3</v>
      </c>
      <c r="O905">
        <v>0</v>
      </c>
    </row>
    <row r="906" spans="1:18" x14ac:dyDescent="0.2">
      <c r="A906" t="s">
        <v>1876</v>
      </c>
      <c r="B906" t="s">
        <v>1877</v>
      </c>
      <c r="C906" t="str">
        <f t="shared" si="344"/>
        <v>Andrew Little</v>
      </c>
      <c r="D906" t="s">
        <v>17</v>
      </c>
      <c r="E906" t="str">
        <f t="shared" si="345"/>
        <v>Male</v>
      </c>
      <c r="F906">
        <v>21</v>
      </c>
      <c r="G906" t="s">
        <v>83</v>
      </c>
      <c r="H906" t="s">
        <v>84</v>
      </c>
      <c r="I906" t="s">
        <v>41</v>
      </c>
      <c r="J906">
        <v>2</v>
      </c>
      <c r="K906" t="str" cm="1">
        <f t="array" ref="K906">_xlfn.IFS( J906&lt;=5,"0-5", J906&lt;=10,"6-10",J906&lt;=15,"11-15",J906&lt;=20,"16-20",J906&gt;20,"20+")</f>
        <v>0-5</v>
      </c>
      <c r="L906">
        <v>50</v>
      </c>
      <c r="M906" s="2">
        <f>L906</f>
        <v>50</v>
      </c>
      <c r="N906">
        <v>2.6</v>
      </c>
      <c r="O906" t="b">
        <v>0</v>
      </c>
      <c r="P906" t="s">
        <v>2074</v>
      </c>
      <c r="Q906" s="1">
        <v>0.86</v>
      </c>
      <c r="R906" s="1">
        <f>Q906</f>
        <v>0.86</v>
      </c>
    </row>
    <row r="907" spans="1:18" x14ac:dyDescent="0.2">
      <c r="A907" t="s">
        <v>1878</v>
      </c>
      <c r="B907" t="s">
        <v>1879</v>
      </c>
      <c r="C907" t="str">
        <f t="shared" si="344"/>
        <v>Kelly Shelton</v>
      </c>
      <c r="D907" t="s">
        <v>29</v>
      </c>
      <c r="E907" t="str">
        <f t="shared" si="345"/>
        <v>Female</v>
      </c>
      <c r="F907">
        <v>35</v>
      </c>
      <c r="G907" t="s">
        <v>57</v>
      </c>
      <c r="H907" t="s">
        <v>12</v>
      </c>
      <c r="I907" t="s">
        <v>7</v>
      </c>
      <c r="J907">
        <v>0</v>
      </c>
      <c r="K907" t="str" cm="1">
        <f t="array" ref="K907">_xlfn.IFS( J907&lt;=5,"0-5", J907&lt;=10,"6-10",J907&lt;=15,"11-15",J907&lt;=20,"16-20",J907&gt;20,"20+")</f>
        <v>0-5</v>
      </c>
      <c r="M907"/>
      <c r="O907" t="s">
        <v>64</v>
      </c>
      <c r="Q907">
        <v>85</v>
      </c>
      <c r="R907" s="3">
        <f t="shared" ref="R907:R908" si="357">Q907/100</f>
        <v>0.85</v>
      </c>
    </row>
    <row r="908" spans="1:18" x14ac:dyDescent="0.2">
      <c r="A908" t="s">
        <v>1880</v>
      </c>
      <c r="B908" t="s">
        <v>1881</v>
      </c>
      <c r="C908" t="str">
        <f t="shared" si="344"/>
        <v>Steven Duncan</v>
      </c>
      <c r="D908" t="s">
        <v>87</v>
      </c>
      <c r="E908" t="str">
        <f t="shared" si="345"/>
        <v>Male</v>
      </c>
      <c r="F908">
        <v>31</v>
      </c>
      <c r="G908" t="s">
        <v>61</v>
      </c>
      <c r="H908" t="s">
        <v>62</v>
      </c>
      <c r="I908" t="s">
        <v>104</v>
      </c>
      <c r="J908">
        <v>13</v>
      </c>
      <c r="K908" t="str" cm="1">
        <f t="array" ref="K908">_xlfn.IFS( J908&lt;=5,"0-5", J908&lt;=10,"6-10",J908&lt;=15,"11-15",J908&lt;=20,"16-20",J908&gt;20,"20+")</f>
        <v>11-15</v>
      </c>
      <c r="L908" t="s">
        <v>26</v>
      </c>
      <c r="M908" t="str">
        <f>SUBSTITUTE(L908,"$"," ")</f>
        <v xml:space="preserve"> 40</v>
      </c>
      <c r="N908">
        <v>1.2</v>
      </c>
      <c r="O908" t="b">
        <v>0</v>
      </c>
      <c r="Q908">
        <v>62</v>
      </c>
      <c r="R908" s="3">
        <f t="shared" si="357"/>
        <v>0.62</v>
      </c>
    </row>
    <row r="909" spans="1:18" x14ac:dyDescent="0.2">
      <c r="A909" t="s">
        <v>1882</v>
      </c>
      <c r="B909" t="s">
        <v>1883</v>
      </c>
      <c r="C909" t="str">
        <f t="shared" si="344"/>
        <v>Kristen Haney</v>
      </c>
      <c r="D909" t="s">
        <v>67</v>
      </c>
      <c r="E909" t="str">
        <f t="shared" si="345"/>
        <v>Female</v>
      </c>
      <c r="F909">
        <v>55</v>
      </c>
      <c r="G909" t="s">
        <v>102</v>
      </c>
      <c r="H909" t="s">
        <v>103</v>
      </c>
      <c r="I909" t="s">
        <v>34</v>
      </c>
      <c r="J909">
        <v>2</v>
      </c>
      <c r="K909" t="str" cm="1">
        <f t="array" ref="K909">_xlfn.IFS( J909&lt;=5,"0-5", J909&lt;=10,"6-10",J909&lt;=15,"11-15",J909&lt;=20,"16-20",J909&gt;20,"20+")</f>
        <v>0-5</v>
      </c>
      <c r="L909" t="s">
        <v>99</v>
      </c>
      <c r="M909" t="str">
        <f>_xlfn.TEXTAFTER(L909, " ")</f>
        <v>30</v>
      </c>
      <c r="N909">
        <v>3.1</v>
      </c>
      <c r="O909" t="s">
        <v>64</v>
      </c>
      <c r="Q909" s="1">
        <v>0.91</v>
      </c>
      <c r="R909" s="1">
        <f t="shared" ref="R909:R911" si="358">Q909</f>
        <v>0.91</v>
      </c>
    </row>
    <row r="910" spans="1:18" x14ac:dyDescent="0.2">
      <c r="A910" t="s">
        <v>1884</v>
      </c>
      <c r="B910" t="s">
        <v>1885</v>
      </c>
      <c r="C910" t="str">
        <f t="shared" si="344"/>
        <v>Kathy Reese</v>
      </c>
      <c r="D910" t="s">
        <v>4</v>
      </c>
      <c r="E910" t="str">
        <f t="shared" si="345"/>
        <v>Female</v>
      </c>
      <c r="F910">
        <v>59</v>
      </c>
      <c r="G910" t="s">
        <v>52</v>
      </c>
      <c r="H910" t="s">
        <v>53</v>
      </c>
      <c r="I910" t="s">
        <v>25</v>
      </c>
      <c r="J910">
        <v>11</v>
      </c>
      <c r="K910" t="str" cm="1">
        <f t="array" ref="K910">_xlfn.IFS( J910&lt;=5,"0-5", J910&lt;=10,"6-10",J910&lt;=15,"11-15",J910&lt;=20,"16-20",J910&gt;20,"20+")</f>
        <v>11-15</v>
      </c>
      <c r="L910" t="s">
        <v>160</v>
      </c>
      <c r="M910" t="str">
        <f>SUBSTITUTE(L910,"$"," ")</f>
        <v xml:space="preserve"> 75</v>
      </c>
      <c r="N910">
        <v>2.2999999999999998</v>
      </c>
      <c r="O910" t="s">
        <v>64</v>
      </c>
      <c r="Q910" s="1">
        <v>0.8</v>
      </c>
      <c r="R910" s="1">
        <f t="shared" si="358"/>
        <v>0.8</v>
      </c>
    </row>
    <row r="911" spans="1:18" x14ac:dyDescent="0.2">
      <c r="A911" t="s">
        <v>1886</v>
      </c>
      <c r="B911" t="s">
        <v>1887</v>
      </c>
      <c r="C911" t="str">
        <f t="shared" si="344"/>
        <v>Steven Murphy</v>
      </c>
      <c r="D911" t="s">
        <v>51</v>
      </c>
      <c r="E911" t="str">
        <f t="shared" si="345"/>
        <v>Male</v>
      </c>
      <c r="F911">
        <v>59</v>
      </c>
      <c r="G911" t="s">
        <v>125</v>
      </c>
      <c r="H911" t="s">
        <v>126</v>
      </c>
      <c r="I911" t="s">
        <v>68</v>
      </c>
      <c r="J911">
        <v>17</v>
      </c>
      <c r="K911" t="str" cm="1">
        <f t="array" ref="K911">_xlfn.IFS( J911&lt;=5,"0-5", J911&lt;=10,"6-10",J911&lt;=15,"11-15",J911&lt;=20,"16-20",J911&gt;20,"20+")</f>
        <v>16-20</v>
      </c>
      <c r="L911">
        <v>100</v>
      </c>
      <c r="M911" s="2">
        <f>L911</f>
        <v>100</v>
      </c>
      <c r="N911">
        <v>4</v>
      </c>
      <c r="O911" t="s">
        <v>149</v>
      </c>
      <c r="P911" t="s">
        <v>2074</v>
      </c>
      <c r="Q911" s="1">
        <v>0.72</v>
      </c>
      <c r="R911" s="1">
        <f t="shared" si="358"/>
        <v>0.72</v>
      </c>
    </row>
    <row r="912" spans="1:18" x14ac:dyDescent="0.2">
      <c r="A912" t="s">
        <v>1888</v>
      </c>
      <c r="B912" t="s">
        <v>1889</v>
      </c>
      <c r="C912" t="str">
        <f t="shared" si="344"/>
        <v>William Hartman</v>
      </c>
      <c r="D912" t="s">
        <v>82</v>
      </c>
      <c r="E912" t="str">
        <f t="shared" si="345"/>
        <v>Male</v>
      </c>
      <c r="F912">
        <v>47</v>
      </c>
      <c r="G912" t="s">
        <v>83</v>
      </c>
      <c r="H912" t="s">
        <v>84</v>
      </c>
      <c r="I912" t="s">
        <v>7</v>
      </c>
      <c r="J912">
        <v>10</v>
      </c>
      <c r="K912" t="str" cm="1">
        <f t="array" ref="K912">_xlfn.IFS( J912&lt;=5,"0-5", J912&lt;=10,"6-10",J912&lt;=15,"11-15",J912&lt;=20,"16-20",J912&gt;20,"20+")</f>
        <v>6-10</v>
      </c>
      <c r="L912" t="s">
        <v>160</v>
      </c>
      <c r="M912" t="str">
        <f>SUBSTITUTE(L912,"$"," ")</f>
        <v xml:space="preserve"> 75</v>
      </c>
      <c r="N912">
        <v>1.9</v>
      </c>
    </row>
    <row r="913" spans="1:18" x14ac:dyDescent="0.2">
      <c r="A913" t="s">
        <v>1890</v>
      </c>
      <c r="B913" t="s">
        <v>1891</v>
      </c>
      <c r="C913" t="str">
        <f t="shared" si="344"/>
        <v>Sonya Haley</v>
      </c>
      <c r="D913" t="s">
        <v>29</v>
      </c>
      <c r="E913" t="str">
        <f t="shared" si="345"/>
        <v>Female</v>
      </c>
      <c r="F913">
        <v>53</v>
      </c>
      <c r="G913" t="s">
        <v>143</v>
      </c>
      <c r="H913" t="s">
        <v>144</v>
      </c>
      <c r="I913" t="s">
        <v>104</v>
      </c>
      <c r="J913">
        <v>26</v>
      </c>
      <c r="K913" t="str" cm="1">
        <f t="array" ref="K913">_xlfn.IFS( J913&lt;=5,"0-5", J913&lt;=10,"6-10",J913&lt;=15,"11-15",J913&lt;=20,"16-20",J913&gt;20,"20+")</f>
        <v>20+</v>
      </c>
      <c r="L913">
        <v>75</v>
      </c>
      <c r="M913" s="2">
        <f>L913</f>
        <v>75</v>
      </c>
      <c r="N913">
        <v>2.4</v>
      </c>
      <c r="O913" t="s">
        <v>58</v>
      </c>
      <c r="P913" t="s">
        <v>2075</v>
      </c>
    </row>
    <row r="914" spans="1:18" x14ac:dyDescent="0.2">
      <c r="A914" t="s">
        <v>1892</v>
      </c>
      <c r="B914" t="s">
        <v>509</v>
      </c>
      <c r="C914" t="str">
        <f t="shared" si="344"/>
        <v>Robert Evans</v>
      </c>
      <c r="D914" t="s">
        <v>51</v>
      </c>
      <c r="E914" t="str">
        <f t="shared" si="345"/>
        <v>Male</v>
      </c>
      <c r="F914">
        <v>49</v>
      </c>
      <c r="G914" t="s">
        <v>143</v>
      </c>
      <c r="H914" t="s">
        <v>144</v>
      </c>
      <c r="I914" t="s">
        <v>41</v>
      </c>
      <c r="K914" t="str" cm="1">
        <f t="array" ref="K914">_xlfn.IFS( J914&lt;=5,"0-5", J914&lt;=10,"6-10",J914&lt;=15,"11-15",J914&lt;=20,"16-20",J914&gt;20,"20+")</f>
        <v>0-5</v>
      </c>
      <c r="L914" t="s">
        <v>35</v>
      </c>
      <c r="M914" t="str">
        <f>SUBSTITUTE(L914,"$"," ")</f>
        <v xml:space="preserve"> 30</v>
      </c>
      <c r="O914" t="s">
        <v>58</v>
      </c>
      <c r="Q914" s="1">
        <v>0.74</v>
      </c>
      <c r="R914" s="1">
        <f t="shared" ref="R914:R919" si="359">Q914</f>
        <v>0.74</v>
      </c>
    </row>
    <row r="915" spans="1:18" x14ac:dyDescent="0.2">
      <c r="A915" t="s">
        <v>1893</v>
      </c>
      <c r="B915" t="s">
        <v>1894</v>
      </c>
      <c r="C915" t="str">
        <f t="shared" si="344"/>
        <v>Patricia Richardson</v>
      </c>
      <c r="D915" t="s">
        <v>4</v>
      </c>
      <c r="E915" t="str">
        <f t="shared" si="345"/>
        <v>Female</v>
      </c>
      <c r="F915">
        <v>50</v>
      </c>
      <c r="G915" t="s">
        <v>143</v>
      </c>
      <c r="H915" t="s">
        <v>144</v>
      </c>
      <c r="I915" t="s">
        <v>13</v>
      </c>
      <c r="J915">
        <v>8</v>
      </c>
      <c r="K915" t="str" cm="1">
        <f t="array" ref="K915">_xlfn.IFS( J915&lt;=5,"0-5", J915&lt;=10,"6-10",J915&lt;=15,"11-15",J915&lt;=20,"16-20",J915&gt;20,"20+")</f>
        <v>6-10</v>
      </c>
      <c r="L915" t="s">
        <v>88</v>
      </c>
      <c r="M915" t="str">
        <f t="shared" ref="M915:M917" si="360">_xlfn.TEXTAFTER(L915, " ")</f>
        <v>50</v>
      </c>
      <c r="N915">
        <v>3.7</v>
      </c>
      <c r="O915" t="s">
        <v>64</v>
      </c>
      <c r="Q915" s="1">
        <v>0.82</v>
      </c>
      <c r="R915" s="1">
        <f t="shared" si="359"/>
        <v>0.82</v>
      </c>
    </row>
    <row r="916" spans="1:18" x14ac:dyDescent="0.2">
      <c r="A916" t="s">
        <v>1895</v>
      </c>
      <c r="B916" t="s">
        <v>1896</v>
      </c>
      <c r="C916" t="str">
        <f t="shared" si="344"/>
        <v>Carolyn Lopez</v>
      </c>
      <c r="D916" t="s">
        <v>29</v>
      </c>
      <c r="E916" t="str">
        <f t="shared" si="345"/>
        <v>Female</v>
      </c>
      <c r="F916">
        <v>59</v>
      </c>
      <c r="G916" t="s">
        <v>102</v>
      </c>
      <c r="H916" t="s">
        <v>103</v>
      </c>
      <c r="I916" t="s">
        <v>104</v>
      </c>
      <c r="J916">
        <v>22</v>
      </c>
      <c r="K916" t="str" cm="1">
        <f t="array" ref="K916">_xlfn.IFS( J916&lt;=5,"0-5", J916&lt;=10,"6-10",J916&lt;=15,"11-15",J916&lt;=20,"16-20",J916&gt;20,"20+")</f>
        <v>20+</v>
      </c>
      <c r="L916" t="s">
        <v>14</v>
      </c>
      <c r="M916" t="str">
        <f t="shared" si="360"/>
        <v>100</v>
      </c>
      <c r="N916">
        <v>1.1000000000000001</v>
      </c>
      <c r="O916" t="s">
        <v>149</v>
      </c>
      <c r="Q916" s="1">
        <v>0.85</v>
      </c>
      <c r="R916" s="1">
        <f t="shared" si="359"/>
        <v>0.85</v>
      </c>
    </row>
    <row r="917" spans="1:18" x14ac:dyDescent="0.2">
      <c r="A917" t="s">
        <v>1897</v>
      </c>
      <c r="B917" t="s">
        <v>1898</v>
      </c>
      <c r="C917" t="str">
        <f t="shared" si="344"/>
        <v>Kyle Burns</v>
      </c>
      <c r="D917" t="s">
        <v>82</v>
      </c>
      <c r="E917" t="str">
        <f t="shared" si="345"/>
        <v>Male</v>
      </c>
      <c r="F917">
        <v>33</v>
      </c>
      <c r="G917" t="s">
        <v>52</v>
      </c>
      <c r="H917" t="s">
        <v>53</v>
      </c>
      <c r="I917" t="s">
        <v>41</v>
      </c>
      <c r="J917">
        <v>8</v>
      </c>
      <c r="K917" t="str" cm="1">
        <f t="array" ref="K917">_xlfn.IFS( J917&lt;=5,"0-5", J917&lt;=10,"6-10",J917&lt;=15,"11-15",J917&lt;=20,"16-20",J917&gt;20,"20+")</f>
        <v>6-10</v>
      </c>
      <c r="L917" t="s">
        <v>42</v>
      </c>
      <c r="M917" t="str">
        <f t="shared" si="360"/>
        <v>75</v>
      </c>
      <c r="N917">
        <v>2.2999999999999998</v>
      </c>
      <c r="O917" t="b">
        <v>1</v>
      </c>
      <c r="Q917" s="1">
        <v>0.68</v>
      </c>
      <c r="R917" s="1">
        <f t="shared" si="359"/>
        <v>0.68</v>
      </c>
    </row>
    <row r="918" spans="1:18" x14ac:dyDescent="0.2">
      <c r="A918" t="s">
        <v>1899</v>
      </c>
      <c r="B918" t="s">
        <v>1900</v>
      </c>
      <c r="C918" t="str">
        <f t="shared" si="344"/>
        <v>Margaret Garcia</v>
      </c>
      <c r="D918" t="s">
        <v>4</v>
      </c>
      <c r="E918" t="str">
        <f t="shared" si="345"/>
        <v>Female</v>
      </c>
      <c r="F918">
        <v>45</v>
      </c>
      <c r="G918" t="s">
        <v>118</v>
      </c>
      <c r="H918" t="s">
        <v>12</v>
      </c>
      <c r="I918" t="s">
        <v>25</v>
      </c>
      <c r="J918">
        <v>22</v>
      </c>
      <c r="K918" t="str" cm="1">
        <f t="array" ref="K918">_xlfn.IFS( J918&lt;=5,"0-5", J918&lt;=10,"6-10",J918&lt;=15,"11-15",J918&lt;=20,"16-20",J918&gt;20,"20+")</f>
        <v>20+</v>
      </c>
      <c r="L918">
        <v>40</v>
      </c>
      <c r="M918" s="2">
        <f t="shared" ref="M918:M922" si="361">L918</f>
        <v>40</v>
      </c>
      <c r="N918">
        <v>3.7</v>
      </c>
      <c r="O918" t="s">
        <v>64</v>
      </c>
      <c r="P918" t="s">
        <v>2075</v>
      </c>
      <c r="Q918" s="1">
        <v>0.99</v>
      </c>
      <c r="R918" s="1">
        <f t="shared" si="359"/>
        <v>0.99</v>
      </c>
    </row>
    <row r="919" spans="1:18" x14ac:dyDescent="0.2">
      <c r="A919" t="s">
        <v>1901</v>
      </c>
      <c r="B919" t="s">
        <v>1902</v>
      </c>
      <c r="C919" t="str">
        <f t="shared" si="344"/>
        <v>Brittany Barker</v>
      </c>
      <c r="D919" t="s">
        <v>29</v>
      </c>
      <c r="E919" t="str">
        <f t="shared" si="345"/>
        <v>Female</v>
      </c>
      <c r="F919">
        <v>36</v>
      </c>
      <c r="G919" t="s">
        <v>5</v>
      </c>
      <c r="H919" t="s">
        <v>6</v>
      </c>
      <c r="I919" t="s">
        <v>20</v>
      </c>
      <c r="J919">
        <v>14</v>
      </c>
      <c r="K919" t="str" cm="1">
        <f t="array" ref="K919">_xlfn.IFS( J919&lt;=5,"0-5", J919&lt;=10,"6-10",J919&lt;=15,"11-15",J919&lt;=20,"16-20",J919&gt;20,"20+")</f>
        <v>11-15</v>
      </c>
      <c r="L919">
        <v>30</v>
      </c>
      <c r="M919" s="2">
        <f t="shared" si="361"/>
        <v>30</v>
      </c>
      <c r="N919">
        <v>1.9</v>
      </c>
      <c r="O919">
        <v>0</v>
      </c>
      <c r="P919" t="s">
        <v>2074</v>
      </c>
      <c r="Q919" s="1">
        <v>0.62</v>
      </c>
      <c r="R919" s="1">
        <f t="shared" si="359"/>
        <v>0.62</v>
      </c>
    </row>
    <row r="920" spans="1:18" x14ac:dyDescent="0.2">
      <c r="A920" t="s">
        <v>1903</v>
      </c>
      <c r="B920" t="s">
        <v>1904</v>
      </c>
      <c r="C920" t="str">
        <f t="shared" si="344"/>
        <v>Paul Campbell</v>
      </c>
      <c r="D920" t="s">
        <v>17</v>
      </c>
      <c r="E920" t="str">
        <f t="shared" si="345"/>
        <v>Male</v>
      </c>
      <c r="F920">
        <v>46</v>
      </c>
      <c r="G920" t="s">
        <v>143</v>
      </c>
      <c r="H920" t="s">
        <v>144</v>
      </c>
      <c r="I920" t="s">
        <v>63</v>
      </c>
      <c r="J920">
        <v>6</v>
      </c>
      <c r="K920" t="str" cm="1">
        <f t="array" ref="K920">_xlfn.IFS( J920&lt;=5,"0-5", J920&lt;=10,"6-10",J920&lt;=15,"11-15",J920&lt;=20,"16-20",J920&gt;20,"20+")</f>
        <v>6-10</v>
      </c>
      <c r="L920">
        <v>30</v>
      </c>
      <c r="M920" s="2">
        <f t="shared" si="361"/>
        <v>30</v>
      </c>
      <c r="N920">
        <v>1.5</v>
      </c>
      <c r="O920" t="s">
        <v>21</v>
      </c>
      <c r="P920" t="s">
        <v>2074</v>
      </c>
    </row>
    <row r="921" spans="1:18" x14ac:dyDescent="0.2">
      <c r="A921" t="s">
        <v>1905</v>
      </c>
      <c r="B921" t="s">
        <v>1906</v>
      </c>
      <c r="C921" t="str">
        <f t="shared" si="344"/>
        <v>Amy Morrow</v>
      </c>
      <c r="D921" t="s">
        <v>29</v>
      </c>
      <c r="E921" t="str">
        <f t="shared" si="345"/>
        <v>Female</v>
      </c>
      <c r="F921">
        <v>53</v>
      </c>
      <c r="G921" t="s">
        <v>52</v>
      </c>
      <c r="H921" t="s">
        <v>53</v>
      </c>
      <c r="I921" t="s">
        <v>20</v>
      </c>
      <c r="J921">
        <v>14</v>
      </c>
      <c r="K921" t="str" cm="1">
        <f t="array" ref="K921">_xlfn.IFS( J921&lt;=5,"0-5", J921&lt;=10,"6-10",J921&lt;=15,"11-15",J921&lt;=20,"16-20",J921&gt;20,"20+")</f>
        <v>11-15</v>
      </c>
      <c r="L921">
        <v>30</v>
      </c>
      <c r="M921" s="2">
        <f t="shared" si="361"/>
        <v>30</v>
      </c>
      <c r="N921">
        <v>0</v>
      </c>
      <c r="O921" t="b">
        <v>0</v>
      </c>
      <c r="P921" t="s">
        <v>2074</v>
      </c>
      <c r="Q921" s="1">
        <v>0.83</v>
      </c>
      <c r="R921" s="1">
        <f t="shared" ref="R921:R923" si="362">Q921</f>
        <v>0.83</v>
      </c>
    </row>
    <row r="922" spans="1:18" x14ac:dyDescent="0.2">
      <c r="A922" t="s">
        <v>1907</v>
      </c>
      <c r="B922" t="s">
        <v>1908</v>
      </c>
      <c r="C922" t="str">
        <f t="shared" si="344"/>
        <v>Amy Fitzgerald</v>
      </c>
      <c r="D922" t="s">
        <v>4</v>
      </c>
      <c r="E922" t="str">
        <f t="shared" si="345"/>
        <v>Female</v>
      </c>
      <c r="F922">
        <v>24</v>
      </c>
      <c r="G922" t="s">
        <v>48</v>
      </c>
      <c r="H922" t="s">
        <v>12</v>
      </c>
      <c r="I922" t="s">
        <v>25</v>
      </c>
      <c r="J922">
        <v>2</v>
      </c>
      <c r="K922" t="str" cm="1">
        <f t="array" ref="K922">_xlfn.IFS( J922&lt;=5,"0-5", J922&lt;=10,"6-10",J922&lt;=15,"11-15",J922&lt;=20,"16-20",J922&gt;20,"20+")</f>
        <v>0-5</v>
      </c>
      <c r="L922">
        <v>30</v>
      </c>
      <c r="M922" s="2">
        <f t="shared" si="361"/>
        <v>30</v>
      </c>
      <c r="N922">
        <v>3.6</v>
      </c>
      <c r="Q922" s="1">
        <v>0.92</v>
      </c>
      <c r="R922" s="1">
        <f t="shared" si="362"/>
        <v>0.92</v>
      </c>
    </row>
    <row r="923" spans="1:18" x14ac:dyDescent="0.2">
      <c r="A923" t="s">
        <v>1909</v>
      </c>
      <c r="B923" t="s">
        <v>1910</v>
      </c>
      <c r="C923" t="str">
        <f t="shared" si="344"/>
        <v>Anita Becker</v>
      </c>
      <c r="D923" t="s">
        <v>29</v>
      </c>
      <c r="E923" t="str">
        <f t="shared" si="345"/>
        <v>Female</v>
      </c>
      <c r="F923">
        <v>49</v>
      </c>
      <c r="G923" t="s">
        <v>180</v>
      </c>
      <c r="H923" t="s">
        <v>62</v>
      </c>
      <c r="I923" t="s">
        <v>79</v>
      </c>
      <c r="J923">
        <v>4</v>
      </c>
      <c r="K923" t="str" cm="1">
        <f t="array" ref="K923">_xlfn.IFS( J923&lt;=5,"0-5", J923&lt;=10,"6-10",J923&lt;=15,"11-15",J923&lt;=20,"16-20",J923&gt;20,"20+")</f>
        <v>0-5</v>
      </c>
      <c r="L923" t="s">
        <v>160</v>
      </c>
      <c r="M923" t="str">
        <f>SUBSTITUTE(L923,"$"," ")</f>
        <v xml:space="preserve"> 75</v>
      </c>
      <c r="N923">
        <v>2.1</v>
      </c>
      <c r="Q923" s="1">
        <v>0.85</v>
      </c>
      <c r="R923" s="1">
        <f t="shared" si="362"/>
        <v>0.85</v>
      </c>
    </row>
    <row r="924" spans="1:18" x14ac:dyDescent="0.2">
      <c r="A924" t="s">
        <v>1911</v>
      </c>
      <c r="B924" t="s">
        <v>1912</v>
      </c>
      <c r="C924" t="str">
        <f>_xlfn.TEXTAFTER(B924,".",)</f>
        <v xml:space="preserve"> Amy Brooks</v>
      </c>
      <c r="D924" t="s">
        <v>24</v>
      </c>
      <c r="F924">
        <v>49</v>
      </c>
      <c r="G924" t="s">
        <v>102</v>
      </c>
      <c r="H924" t="s">
        <v>103</v>
      </c>
      <c r="I924" t="s">
        <v>34</v>
      </c>
      <c r="J924">
        <v>4</v>
      </c>
      <c r="K924" t="str" cm="1">
        <f t="array" ref="K924">_xlfn.IFS( J924&lt;=5,"0-5", J924&lt;=10,"6-10",J924&lt;=15,"11-15",J924&lt;=20,"16-20",J924&gt;20,"20+")</f>
        <v>0-5</v>
      </c>
      <c r="L924">
        <v>75</v>
      </c>
      <c r="M924" s="2">
        <f t="shared" ref="M924:M926" si="363">L924</f>
        <v>75</v>
      </c>
      <c r="N924">
        <v>2.9</v>
      </c>
      <c r="O924" t="s">
        <v>21</v>
      </c>
      <c r="P924" t="s">
        <v>2074</v>
      </c>
    </row>
    <row r="925" spans="1:18" x14ac:dyDescent="0.2">
      <c r="A925" t="s">
        <v>1913</v>
      </c>
      <c r="B925" t="s">
        <v>1914</v>
      </c>
      <c r="C925" t="str">
        <f t="shared" ref="C925:C964" si="364">B925</f>
        <v>Lori Marshall</v>
      </c>
      <c r="D925" t="s">
        <v>10</v>
      </c>
      <c r="E925" t="str">
        <f t="shared" ref="E925:E964" si="365">IF(LOWER(LEFT(D925,1)) ="f", "Female", "Male")</f>
        <v>Female</v>
      </c>
      <c r="F925">
        <v>49</v>
      </c>
      <c r="G925" t="s">
        <v>102</v>
      </c>
      <c r="H925" t="s">
        <v>103</v>
      </c>
      <c r="I925" t="s">
        <v>13</v>
      </c>
      <c r="J925">
        <v>24</v>
      </c>
      <c r="K925" t="str" cm="1">
        <f t="array" ref="K925">_xlfn.IFS( J925&lt;=5,"0-5", J925&lt;=10,"6-10",J925&lt;=15,"11-15",J925&lt;=20,"16-20",J925&gt;20,"20+")</f>
        <v>20+</v>
      </c>
      <c r="L925">
        <v>100</v>
      </c>
      <c r="M925" s="2">
        <f t="shared" si="363"/>
        <v>100</v>
      </c>
      <c r="N925">
        <v>3.6</v>
      </c>
      <c r="O925" t="b">
        <v>1</v>
      </c>
      <c r="P925" t="s">
        <v>2075</v>
      </c>
    </row>
    <row r="926" spans="1:18" x14ac:dyDescent="0.2">
      <c r="A926" t="s">
        <v>1915</v>
      </c>
      <c r="B926" t="s">
        <v>1916</v>
      </c>
      <c r="C926" t="str">
        <f t="shared" si="364"/>
        <v>Jennifer Miller</v>
      </c>
      <c r="D926" t="s">
        <v>67</v>
      </c>
      <c r="E926" t="str">
        <f t="shared" si="365"/>
        <v>Female</v>
      </c>
      <c r="F926">
        <v>58</v>
      </c>
      <c r="G926" t="s">
        <v>97</v>
      </c>
      <c r="H926" t="s">
        <v>98</v>
      </c>
      <c r="I926" t="s">
        <v>7</v>
      </c>
      <c r="J926">
        <v>29</v>
      </c>
      <c r="K926" t="str" cm="1">
        <f t="array" ref="K926">_xlfn.IFS( J926&lt;=5,"0-5", J926&lt;=10,"6-10",J926&lt;=15,"11-15",J926&lt;=20,"16-20",J926&gt;20,"20+")</f>
        <v>20+</v>
      </c>
      <c r="L926">
        <v>30</v>
      </c>
      <c r="M926" s="2">
        <f t="shared" si="363"/>
        <v>30</v>
      </c>
      <c r="N926">
        <v>3.3</v>
      </c>
      <c r="O926" t="s">
        <v>58</v>
      </c>
      <c r="P926" t="s">
        <v>2075</v>
      </c>
      <c r="Q926" s="1">
        <v>0.89</v>
      </c>
      <c r="R926" s="1">
        <f t="shared" ref="R926:R927" si="366">Q926</f>
        <v>0.89</v>
      </c>
    </row>
    <row r="927" spans="1:18" x14ac:dyDescent="0.2">
      <c r="A927" t="s">
        <v>1917</v>
      </c>
      <c r="B927" t="s">
        <v>1918</v>
      </c>
      <c r="C927" t="str">
        <f t="shared" si="364"/>
        <v>Thomas Young</v>
      </c>
      <c r="D927" t="s">
        <v>51</v>
      </c>
      <c r="E927" t="str">
        <f t="shared" si="365"/>
        <v>Male</v>
      </c>
      <c r="F927">
        <v>50</v>
      </c>
      <c r="G927" t="s">
        <v>143</v>
      </c>
      <c r="H927" t="s">
        <v>144</v>
      </c>
      <c r="I927" t="s">
        <v>63</v>
      </c>
      <c r="J927">
        <v>13</v>
      </c>
      <c r="K927" t="str" cm="1">
        <f t="array" ref="K927">_xlfn.IFS( J927&lt;=5,"0-5", J927&lt;=10,"6-10",J927&lt;=15,"11-15",J927&lt;=20,"16-20",J927&gt;20,"20+")</f>
        <v>11-15</v>
      </c>
      <c r="M927"/>
      <c r="N927">
        <v>2.5</v>
      </c>
      <c r="O927" t="s">
        <v>64</v>
      </c>
      <c r="Q927" s="1">
        <v>0.81</v>
      </c>
      <c r="R927" s="1">
        <f t="shared" si="366"/>
        <v>0.81</v>
      </c>
    </row>
    <row r="928" spans="1:18" x14ac:dyDescent="0.2">
      <c r="A928" t="s">
        <v>1919</v>
      </c>
      <c r="B928" t="s">
        <v>1920</v>
      </c>
      <c r="C928" t="str">
        <f t="shared" si="364"/>
        <v>Zachary Larsen</v>
      </c>
      <c r="D928" t="s">
        <v>82</v>
      </c>
      <c r="E928" t="str">
        <f t="shared" si="365"/>
        <v>Male</v>
      </c>
      <c r="F928">
        <v>27</v>
      </c>
      <c r="G928" t="s">
        <v>143</v>
      </c>
      <c r="H928" t="s">
        <v>144</v>
      </c>
      <c r="I928" t="s">
        <v>79</v>
      </c>
      <c r="J928">
        <v>1</v>
      </c>
      <c r="K928" t="str" cm="1">
        <f t="array" ref="K928">_xlfn.IFS( J928&lt;=5,"0-5", J928&lt;=10,"6-10",J928&lt;=15,"11-15",J928&lt;=20,"16-20",J928&gt;20,"20+")</f>
        <v>0-5</v>
      </c>
      <c r="L928" t="s">
        <v>14</v>
      </c>
      <c r="M928" t="str">
        <f>_xlfn.TEXTAFTER(L928, " ")</f>
        <v>100</v>
      </c>
      <c r="N928">
        <v>3.7</v>
      </c>
      <c r="O928" t="s">
        <v>64</v>
      </c>
      <c r="Q928">
        <v>61</v>
      </c>
      <c r="R928" s="3">
        <f>Q928/100</f>
        <v>0.61</v>
      </c>
    </row>
    <row r="929" spans="1:18" x14ac:dyDescent="0.2">
      <c r="A929" t="s">
        <v>1921</v>
      </c>
      <c r="B929" t="s">
        <v>1922</v>
      </c>
      <c r="C929" t="str">
        <f t="shared" si="364"/>
        <v>Valerie Gutierrez</v>
      </c>
      <c r="D929" t="s">
        <v>24</v>
      </c>
      <c r="E929" t="str">
        <f t="shared" si="365"/>
        <v>Female</v>
      </c>
      <c r="F929">
        <v>20</v>
      </c>
      <c r="G929" t="s">
        <v>102</v>
      </c>
      <c r="H929" t="s">
        <v>103</v>
      </c>
      <c r="I929" t="s">
        <v>104</v>
      </c>
      <c r="K929" t="str" cm="1">
        <f t="array" ref="K929">_xlfn.IFS( J929&lt;=5,"0-5", J929&lt;=10,"6-10",J929&lt;=15,"11-15",J929&lt;=20,"16-20",J929&gt;20,"20+")</f>
        <v>0-5</v>
      </c>
      <c r="L929" t="s">
        <v>35</v>
      </c>
      <c r="M929" t="str">
        <f t="shared" ref="M929:M930" si="367">SUBSTITUTE(L929,"$"," ")</f>
        <v xml:space="preserve"> 30</v>
      </c>
      <c r="N929">
        <v>4.5999999999999996</v>
      </c>
      <c r="O929">
        <v>1</v>
      </c>
    </row>
    <row r="930" spans="1:18" x14ac:dyDescent="0.2">
      <c r="A930" t="s">
        <v>1923</v>
      </c>
      <c r="B930" t="s">
        <v>1924</v>
      </c>
      <c r="C930" t="str">
        <f t="shared" si="364"/>
        <v>Daniel Parker</v>
      </c>
      <c r="D930" t="s">
        <v>51</v>
      </c>
      <c r="E930" t="str">
        <f t="shared" si="365"/>
        <v>Male</v>
      </c>
      <c r="F930">
        <v>52</v>
      </c>
      <c r="G930" t="s">
        <v>114</v>
      </c>
      <c r="H930" t="s">
        <v>115</v>
      </c>
      <c r="I930" t="s">
        <v>7</v>
      </c>
      <c r="J930">
        <v>15</v>
      </c>
      <c r="K930" t="str" cm="1">
        <f t="array" ref="K930">_xlfn.IFS( J930&lt;=5,"0-5", J930&lt;=10,"6-10",J930&lt;=15,"11-15",J930&lt;=20,"16-20",J930&gt;20,"20+")</f>
        <v>11-15</v>
      </c>
      <c r="L930" t="s">
        <v>26</v>
      </c>
      <c r="M930" t="str">
        <f t="shared" si="367"/>
        <v xml:space="preserve"> 40</v>
      </c>
      <c r="N930">
        <v>0</v>
      </c>
      <c r="O930">
        <v>1</v>
      </c>
      <c r="Q930" s="1">
        <v>0.92</v>
      </c>
      <c r="R930" s="1">
        <f t="shared" ref="R930:R935" si="368">Q930</f>
        <v>0.92</v>
      </c>
    </row>
    <row r="931" spans="1:18" x14ac:dyDescent="0.2">
      <c r="A931" t="s">
        <v>1925</v>
      </c>
      <c r="B931" t="s">
        <v>1926</v>
      </c>
      <c r="C931" t="str">
        <f t="shared" si="364"/>
        <v>Nicole Bennett</v>
      </c>
      <c r="D931" t="s">
        <v>67</v>
      </c>
      <c r="E931" t="str">
        <f t="shared" si="365"/>
        <v>Female</v>
      </c>
      <c r="F931">
        <v>22</v>
      </c>
      <c r="G931" t="s">
        <v>125</v>
      </c>
      <c r="H931" t="s">
        <v>126</v>
      </c>
      <c r="I931" t="s">
        <v>104</v>
      </c>
      <c r="J931">
        <v>2</v>
      </c>
      <c r="K931" t="str" cm="1">
        <f t="array" ref="K931">_xlfn.IFS( J931&lt;=5,"0-5", J931&lt;=10,"6-10",J931&lt;=15,"11-15",J931&lt;=20,"16-20",J931&gt;20,"20+")</f>
        <v>0-5</v>
      </c>
      <c r="L931">
        <v>30</v>
      </c>
      <c r="M931" s="2">
        <f t="shared" ref="M931:M932" si="369">L931</f>
        <v>30</v>
      </c>
      <c r="N931">
        <v>2</v>
      </c>
      <c r="O931" t="s">
        <v>149</v>
      </c>
      <c r="P931" t="s">
        <v>2074</v>
      </c>
      <c r="Q931" s="1">
        <v>0.96</v>
      </c>
      <c r="R931" s="1">
        <f t="shared" si="368"/>
        <v>0.96</v>
      </c>
    </row>
    <row r="932" spans="1:18" x14ac:dyDescent="0.2">
      <c r="A932" t="s">
        <v>1927</v>
      </c>
      <c r="B932" t="s">
        <v>1928</v>
      </c>
      <c r="C932" t="str">
        <f t="shared" si="364"/>
        <v>Lauren Lowery</v>
      </c>
      <c r="D932" t="s">
        <v>67</v>
      </c>
      <c r="E932" t="str">
        <f t="shared" si="365"/>
        <v>Female</v>
      </c>
      <c r="F932">
        <v>38</v>
      </c>
      <c r="G932" t="s">
        <v>52</v>
      </c>
      <c r="H932" t="s">
        <v>53</v>
      </c>
      <c r="I932" t="s">
        <v>25</v>
      </c>
      <c r="J932">
        <v>14</v>
      </c>
      <c r="K932" t="str" cm="1">
        <f t="array" ref="K932">_xlfn.IFS( J932&lt;=5,"0-5", J932&lt;=10,"6-10",J932&lt;=15,"11-15",J932&lt;=20,"16-20",J932&gt;20,"20+")</f>
        <v>11-15</v>
      </c>
      <c r="L932">
        <v>100</v>
      </c>
      <c r="M932" s="2">
        <f t="shared" si="369"/>
        <v>100</v>
      </c>
      <c r="N932">
        <v>1.7</v>
      </c>
      <c r="O932" t="b">
        <v>0</v>
      </c>
      <c r="P932" t="s">
        <v>2074</v>
      </c>
      <c r="Q932" s="1">
        <v>0.66</v>
      </c>
      <c r="R932" s="1">
        <f t="shared" si="368"/>
        <v>0.66</v>
      </c>
    </row>
    <row r="933" spans="1:18" x14ac:dyDescent="0.2">
      <c r="A933" t="s">
        <v>1929</v>
      </c>
      <c r="B933" t="s">
        <v>1930</v>
      </c>
      <c r="C933" t="str">
        <f t="shared" si="364"/>
        <v>Alexander Woodward</v>
      </c>
      <c r="D933" t="s">
        <v>17</v>
      </c>
      <c r="E933" t="str">
        <f t="shared" si="365"/>
        <v>Male</v>
      </c>
      <c r="F933">
        <v>21</v>
      </c>
      <c r="G933" t="s">
        <v>118</v>
      </c>
      <c r="H933" t="s">
        <v>12</v>
      </c>
      <c r="I933" t="s">
        <v>20</v>
      </c>
      <c r="J933">
        <v>0</v>
      </c>
      <c r="K933" t="str" cm="1">
        <f t="array" ref="K933">_xlfn.IFS( J933&lt;=5,"0-5", J933&lt;=10,"6-10",J933&lt;=15,"11-15",J933&lt;=20,"16-20",J933&gt;20,"20+")</f>
        <v>0-5</v>
      </c>
      <c r="L933" t="s">
        <v>14</v>
      </c>
      <c r="M933" t="str">
        <f>_xlfn.TEXTAFTER(L933, " ")</f>
        <v>100</v>
      </c>
      <c r="N933">
        <v>3</v>
      </c>
      <c r="O933" t="s">
        <v>21</v>
      </c>
      <c r="Q933" s="1">
        <v>0.64</v>
      </c>
      <c r="R933" s="1">
        <f t="shared" si="368"/>
        <v>0.64</v>
      </c>
    </row>
    <row r="934" spans="1:18" x14ac:dyDescent="0.2">
      <c r="A934" t="s">
        <v>1931</v>
      </c>
      <c r="B934" t="s">
        <v>1932</v>
      </c>
      <c r="C934" t="str">
        <f t="shared" si="364"/>
        <v>Anthony Walter</v>
      </c>
      <c r="D934" t="s">
        <v>51</v>
      </c>
      <c r="E934" t="str">
        <f t="shared" si="365"/>
        <v>Male</v>
      </c>
      <c r="F934">
        <v>41</v>
      </c>
      <c r="G934" t="s">
        <v>11</v>
      </c>
      <c r="H934" t="s">
        <v>12</v>
      </c>
      <c r="I934" t="s">
        <v>34</v>
      </c>
      <c r="J934">
        <v>15</v>
      </c>
      <c r="K934" t="str" cm="1">
        <f t="array" ref="K934">_xlfn.IFS( J934&lt;=5,"0-5", J934&lt;=10,"6-10",J934&lt;=15,"11-15",J934&lt;=20,"16-20",J934&gt;20,"20+")</f>
        <v>11-15</v>
      </c>
      <c r="L934">
        <v>40</v>
      </c>
      <c r="M934" s="2">
        <f t="shared" ref="M934:M935" si="370">L934</f>
        <v>40</v>
      </c>
      <c r="N934">
        <v>3.4</v>
      </c>
      <c r="O934" t="b">
        <v>0</v>
      </c>
      <c r="P934" t="s">
        <v>2074</v>
      </c>
      <c r="Q934" s="1">
        <v>1</v>
      </c>
      <c r="R934" s="1">
        <f t="shared" si="368"/>
        <v>1</v>
      </c>
    </row>
    <row r="935" spans="1:18" x14ac:dyDescent="0.2">
      <c r="A935" t="s">
        <v>1933</v>
      </c>
      <c r="B935" t="s">
        <v>1934</v>
      </c>
      <c r="C935" t="str">
        <f t="shared" si="364"/>
        <v>Valerie Finley</v>
      </c>
      <c r="D935" t="s">
        <v>29</v>
      </c>
      <c r="E935" t="str">
        <f t="shared" si="365"/>
        <v>Female</v>
      </c>
      <c r="F935">
        <v>33</v>
      </c>
      <c r="G935" t="s">
        <v>39</v>
      </c>
      <c r="H935" t="s">
        <v>40</v>
      </c>
      <c r="I935" t="s">
        <v>7</v>
      </c>
      <c r="J935">
        <v>6</v>
      </c>
      <c r="K935" t="str" cm="1">
        <f t="array" ref="K935">_xlfn.IFS( J935&lt;=5,"0-5", J935&lt;=10,"6-10",J935&lt;=15,"11-15",J935&lt;=20,"16-20",J935&gt;20,"20+")</f>
        <v>6-10</v>
      </c>
      <c r="L935">
        <v>40</v>
      </c>
      <c r="M935" s="2">
        <f t="shared" si="370"/>
        <v>40</v>
      </c>
      <c r="N935">
        <v>3.2</v>
      </c>
      <c r="O935">
        <v>1</v>
      </c>
      <c r="P935" t="s">
        <v>2075</v>
      </c>
      <c r="Q935" s="1">
        <v>0.95</v>
      </c>
      <c r="R935" s="1">
        <f t="shared" si="368"/>
        <v>0.95</v>
      </c>
    </row>
    <row r="936" spans="1:18" x14ac:dyDescent="0.2">
      <c r="A936" t="s">
        <v>1935</v>
      </c>
      <c r="B936" t="s">
        <v>1936</v>
      </c>
      <c r="C936" t="str">
        <f t="shared" si="364"/>
        <v>Deborah Kelley</v>
      </c>
      <c r="D936" t="s">
        <v>4</v>
      </c>
      <c r="E936" t="str">
        <f t="shared" si="365"/>
        <v>Female</v>
      </c>
      <c r="F936">
        <v>38</v>
      </c>
      <c r="G936" t="s">
        <v>169</v>
      </c>
      <c r="H936" t="s">
        <v>62</v>
      </c>
      <c r="I936" t="s">
        <v>13</v>
      </c>
      <c r="J936">
        <v>11</v>
      </c>
      <c r="K936" t="str" cm="1">
        <f t="array" ref="K936">_xlfn.IFS( J936&lt;=5,"0-5", J936&lt;=10,"6-10",J936&lt;=15,"11-15",J936&lt;=20,"16-20",J936&gt;20,"20+")</f>
        <v>11-15</v>
      </c>
      <c r="M936"/>
      <c r="N936">
        <v>2.8</v>
      </c>
      <c r="Q936">
        <v>91</v>
      </c>
      <c r="R936" s="3">
        <f>Q936/100</f>
        <v>0.91</v>
      </c>
    </row>
    <row r="937" spans="1:18" x14ac:dyDescent="0.2">
      <c r="A937" t="s">
        <v>1937</v>
      </c>
      <c r="B937" t="s">
        <v>1938</v>
      </c>
      <c r="C937" t="str">
        <f t="shared" si="364"/>
        <v>Kristina Miller</v>
      </c>
      <c r="D937" t="s">
        <v>24</v>
      </c>
      <c r="E937" t="str">
        <f t="shared" si="365"/>
        <v>Female</v>
      </c>
      <c r="F937">
        <v>26</v>
      </c>
      <c r="G937" t="s">
        <v>114</v>
      </c>
      <c r="H937" t="s">
        <v>115</v>
      </c>
      <c r="I937" t="s">
        <v>79</v>
      </c>
      <c r="J937">
        <v>8</v>
      </c>
      <c r="K937" t="str" cm="1">
        <f t="array" ref="K937">_xlfn.IFS( J937&lt;=5,"0-5", J937&lt;=10,"6-10",J937&lt;=15,"11-15",J937&lt;=20,"16-20",J937&gt;20,"20+")</f>
        <v>6-10</v>
      </c>
      <c r="L937" t="s">
        <v>304</v>
      </c>
      <c r="M937" t="str">
        <f>_xlfn.TEXTAFTER(L937, " ")</f>
        <v>20</v>
      </c>
      <c r="N937">
        <v>4.0999999999999996</v>
      </c>
      <c r="O937" t="s">
        <v>58</v>
      </c>
      <c r="Q937" s="1">
        <v>0.82</v>
      </c>
      <c r="R937" s="1">
        <f t="shared" ref="R937:R939" si="371">Q937</f>
        <v>0.82</v>
      </c>
    </row>
    <row r="938" spans="1:18" x14ac:dyDescent="0.2">
      <c r="A938" t="s">
        <v>1939</v>
      </c>
      <c r="B938" t="s">
        <v>1940</v>
      </c>
      <c r="C938" t="str">
        <f t="shared" si="364"/>
        <v>Anne Hampton</v>
      </c>
      <c r="D938" t="s">
        <v>4</v>
      </c>
      <c r="E938" t="str">
        <f t="shared" si="365"/>
        <v>Female</v>
      </c>
      <c r="F938">
        <v>43</v>
      </c>
      <c r="G938" t="s">
        <v>32</v>
      </c>
      <c r="H938" t="s">
        <v>33</v>
      </c>
      <c r="I938" t="s">
        <v>34</v>
      </c>
      <c r="J938">
        <v>3</v>
      </c>
      <c r="K938" t="str" cm="1">
        <f t="array" ref="K938">_xlfn.IFS( J938&lt;=5,"0-5", J938&lt;=10,"6-10",J938&lt;=15,"11-15",J938&lt;=20,"16-20",J938&gt;20,"20+")</f>
        <v>0-5</v>
      </c>
      <c r="L938">
        <v>20</v>
      </c>
      <c r="M938" s="2">
        <f>L938</f>
        <v>20</v>
      </c>
      <c r="N938">
        <v>0</v>
      </c>
      <c r="O938" t="s">
        <v>64</v>
      </c>
      <c r="P938" t="s">
        <v>2075</v>
      </c>
      <c r="Q938" s="1">
        <v>0.95</v>
      </c>
      <c r="R938" s="1">
        <f t="shared" si="371"/>
        <v>0.95</v>
      </c>
    </row>
    <row r="939" spans="1:18" x14ac:dyDescent="0.2">
      <c r="A939" t="s">
        <v>1941</v>
      </c>
      <c r="B939" t="s">
        <v>1942</v>
      </c>
      <c r="C939" t="str">
        <f t="shared" si="364"/>
        <v>Sandra Henry</v>
      </c>
      <c r="D939" t="s">
        <v>67</v>
      </c>
      <c r="E939" t="str">
        <f t="shared" si="365"/>
        <v>Female</v>
      </c>
      <c r="F939">
        <v>21</v>
      </c>
      <c r="G939" t="s">
        <v>5</v>
      </c>
      <c r="H939" t="s">
        <v>6</v>
      </c>
      <c r="I939" t="s">
        <v>68</v>
      </c>
      <c r="J939">
        <v>0</v>
      </c>
      <c r="K939" t="str" cm="1">
        <f t="array" ref="K939">_xlfn.IFS( J939&lt;=5,"0-5", J939&lt;=10,"6-10",J939&lt;=15,"11-15",J939&lt;=20,"16-20",J939&gt;20,"20+")</f>
        <v>0-5</v>
      </c>
      <c r="M939"/>
      <c r="N939">
        <v>0</v>
      </c>
      <c r="O939">
        <v>1</v>
      </c>
      <c r="Q939" s="1">
        <v>0.95</v>
      </c>
      <c r="R939" s="1">
        <f t="shared" si="371"/>
        <v>0.95</v>
      </c>
    </row>
    <row r="940" spans="1:18" x14ac:dyDescent="0.2">
      <c r="A940" t="s">
        <v>1943</v>
      </c>
      <c r="B940" t="s">
        <v>1944</v>
      </c>
      <c r="C940" t="str">
        <f t="shared" si="364"/>
        <v>Tony Hester</v>
      </c>
      <c r="D940" t="s">
        <v>51</v>
      </c>
      <c r="E940" t="str">
        <f t="shared" si="365"/>
        <v>Male</v>
      </c>
      <c r="F940">
        <v>47</v>
      </c>
      <c r="G940" t="s">
        <v>102</v>
      </c>
      <c r="H940" t="s">
        <v>103</v>
      </c>
      <c r="I940" t="s">
        <v>13</v>
      </c>
      <c r="J940">
        <v>7</v>
      </c>
      <c r="K940" t="str" cm="1">
        <f t="array" ref="K940">_xlfn.IFS( J940&lt;=5,"0-5", J940&lt;=10,"6-10",J940&lt;=15,"11-15",J940&lt;=20,"16-20",J940&gt;20,"20+")</f>
        <v>6-10</v>
      </c>
      <c r="L940" t="s">
        <v>99</v>
      </c>
      <c r="M940" t="str">
        <f>_xlfn.TEXTAFTER(L940, " ")</f>
        <v>30</v>
      </c>
      <c r="Q940">
        <v>69</v>
      </c>
      <c r="R940" s="3">
        <f>Q940/100</f>
        <v>0.69</v>
      </c>
    </row>
    <row r="941" spans="1:18" x14ac:dyDescent="0.2">
      <c r="A941" t="s">
        <v>1945</v>
      </c>
      <c r="B941" t="s">
        <v>1946</v>
      </c>
      <c r="C941" t="str">
        <f t="shared" si="364"/>
        <v>Nathan Davis</v>
      </c>
      <c r="D941" t="s">
        <v>51</v>
      </c>
      <c r="E941" t="str">
        <f t="shared" si="365"/>
        <v>Male</v>
      </c>
      <c r="F941">
        <v>35</v>
      </c>
      <c r="G941" t="s">
        <v>180</v>
      </c>
      <c r="H941" t="s">
        <v>62</v>
      </c>
      <c r="I941" t="s">
        <v>20</v>
      </c>
      <c r="J941">
        <v>6</v>
      </c>
      <c r="K941" t="str" cm="1">
        <f t="array" ref="K941">_xlfn.IFS( J941&lt;=5,"0-5", J941&lt;=10,"6-10",J941&lt;=15,"11-15",J941&lt;=20,"16-20",J941&gt;20,"20+")</f>
        <v>6-10</v>
      </c>
      <c r="L941">
        <v>40</v>
      </c>
      <c r="M941" s="2">
        <f>L941</f>
        <v>40</v>
      </c>
      <c r="O941" t="s">
        <v>58</v>
      </c>
      <c r="P941" t="s">
        <v>2075</v>
      </c>
      <c r="Q941" s="1">
        <v>0.91</v>
      </c>
      <c r="R941" s="1">
        <f>Q941</f>
        <v>0.91</v>
      </c>
    </row>
    <row r="942" spans="1:18" x14ac:dyDescent="0.2">
      <c r="A942" t="s">
        <v>1947</v>
      </c>
      <c r="B942" t="s">
        <v>1948</v>
      </c>
      <c r="C942" t="str">
        <f t="shared" si="364"/>
        <v>Erica Jackson</v>
      </c>
      <c r="D942" t="s">
        <v>67</v>
      </c>
      <c r="E942" t="str">
        <f t="shared" si="365"/>
        <v>Female</v>
      </c>
      <c r="F942">
        <v>37</v>
      </c>
      <c r="G942" t="s">
        <v>39</v>
      </c>
      <c r="H942" t="s">
        <v>40</v>
      </c>
      <c r="I942" t="s">
        <v>13</v>
      </c>
      <c r="J942">
        <v>9</v>
      </c>
      <c r="K942" t="str" cm="1">
        <f t="array" ref="K942">_xlfn.IFS( J942&lt;=5,"0-5", J942&lt;=10,"6-10",J942&lt;=15,"11-15",J942&lt;=20,"16-20",J942&gt;20,"20+")</f>
        <v>6-10</v>
      </c>
      <c r="L942" t="s">
        <v>35</v>
      </c>
      <c r="M942" t="str">
        <f>SUBSTITUTE(L942,"$"," ")</f>
        <v xml:space="preserve"> 30</v>
      </c>
      <c r="N942">
        <v>2.7</v>
      </c>
      <c r="O942">
        <v>1</v>
      </c>
    </row>
    <row r="943" spans="1:18" x14ac:dyDescent="0.2">
      <c r="A943" t="s">
        <v>1949</v>
      </c>
      <c r="B943" t="s">
        <v>1950</v>
      </c>
      <c r="C943" t="str">
        <f t="shared" si="364"/>
        <v>Nancy Glover</v>
      </c>
      <c r="D943" t="s">
        <v>10</v>
      </c>
      <c r="E943" t="str">
        <f t="shared" si="365"/>
        <v>Female</v>
      </c>
      <c r="F943">
        <v>38</v>
      </c>
      <c r="G943" t="s">
        <v>97</v>
      </c>
      <c r="H943" t="s">
        <v>98</v>
      </c>
      <c r="I943" t="s">
        <v>34</v>
      </c>
      <c r="J943">
        <v>15</v>
      </c>
      <c r="K943" t="str" cm="1">
        <f t="array" ref="K943">_xlfn.IFS( J943&lt;=5,"0-5", J943&lt;=10,"6-10",J943&lt;=15,"11-15",J943&lt;=20,"16-20",J943&gt;20,"20+")</f>
        <v>11-15</v>
      </c>
      <c r="L943">
        <v>40</v>
      </c>
      <c r="M943" s="2">
        <f t="shared" ref="M943:M945" si="372">L943</f>
        <v>40</v>
      </c>
      <c r="N943">
        <v>4</v>
      </c>
      <c r="Q943" s="1">
        <v>0.62</v>
      </c>
      <c r="R943" s="1">
        <f t="shared" ref="R943:R954" si="373">Q943</f>
        <v>0.62</v>
      </c>
    </row>
    <row r="944" spans="1:18" x14ac:dyDescent="0.2">
      <c r="A944" t="s">
        <v>1951</v>
      </c>
      <c r="B944" t="s">
        <v>1952</v>
      </c>
      <c r="C944" t="str">
        <f t="shared" si="364"/>
        <v>Richard Sanchez</v>
      </c>
      <c r="D944" t="s">
        <v>51</v>
      </c>
      <c r="E944" t="str">
        <f t="shared" si="365"/>
        <v>Male</v>
      </c>
      <c r="F944">
        <v>40</v>
      </c>
      <c r="G944" t="s">
        <v>118</v>
      </c>
      <c r="H944" t="s">
        <v>12</v>
      </c>
      <c r="I944" t="s">
        <v>41</v>
      </c>
      <c r="J944">
        <v>20</v>
      </c>
      <c r="K944" t="str" cm="1">
        <f t="array" ref="K944">_xlfn.IFS( J944&lt;=5,"0-5", J944&lt;=10,"6-10",J944&lt;=15,"11-15",J944&lt;=20,"16-20",J944&gt;20,"20+")</f>
        <v>16-20</v>
      </c>
      <c r="L944">
        <v>20</v>
      </c>
      <c r="M944" s="2">
        <f t="shared" si="372"/>
        <v>20</v>
      </c>
      <c r="N944">
        <v>2.5</v>
      </c>
      <c r="O944">
        <v>0</v>
      </c>
      <c r="P944" t="s">
        <v>2074</v>
      </c>
      <c r="Q944" s="1">
        <v>0.81</v>
      </c>
      <c r="R944" s="1">
        <f t="shared" si="373"/>
        <v>0.81</v>
      </c>
    </row>
    <row r="945" spans="1:18" x14ac:dyDescent="0.2">
      <c r="A945" t="s">
        <v>1953</v>
      </c>
      <c r="B945" t="s">
        <v>1954</v>
      </c>
      <c r="C945" t="str">
        <f t="shared" si="364"/>
        <v>Savannah Reid</v>
      </c>
      <c r="D945" t="s">
        <v>4</v>
      </c>
      <c r="E945" t="str">
        <f t="shared" si="365"/>
        <v>Female</v>
      </c>
      <c r="F945">
        <v>46</v>
      </c>
      <c r="G945" t="s">
        <v>97</v>
      </c>
      <c r="H945" t="s">
        <v>98</v>
      </c>
      <c r="I945" t="s">
        <v>41</v>
      </c>
      <c r="J945">
        <v>16</v>
      </c>
      <c r="K945" t="str" cm="1">
        <f t="array" ref="K945">_xlfn.IFS( J945&lt;=5,"0-5", J945&lt;=10,"6-10",J945&lt;=15,"11-15",J945&lt;=20,"16-20",J945&gt;20,"20+")</f>
        <v>16-20</v>
      </c>
      <c r="L945">
        <v>75</v>
      </c>
      <c r="M945" s="2">
        <f t="shared" si="372"/>
        <v>75</v>
      </c>
      <c r="N945">
        <v>0</v>
      </c>
      <c r="O945" t="s">
        <v>149</v>
      </c>
      <c r="P945" t="s">
        <v>2074</v>
      </c>
      <c r="Q945" s="1">
        <v>0.94</v>
      </c>
      <c r="R945" s="1">
        <f t="shared" si="373"/>
        <v>0.94</v>
      </c>
    </row>
    <row r="946" spans="1:18" x14ac:dyDescent="0.2">
      <c r="A946" t="s">
        <v>1955</v>
      </c>
      <c r="B946" t="s">
        <v>1956</v>
      </c>
      <c r="C946" t="str">
        <f t="shared" si="364"/>
        <v>Robert Salazar</v>
      </c>
      <c r="D946" t="s">
        <v>38</v>
      </c>
      <c r="E946" t="str">
        <f t="shared" si="365"/>
        <v>Male</v>
      </c>
      <c r="F946">
        <v>56</v>
      </c>
      <c r="G946" t="s">
        <v>129</v>
      </c>
      <c r="H946" t="s">
        <v>130</v>
      </c>
      <c r="I946" t="s">
        <v>79</v>
      </c>
      <c r="J946">
        <v>22</v>
      </c>
      <c r="K946" t="str" cm="1">
        <f t="array" ref="K946">_xlfn.IFS( J946&lt;=5,"0-5", J946&lt;=10,"6-10",J946&lt;=15,"11-15",J946&lt;=20,"16-20",J946&gt;20,"20+")</f>
        <v>20+</v>
      </c>
      <c r="L946" t="s">
        <v>99</v>
      </c>
      <c r="M946" t="str">
        <f>_xlfn.TEXTAFTER(L946, " ")</f>
        <v>30</v>
      </c>
      <c r="O946" t="s">
        <v>149</v>
      </c>
      <c r="Q946" s="1">
        <v>0.95</v>
      </c>
      <c r="R946" s="1">
        <f t="shared" si="373"/>
        <v>0.95</v>
      </c>
    </row>
    <row r="947" spans="1:18" x14ac:dyDescent="0.2">
      <c r="A947" t="s">
        <v>1957</v>
      </c>
      <c r="B947" t="s">
        <v>1958</v>
      </c>
      <c r="C947" t="str">
        <f t="shared" si="364"/>
        <v>Hector Greer</v>
      </c>
      <c r="D947" t="s">
        <v>38</v>
      </c>
      <c r="E947" t="str">
        <f t="shared" si="365"/>
        <v>Male</v>
      </c>
      <c r="F947">
        <v>24</v>
      </c>
      <c r="G947" t="s">
        <v>52</v>
      </c>
      <c r="H947" t="s">
        <v>53</v>
      </c>
      <c r="I947" t="s">
        <v>20</v>
      </c>
      <c r="J947">
        <v>2</v>
      </c>
      <c r="K947" t="str" cm="1">
        <f t="array" ref="K947">_xlfn.IFS( J947&lt;=5,"0-5", J947&lt;=10,"6-10",J947&lt;=15,"11-15",J947&lt;=20,"16-20",J947&gt;20,"20+")</f>
        <v>0-5</v>
      </c>
      <c r="M947"/>
      <c r="N947">
        <v>1.6</v>
      </c>
      <c r="O947" t="s">
        <v>149</v>
      </c>
      <c r="Q947" s="1">
        <v>1</v>
      </c>
      <c r="R947" s="1">
        <f t="shared" si="373"/>
        <v>1</v>
      </c>
    </row>
    <row r="948" spans="1:18" x14ac:dyDescent="0.2">
      <c r="A948" t="s">
        <v>1959</v>
      </c>
      <c r="B948" t="s">
        <v>1960</v>
      </c>
      <c r="C948" t="str">
        <f t="shared" si="364"/>
        <v>Thomas Jackson</v>
      </c>
      <c r="D948" t="s">
        <v>82</v>
      </c>
      <c r="E948" t="str">
        <f t="shared" si="365"/>
        <v>Male</v>
      </c>
      <c r="G948" t="s">
        <v>169</v>
      </c>
      <c r="H948" t="s">
        <v>62</v>
      </c>
      <c r="I948" t="s">
        <v>34</v>
      </c>
      <c r="J948">
        <v>1</v>
      </c>
      <c r="K948" t="str" cm="1">
        <f t="array" ref="K948">_xlfn.IFS( J948&lt;=5,"0-5", J948&lt;=10,"6-10",J948&lt;=15,"11-15",J948&lt;=20,"16-20",J948&gt;20,"20+")</f>
        <v>0-5</v>
      </c>
      <c r="L948">
        <v>75</v>
      </c>
      <c r="M948" s="2">
        <f t="shared" ref="M948:M949" si="374">L948</f>
        <v>75</v>
      </c>
      <c r="N948">
        <v>0</v>
      </c>
      <c r="O948" t="b">
        <v>1</v>
      </c>
      <c r="P948" t="s">
        <v>2075</v>
      </c>
      <c r="Q948" s="1">
        <v>0.94</v>
      </c>
      <c r="R948" s="1">
        <f t="shared" si="373"/>
        <v>0.94</v>
      </c>
    </row>
    <row r="949" spans="1:18" x14ac:dyDescent="0.2">
      <c r="A949" t="s">
        <v>1961</v>
      </c>
      <c r="B949" t="s">
        <v>1962</v>
      </c>
      <c r="C949" t="str">
        <f t="shared" si="364"/>
        <v>Tina Clark</v>
      </c>
      <c r="D949" t="s">
        <v>24</v>
      </c>
      <c r="E949" t="str">
        <f t="shared" si="365"/>
        <v>Female</v>
      </c>
      <c r="F949">
        <v>38</v>
      </c>
      <c r="G949" t="s">
        <v>52</v>
      </c>
      <c r="H949" t="s">
        <v>53</v>
      </c>
      <c r="I949" t="s">
        <v>13</v>
      </c>
      <c r="J949">
        <v>8</v>
      </c>
      <c r="K949" t="str" cm="1">
        <f t="array" ref="K949">_xlfn.IFS( J949&lt;=5,"0-5", J949&lt;=10,"6-10",J949&lt;=15,"11-15",J949&lt;=20,"16-20",J949&gt;20,"20+")</f>
        <v>6-10</v>
      </c>
      <c r="L949">
        <v>30</v>
      </c>
      <c r="M949" s="2">
        <f t="shared" si="374"/>
        <v>30</v>
      </c>
      <c r="N949">
        <v>4</v>
      </c>
      <c r="O949">
        <v>1</v>
      </c>
      <c r="P949" t="s">
        <v>2075</v>
      </c>
      <c r="Q949" s="1">
        <v>0.92</v>
      </c>
      <c r="R949" s="1">
        <f t="shared" si="373"/>
        <v>0.92</v>
      </c>
    </row>
    <row r="950" spans="1:18" x14ac:dyDescent="0.2">
      <c r="A950" t="s">
        <v>1963</v>
      </c>
      <c r="B950" t="s">
        <v>1964</v>
      </c>
      <c r="C950" t="str">
        <f t="shared" si="364"/>
        <v>Heather Brown</v>
      </c>
      <c r="D950" t="s">
        <v>67</v>
      </c>
      <c r="E950" t="str">
        <f t="shared" si="365"/>
        <v>Female</v>
      </c>
      <c r="F950">
        <v>28</v>
      </c>
      <c r="G950" t="s">
        <v>125</v>
      </c>
      <c r="H950" t="s">
        <v>126</v>
      </c>
      <c r="I950" t="s">
        <v>79</v>
      </c>
      <c r="J950">
        <v>8</v>
      </c>
      <c r="K950" t="str" cm="1">
        <f t="array" ref="K950">_xlfn.IFS( J950&lt;=5,"0-5", J950&lt;=10,"6-10",J950&lt;=15,"11-15",J950&lt;=20,"16-20",J950&gt;20,"20+")</f>
        <v>6-10</v>
      </c>
      <c r="L950" t="s">
        <v>88</v>
      </c>
      <c r="M950" t="str">
        <f>_xlfn.TEXTAFTER(L950, " ")</f>
        <v>50</v>
      </c>
      <c r="N950">
        <v>2.5</v>
      </c>
      <c r="O950" t="b">
        <v>1</v>
      </c>
      <c r="Q950" s="1">
        <v>0.95</v>
      </c>
      <c r="R950" s="1">
        <f t="shared" si="373"/>
        <v>0.95</v>
      </c>
    </row>
    <row r="951" spans="1:18" x14ac:dyDescent="0.2">
      <c r="A951" t="s">
        <v>1965</v>
      </c>
      <c r="B951" t="s">
        <v>1966</v>
      </c>
      <c r="C951" t="str">
        <f t="shared" si="364"/>
        <v>John Weaver</v>
      </c>
      <c r="D951" t="s">
        <v>38</v>
      </c>
      <c r="E951" t="str">
        <f t="shared" si="365"/>
        <v>Male</v>
      </c>
      <c r="F951">
        <v>25</v>
      </c>
      <c r="G951" t="s">
        <v>97</v>
      </c>
      <c r="H951" t="s">
        <v>98</v>
      </c>
      <c r="I951" t="s">
        <v>79</v>
      </c>
      <c r="J951">
        <v>7</v>
      </c>
      <c r="K951" t="str" cm="1">
        <f t="array" ref="K951">_xlfn.IFS( J951&lt;=5,"0-5", J951&lt;=10,"6-10",J951&lt;=15,"11-15",J951&lt;=20,"16-20",J951&gt;20,"20+")</f>
        <v>6-10</v>
      </c>
      <c r="L951" t="s">
        <v>111</v>
      </c>
      <c r="M951" t="str">
        <f>SUBSTITUTE(L951,"$"," ")</f>
        <v xml:space="preserve"> 20</v>
      </c>
      <c r="N951">
        <v>3.8</v>
      </c>
      <c r="Q951" s="1">
        <v>0.97</v>
      </c>
      <c r="R951" s="1">
        <f t="shared" si="373"/>
        <v>0.97</v>
      </c>
    </row>
    <row r="952" spans="1:18" x14ac:dyDescent="0.2">
      <c r="A952" t="s">
        <v>1967</v>
      </c>
      <c r="B952" t="s">
        <v>1968</v>
      </c>
      <c r="C952" t="str">
        <f t="shared" si="364"/>
        <v>Bradley Harris</v>
      </c>
      <c r="D952" t="s">
        <v>87</v>
      </c>
      <c r="E952" t="str">
        <f t="shared" si="365"/>
        <v>Male</v>
      </c>
      <c r="F952">
        <v>41</v>
      </c>
      <c r="G952" t="s">
        <v>57</v>
      </c>
      <c r="H952" t="s">
        <v>12</v>
      </c>
      <c r="I952" t="s">
        <v>79</v>
      </c>
      <c r="J952">
        <v>8</v>
      </c>
      <c r="K952" t="str" cm="1">
        <f t="array" ref="K952">_xlfn.IFS( J952&lt;=5,"0-5", J952&lt;=10,"6-10",J952&lt;=15,"11-15",J952&lt;=20,"16-20",J952&gt;20,"20+")</f>
        <v>6-10</v>
      </c>
      <c r="L952">
        <v>50</v>
      </c>
      <c r="M952" s="2">
        <f t="shared" ref="M952:M953" si="375">L952</f>
        <v>50</v>
      </c>
      <c r="N952">
        <v>4.8</v>
      </c>
      <c r="O952" t="s">
        <v>21</v>
      </c>
      <c r="P952" t="s">
        <v>2074</v>
      </c>
      <c r="Q952" s="1">
        <v>0.75</v>
      </c>
      <c r="R952" s="1">
        <f t="shared" si="373"/>
        <v>0.75</v>
      </c>
    </row>
    <row r="953" spans="1:18" x14ac:dyDescent="0.2">
      <c r="A953" t="s">
        <v>1969</v>
      </c>
      <c r="B953" t="s">
        <v>1970</v>
      </c>
      <c r="C953" t="str">
        <f t="shared" si="364"/>
        <v>Cassandra Macdonald</v>
      </c>
      <c r="D953" t="s">
        <v>4</v>
      </c>
      <c r="E953" t="str">
        <f t="shared" si="365"/>
        <v>Female</v>
      </c>
      <c r="F953">
        <v>45</v>
      </c>
      <c r="G953" t="s">
        <v>169</v>
      </c>
      <c r="H953" t="s">
        <v>62</v>
      </c>
      <c r="I953" t="s">
        <v>41</v>
      </c>
      <c r="J953">
        <v>6</v>
      </c>
      <c r="K953" t="str" cm="1">
        <f t="array" ref="K953">_xlfn.IFS( J953&lt;=5,"0-5", J953&lt;=10,"6-10",J953&lt;=15,"11-15",J953&lt;=20,"16-20",J953&gt;20,"20+")</f>
        <v>6-10</v>
      </c>
      <c r="L953">
        <v>40</v>
      </c>
      <c r="M953" s="2">
        <f t="shared" si="375"/>
        <v>40</v>
      </c>
      <c r="N953">
        <v>2</v>
      </c>
      <c r="O953">
        <v>1</v>
      </c>
      <c r="P953" t="s">
        <v>2075</v>
      </c>
      <c r="Q953" s="1">
        <v>0.78</v>
      </c>
      <c r="R953" s="1">
        <f t="shared" si="373"/>
        <v>0.78</v>
      </c>
    </row>
    <row r="954" spans="1:18" x14ac:dyDescent="0.2">
      <c r="A954" t="s">
        <v>1971</v>
      </c>
      <c r="B954" t="s">
        <v>1972</v>
      </c>
      <c r="C954" t="str">
        <f t="shared" si="364"/>
        <v>Matthew White</v>
      </c>
      <c r="D954" t="s">
        <v>38</v>
      </c>
      <c r="E954" t="str">
        <f t="shared" si="365"/>
        <v>Male</v>
      </c>
      <c r="F954">
        <v>47</v>
      </c>
      <c r="G954" t="s">
        <v>52</v>
      </c>
      <c r="H954" t="s">
        <v>53</v>
      </c>
      <c r="I954" t="s">
        <v>79</v>
      </c>
      <c r="J954">
        <v>16</v>
      </c>
      <c r="K954" t="str" cm="1">
        <f t="array" ref="K954">_xlfn.IFS( J954&lt;=5,"0-5", J954&lt;=10,"6-10",J954&lt;=15,"11-15",J954&lt;=20,"16-20",J954&gt;20,"20+")</f>
        <v>16-20</v>
      </c>
      <c r="L954" t="s">
        <v>219</v>
      </c>
      <c r="M954" t="str">
        <f>SUBSTITUTE(L954,"$"," ")</f>
        <v xml:space="preserve"> 100</v>
      </c>
      <c r="N954">
        <v>3.3</v>
      </c>
      <c r="O954">
        <v>0</v>
      </c>
      <c r="Q954" s="1">
        <v>0.65</v>
      </c>
      <c r="R954" s="1">
        <f t="shared" si="373"/>
        <v>0.65</v>
      </c>
    </row>
    <row r="955" spans="1:18" x14ac:dyDescent="0.2">
      <c r="A955" t="s">
        <v>1973</v>
      </c>
      <c r="B955" t="s">
        <v>1974</v>
      </c>
      <c r="C955" t="str">
        <f t="shared" si="364"/>
        <v>Miss Kimberly Marshall</v>
      </c>
      <c r="D955" t="s">
        <v>24</v>
      </c>
      <c r="E955" t="str">
        <f t="shared" si="365"/>
        <v>Female</v>
      </c>
      <c r="F955">
        <v>59</v>
      </c>
      <c r="G955" t="s">
        <v>57</v>
      </c>
      <c r="H955" t="s">
        <v>12</v>
      </c>
      <c r="I955" t="s">
        <v>41</v>
      </c>
      <c r="J955">
        <v>40</v>
      </c>
      <c r="K955" t="str" cm="1">
        <f t="array" ref="K955">_xlfn.IFS( J955&lt;=5,"0-5", J955&lt;=10,"6-10",J955&lt;=15,"11-15",J955&lt;=20,"16-20",J955&gt;20,"20+")</f>
        <v>20+</v>
      </c>
      <c r="L955">
        <v>40</v>
      </c>
      <c r="M955" s="2">
        <f>L955</f>
        <v>40</v>
      </c>
      <c r="N955">
        <v>2.5</v>
      </c>
      <c r="O955" t="b">
        <v>1</v>
      </c>
      <c r="P955" t="s">
        <v>2075</v>
      </c>
      <c r="Q955">
        <v>70</v>
      </c>
      <c r="R955" s="3">
        <f t="shared" ref="R955:R956" si="376">Q955/100</f>
        <v>0.7</v>
      </c>
    </row>
    <row r="956" spans="1:18" x14ac:dyDescent="0.2">
      <c r="A956" t="s">
        <v>1975</v>
      </c>
      <c r="B956" t="s">
        <v>1976</v>
      </c>
      <c r="C956" t="str">
        <f t="shared" si="364"/>
        <v>Laura Thompson</v>
      </c>
      <c r="D956" t="s">
        <v>67</v>
      </c>
      <c r="E956" t="str">
        <f t="shared" si="365"/>
        <v>Female</v>
      </c>
      <c r="F956">
        <v>25</v>
      </c>
      <c r="G956" t="s">
        <v>118</v>
      </c>
      <c r="H956" t="s">
        <v>12</v>
      </c>
      <c r="I956" t="s">
        <v>7</v>
      </c>
      <c r="J956">
        <v>6</v>
      </c>
      <c r="K956" t="str" cm="1">
        <f t="array" ref="K956">_xlfn.IFS( J956&lt;=5,"0-5", J956&lt;=10,"6-10",J956&lt;=15,"11-15",J956&lt;=20,"16-20",J956&gt;20,"20+")</f>
        <v>6-10</v>
      </c>
      <c r="L956" t="s">
        <v>219</v>
      </c>
      <c r="M956" t="str">
        <f>SUBSTITUTE(L956,"$"," ")</f>
        <v xml:space="preserve"> 100</v>
      </c>
      <c r="O956" t="s">
        <v>64</v>
      </c>
      <c r="Q956">
        <v>78</v>
      </c>
      <c r="R956" s="3">
        <f t="shared" si="376"/>
        <v>0.78</v>
      </c>
    </row>
    <row r="957" spans="1:18" x14ac:dyDescent="0.2">
      <c r="A957" t="s">
        <v>1977</v>
      </c>
      <c r="B957" t="s">
        <v>1978</v>
      </c>
      <c r="C957" t="str">
        <f t="shared" si="364"/>
        <v>Nathan Soto</v>
      </c>
      <c r="D957" t="s">
        <v>87</v>
      </c>
      <c r="E957" t="str">
        <f t="shared" si="365"/>
        <v>Male</v>
      </c>
      <c r="F957">
        <v>27</v>
      </c>
      <c r="G957" t="s">
        <v>11</v>
      </c>
      <c r="H957" t="s">
        <v>12</v>
      </c>
      <c r="I957" t="s">
        <v>25</v>
      </c>
      <c r="J957">
        <v>3</v>
      </c>
      <c r="K957" t="str" cm="1">
        <f t="array" ref="K957">_xlfn.IFS( J957&lt;=5,"0-5", J957&lt;=10,"6-10",J957&lt;=15,"11-15",J957&lt;=20,"16-20",J957&gt;20,"20+")</f>
        <v>0-5</v>
      </c>
      <c r="L957" t="s">
        <v>88</v>
      </c>
      <c r="M957" t="str">
        <f t="shared" ref="M957:M958" si="377">_xlfn.TEXTAFTER(L957, " ")</f>
        <v>50</v>
      </c>
      <c r="O957">
        <v>1</v>
      </c>
      <c r="Q957" s="1">
        <v>0.96</v>
      </c>
      <c r="R957" s="1">
        <f t="shared" ref="R957:R960" si="378">Q957</f>
        <v>0.96</v>
      </c>
    </row>
    <row r="958" spans="1:18" x14ac:dyDescent="0.2">
      <c r="A958" t="s">
        <v>1979</v>
      </c>
      <c r="B958" t="s">
        <v>1980</v>
      </c>
      <c r="C958" t="str">
        <f t="shared" si="364"/>
        <v>Rhonda Hines</v>
      </c>
      <c r="D958" t="s">
        <v>24</v>
      </c>
      <c r="E958" t="str">
        <f t="shared" si="365"/>
        <v>Female</v>
      </c>
      <c r="F958">
        <v>57</v>
      </c>
      <c r="G958" t="s">
        <v>11</v>
      </c>
      <c r="H958" t="s">
        <v>12</v>
      </c>
      <c r="I958" t="s">
        <v>34</v>
      </c>
      <c r="J958">
        <v>5</v>
      </c>
      <c r="K958" t="str" cm="1">
        <f t="array" ref="K958">_xlfn.IFS( J958&lt;=5,"0-5", J958&lt;=10,"6-10",J958&lt;=15,"11-15",J958&lt;=20,"16-20",J958&gt;20,"20+")</f>
        <v>0-5</v>
      </c>
      <c r="L958" t="s">
        <v>14</v>
      </c>
      <c r="M958" t="str">
        <f t="shared" si="377"/>
        <v>100</v>
      </c>
      <c r="N958">
        <v>0</v>
      </c>
      <c r="O958">
        <v>1</v>
      </c>
      <c r="Q958" s="1">
        <v>0.8</v>
      </c>
      <c r="R958" s="1">
        <f t="shared" si="378"/>
        <v>0.8</v>
      </c>
    </row>
    <row r="959" spans="1:18" x14ac:dyDescent="0.2">
      <c r="A959" t="s">
        <v>1981</v>
      </c>
      <c r="B959" t="s">
        <v>1982</v>
      </c>
      <c r="C959" t="str">
        <f t="shared" si="364"/>
        <v>Gabrielle Bowman</v>
      </c>
      <c r="D959" t="s">
        <v>24</v>
      </c>
      <c r="E959" t="str">
        <f t="shared" si="365"/>
        <v>Female</v>
      </c>
      <c r="F959">
        <v>34</v>
      </c>
      <c r="G959" t="s">
        <v>52</v>
      </c>
      <c r="H959" t="s">
        <v>53</v>
      </c>
      <c r="I959" t="s">
        <v>63</v>
      </c>
      <c r="J959">
        <v>12</v>
      </c>
      <c r="K959" t="str" cm="1">
        <f t="array" ref="K959">_xlfn.IFS( J959&lt;=5,"0-5", J959&lt;=10,"6-10",J959&lt;=15,"11-15",J959&lt;=20,"16-20",J959&gt;20,"20+")</f>
        <v>11-15</v>
      </c>
      <c r="L959" t="s">
        <v>111</v>
      </c>
      <c r="M959" t="str">
        <f>SUBSTITUTE(L959,"$"," ")</f>
        <v xml:space="preserve"> 20</v>
      </c>
      <c r="N959">
        <v>1.6</v>
      </c>
      <c r="O959" t="s">
        <v>58</v>
      </c>
      <c r="Q959" s="1">
        <v>0.64</v>
      </c>
      <c r="R959" s="1">
        <f t="shared" si="378"/>
        <v>0.64</v>
      </c>
    </row>
    <row r="960" spans="1:18" x14ac:dyDescent="0.2">
      <c r="A960" t="s">
        <v>1983</v>
      </c>
      <c r="B960" t="s">
        <v>1984</v>
      </c>
      <c r="C960" t="str">
        <f t="shared" si="364"/>
        <v>Julian Edwards</v>
      </c>
      <c r="D960" t="s">
        <v>82</v>
      </c>
      <c r="E960" t="str">
        <f t="shared" si="365"/>
        <v>Male</v>
      </c>
      <c r="F960">
        <v>55</v>
      </c>
      <c r="G960" t="s">
        <v>125</v>
      </c>
      <c r="H960" t="s">
        <v>126</v>
      </c>
      <c r="I960" t="s">
        <v>63</v>
      </c>
      <c r="J960">
        <v>33</v>
      </c>
      <c r="K960" t="str" cm="1">
        <f t="array" ref="K960">_xlfn.IFS( J960&lt;=5,"0-5", J960&lt;=10,"6-10",J960&lt;=15,"11-15",J960&lt;=20,"16-20",J960&gt;20,"20+")</f>
        <v>20+</v>
      </c>
      <c r="L960">
        <v>50</v>
      </c>
      <c r="M960" s="2">
        <f t="shared" ref="M960:M961" si="379">L960</f>
        <v>50</v>
      </c>
      <c r="N960">
        <v>0</v>
      </c>
      <c r="O960" t="b">
        <v>0</v>
      </c>
      <c r="P960" t="s">
        <v>2074</v>
      </c>
      <c r="Q960" s="1">
        <v>0.92</v>
      </c>
      <c r="R960" s="1">
        <f t="shared" si="378"/>
        <v>0.92</v>
      </c>
    </row>
    <row r="961" spans="1:18" x14ac:dyDescent="0.2">
      <c r="A961" t="s">
        <v>1985</v>
      </c>
      <c r="B961" t="s">
        <v>1986</v>
      </c>
      <c r="C961" t="str">
        <f t="shared" si="364"/>
        <v>Nicholas Scott</v>
      </c>
      <c r="D961" t="s">
        <v>17</v>
      </c>
      <c r="E961" t="str">
        <f t="shared" si="365"/>
        <v>Male</v>
      </c>
      <c r="F961">
        <v>21</v>
      </c>
      <c r="G961" t="s">
        <v>129</v>
      </c>
      <c r="H961" t="s">
        <v>130</v>
      </c>
      <c r="I961" t="s">
        <v>7</v>
      </c>
      <c r="J961">
        <v>1</v>
      </c>
      <c r="K961" t="str" cm="1">
        <f t="array" ref="K961">_xlfn.IFS( J961&lt;=5,"0-5", J961&lt;=10,"6-10",J961&lt;=15,"11-15",J961&lt;=20,"16-20",J961&gt;20,"20+")</f>
        <v>0-5</v>
      </c>
      <c r="L961">
        <v>100</v>
      </c>
      <c r="M961" s="2">
        <f t="shared" si="379"/>
        <v>100</v>
      </c>
      <c r="N961">
        <v>0</v>
      </c>
      <c r="O961">
        <v>1</v>
      </c>
      <c r="P961" t="s">
        <v>2075</v>
      </c>
    </row>
    <row r="962" spans="1:18" x14ac:dyDescent="0.2">
      <c r="A962" t="s">
        <v>1987</v>
      </c>
      <c r="B962" t="s">
        <v>1988</v>
      </c>
      <c r="C962" t="str">
        <f t="shared" si="364"/>
        <v>Daniel Green</v>
      </c>
      <c r="D962" t="s">
        <v>51</v>
      </c>
      <c r="E962" t="str">
        <f t="shared" si="365"/>
        <v>Male</v>
      </c>
      <c r="F962">
        <v>53</v>
      </c>
      <c r="G962" t="s">
        <v>32</v>
      </c>
      <c r="H962" t="s">
        <v>33</v>
      </c>
      <c r="I962" t="s">
        <v>79</v>
      </c>
      <c r="J962">
        <v>27</v>
      </c>
      <c r="K962" t="str" cm="1">
        <f t="array" ref="K962">_xlfn.IFS( J962&lt;=5,"0-5", J962&lt;=10,"6-10",J962&lt;=15,"11-15",J962&lt;=20,"16-20",J962&gt;20,"20+")</f>
        <v>20+</v>
      </c>
      <c r="L962" t="s">
        <v>304</v>
      </c>
      <c r="M962" t="str">
        <f>_xlfn.TEXTAFTER(L962, " ")</f>
        <v>20</v>
      </c>
      <c r="N962">
        <v>4.7</v>
      </c>
      <c r="O962" t="s">
        <v>58</v>
      </c>
      <c r="Q962">
        <v>71</v>
      </c>
      <c r="R962" s="3">
        <f>Q962/100</f>
        <v>0.71</v>
      </c>
    </row>
    <row r="963" spans="1:18" x14ac:dyDescent="0.2">
      <c r="A963" t="s">
        <v>1989</v>
      </c>
      <c r="B963" t="s">
        <v>1990</v>
      </c>
      <c r="C963" t="str">
        <f t="shared" si="364"/>
        <v>Catherine Johnston</v>
      </c>
      <c r="D963" t="s">
        <v>4</v>
      </c>
      <c r="E963" t="str">
        <f t="shared" si="365"/>
        <v>Female</v>
      </c>
      <c r="F963">
        <v>21</v>
      </c>
      <c r="G963" t="s">
        <v>18</v>
      </c>
      <c r="H963" t="s">
        <v>19</v>
      </c>
      <c r="I963" t="s">
        <v>63</v>
      </c>
      <c r="J963">
        <v>1</v>
      </c>
      <c r="K963" t="str" cm="1">
        <f t="array" ref="K963">_xlfn.IFS( J963&lt;=5,"0-5", J963&lt;=10,"6-10",J963&lt;=15,"11-15",J963&lt;=20,"16-20",J963&gt;20,"20+")</f>
        <v>0-5</v>
      </c>
      <c r="L963" t="s">
        <v>219</v>
      </c>
      <c r="M963" t="str">
        <f>SUBSTITUTE(L963,"$"," ")</f>
        <v xml:space="preserve"> 100</v>
      </c>
      <c r="N963">
        <v>0</v>
      </c>
      <c r="O963" t="s">
        <v>58</v>
      </c>
      <c r="Q963" s="1">
        <v>0.95</v>
      </c>
      <c r="R963" s="1">
        <f t="shared" ref="R963:R965" si="380">Q963</f>
        <v>0.95</v>
      </c>
    </row>
    <row r="964" spans="1:18" x14ac:dyDescent="0.2">
      <c r="A964" t="s">
        <v>1991</v>
      </c>
      <c r="B964" t="s">
        <v>1992</v>
      </c>
      <c r="C964" t="str">
        <f t="shared" si="364"/>
        <v>Brenda Koch</v>
      </c>
      <c r="D964" t="s">
        <v>10</v>
      </c>
      <c r="E964" t="str">
        <f t="shared" si="365"/>
        <v>Female</v>
      </c>
      <c r="F964">
        <v>36</v>
      </c>
      <c r="G964" t="s">
        <v>97</v>
      </c>
      <c r="H964" t="s">
        <v>98</v>
      </c>
      <c r="I964" t="s">
        <v>25</v>
      </c>
      <c r="K964" t="str" cm="1">
        <f t="array" ref="K964">_xlfn.IFS( J964&lt;=5,"0-5", J964&lt;=10,"6-10",J964&lt;=15,"11-15",J964&lt;=20,"16-20",J964&gt;20,"20+")</f>
        <v>0-5</v>
      </c>
      <c r="L964">
        <v>20</v>
      </c>
      <c r="M964" s="2">
        <f>L964</f>
        <v>20</v>
      </c>
      <c r="N964">
        <v>4.0999999999999996</v>
      </c>
      <c r="O964" t="s">
        <v>21</v>
      </c>
      <c r="P964" t="s">
        <v>2074</v>
      </c>
      <c r="Q964" s="1">
        <v>0.86</v>
      </c>
      <c r="R964" s="1">
        <f t="shared" si="380"/>
        <v>0.86</v>
      </c>
    </row>
    <row r="965" spans="1:18" x14ac:dyDescent="0.2">
      <c r="A965" t="s">
        <v>1993</v>
      </c>
      <c r="B965" t="s">
        <v>1994</v>
      </c>
      <c r="C965" t="str">
        <f>_xlfn.TEXTAFTER(B965,".",)</f>
        <v xml:space="preserve"> Robert Meza</v>
      </c>
      <c r="D965" t="s">
        <v>17</v>
      </c>
      <c r="F965">
        <v>40</v>
      </c>
      <c r="G965" t="s">
        <v>18</v>
      </c>
      <c r="H965" t="s">
        <v>19</v>
      </c>
      <c r="I965" t="s">
        <v>34</v>
      </c>
      <c r="J965">
        <v>2</v>
      </c>
      <c r="K965" t="str" cm="1">
        <f t="array" ref="K965">_xlfn.IFS( J965&lt;=5,"0-5", J965&lt;=10,"6-10",J965&lt;=15,"11-15",J965&lt;=20,"16-20",J965&gt;20,"20+")</f>
        <v>0-5</v>
      </c>
      <c r="L965" t="s">
        <v>35</v>
      </c>
      <c r="M965" t="str">
        <f>SUBSTITUTE(L965,"$"," ")</f>
        <v xml:space="preserve"> 30</v>
      </c>
      <c r="N965">
        <v>1.3</v>
      </c>
      <c r="O965">
        <v>1</v>
      </c>
      <c r="Q965" s="1">
        <v>0.77</v>
      </c>
      <c r="R965" s="1">
        <f t="shared" si="380"/>
        <v>0.77</v>
      </c>
    </row>
    <row r="966" spans="1:18" x14ac:dyDescent="0.2">
      <c r="A966" t="s">
        <v>1995</v>
      </c>
      <c r="B966" t="s">
        <v>1996</v>
      </c>
      <c r="C966" t="str">
        <f t="shared" ref="C966:C1001" si="381">B966</f>
        <v>Latoya Brown</v>
      </c>
      <c r="D966" t="s">
        <v>67</v>
      </c>
      <c r="E966" t="str">
        <f t="shared" ref="E966:E1001" si="382">IF(LOWER(LEFT(D966,1)) ="f", "Female", "Male")</f>
        <v>Female</v>
      </c>
      <c r="F966">
        <v>59</v>
      </c>
      <c r="G966" t="s">
        <v>57</v>
      </c>
      <c r="H966" t="s">
        <v>12</v>
      </c>
      <c r="I966" t="s">
        <v>63</v>
      </c>
      <c r="J966">
        <v>40</v>
      </c>
      <c r="K966" t="str" cm="1">
        <f t="array" ref="K966">_xlfn.IFS( J966&lt;=5,"0-5", J966&lt;=10,"6-10",J966&lt;=15,"11-15",J966&lt;=20,"16-20",J966&gt;20,"20+")</f>
        <v>20+</v>
      </c>
      <c r="L966">
        <v>100</v>
      </c>
      <c r="M966" s="2">
        <f>L966</f>
        <v>100</v>
      </c>
      <c r="N966">
        <v>2.6</v>
      </c>
    </row>
    <row r="967" spans="1:18" x14ac:dyDescent="0.2">
      <c r="A967" t="s">
        <v>1997</v>
      </c>
      <c r="B967" t="s">
        <v>1998</v>
      </c>
      <c r="C967" t="str">
        <f t="shared" si="381"/>
        <v>David Osborne III</v>
      </c>
      <c r="D967" t="s">
        <v>38</v>
      </c>
      <c r="E967" t="str">
        <f t="shared" si="382"/>
        <v>Male</v>
      </c>
      <c r="F967">
        <v>45</v>
      </c>
      <c r="G967" t="s">
        <v>32</v>
      </c>
      <c r="H967" t="s">
        <v>33</v>
      </c>
      <c r="I967" t="s">
        <v>68</v>
      </c>
      <c r="J967">
        <v>4</v>
      </c>
      <c r="K967" t="str" cm="1">
        <f t="array" ref="K967">_xlfn.IFS( J967&lt;=5,"0-5", J967&lt;=10,"6-10",J967&lt;=15,"11-15",J967&lt;=20,"16-20",J967&gt;20,"20+")</f>
        <v>0-5</v>
      </c>
      <c r="L967" t="s">
        <v>111</v>
      </c>
      <c r="M967" t="str">
        <f>SUBSTITUTE(L967,"$"," ")</f>
        <v xml:space="preserve"> 20</v>
      </c>
      <c r="N967">
        <v>2.7</v>
      </c>
      <c r="Q967" s="1">
        <v>0.72</v>
      </c>
      <c r="R967" s="1">
        <f t="shared" ref="R967:R969" si="383">Q967</f>
        <v>0.72</v>
      </c>
    </row>
    <row r="968" spans="1:18" x14ac:dyDescent="0.2">
      <c r="A968" t="s">
        <v>1999</v>
      </c>
      <c r="B968" t="s">
        <v>2000</v>
      </c>
      <c r="C968" t="str">
        <f t="shared" si="381"/>
        <v>David Hooper</v>
      </c>
      <c r="D968" t="s">
        <v>51</v>
      </c>
      <c r="E968" t="str">
        <f t="shared" si="382"/>
        <v>Male</v>
      </c>
      <c r="F968">
        <v>44</v>
      </c>
      <c r="G968" t="s">
        <v>102</v>
      </c>
      <c r="H968" t="s">
        <v>103</v>
      </c>
      <c r="I968" t="s">
        <v>104</v>
      </c>
      <c r="J968">
        <v>9</v>
      </c>
      <c r="K968" t="str" cm="1">
        <f t="array" ref="K968">_xlfn.IFS( J968&lt;=5,"0-5", J968&lt;=10,"6-10",J968&lt;=15,"11-15",J968&lt;=20,"16-20",J968&gt;20,"20+")</f>
        <v>6-10</v>
      </c>
      <c r="L968">
        <v>40</v>
      </c>
      <c r="M968" s="2">
        <f t="shared" ref="M968:M970" si="384">L968</f>
        <v>40</v>
      </c>
      <c r="O968">
        <v>0</v>
      </c>
      <c r="P968" t="s">
        <v>2074</v>
      </c>
      <c r="Q968" s="1">
        <v>0.7</v>
      </c>
      <c r="R968" s="1">
        <f t="shared" si="383"/>
        <v>0.7</v>
      </c>
    </row>
    <row r="969" spans="1:18" x14ac:dyDescent="0.2">
      <c r="A969" t="s">
        <v>2001</v>
      </c>
      <c r="B969" t="s">
        <v>2002</v>
      </c>
      <c r="C969" t="str">
        <f t="shared" si="381"/>
        <v>Sarah Miller</v>
      </c>
      <c r="D969" t="s">
        <v>10</v>
      </c>
      <c r="E969" t="str">
        <f t="shared" si="382"/>
        <v>Female</v>
      </c>
      <c r="F969">
        <v>36</v>
      </c>
      <c r="G969" t="s">
        <v>57</v>
      </c>
      <c r="H969" t="s">
        <v>12</v>
      </c>
      <c r="I969" t="s">
        <v>68</v>
      </c>
      <c r="J969">
        <v>13</v>
      </c>
      <c r="K969" t="str" cm="1">
        <f t="array" ref="K969">_xlfn.IFS( J969&lt;=5,"0-5", J969&lt;=10,"6-10",J969&lt;=15,"11-15",J969&lt;=20,"16-20",J969&gt;20,"20+")</f>
        <v>11-15</v>
      </c>
      <c r="L969">
        <v>30</v>
      </c>
      <c r="M969" s="2">
        <f t="shared" si="384"/>
        <v>30</v>
      </c>
      <c r="N969">
        <v>3.6</v>
      </c>
      <c r="O969">
        <v>0</v>
      </c>
      <c r="P969" t="s">
        <v>2074</v>
      </c>
      <c r="Q969" s="1">
        <v>0.86</v>
      </c>
      <c r="R969" s="1">
        <f t="shared" si="383"/>
        <v>0.86</v>
      </c>
    </row>
    <row r="970" spans="1:18" x14ac:dyDescent="0.2">
      <c r="A970" t="s">
        <v>2003</v>
      </c>
      <c r="B970" t="s">
        <v>2004</v>
      </c>
      <c r="C970" t="str">
        <f t="shared" si="381"/>
        <v>Lisa Werner MD</v>
      </c>
      <c r="D970" t="s">
        <v>67</v>
      </c>
      <c r="E970" t="str">
        <f t="shared" si="382"/>
        <v>Female</v>
      </c>
      <c r="F970">
        <v>26</v>
      </c>
      <c r="G970" t="s">
        <v>83</v>
      </c>
      <c r="H970" t="s">
        <v>84</v>
      </c>
      <c r="I970" t="s">
        <v>20</v>
      </c>
      <c r="J970">
        <v>1</v>
      </c>
      <c r="K970" t="str" cm="1">
        <f t="array" ref="K970">_xlfn.IFS( J970&lt;=5,"0-5", J970&lt;=10,"6-10",J970&lt;=15,"11-15",J970&lt;=20,"16-20",J970&gt;20,"20+")</f>
        <v>0-5</v>
      </c>
      <c r="L970">
        <v>75</v>
      </c>
      <c r="M970" s="2">
        <f t="shared" si="384"/>
        <v>75</v>
      </c>
      <c r="N970">
        <v>3</v>
      </c>
      <c r="O970">
        <v>1</v>
      </c>
      <c r="P970" t="s">
        <v>2075</v>
      </c>
    </row>
    <row r="971" spans="1:18" x14ac:dyDescent="0.2">
      <c r="A971" t="s">
        <v>2005</v>
      </c>
      <c r="B971" t="s">
        <v>2006</v>
      </c>
      <c r="C971" t="str">
        <f t="shared" si="381"/>
        <v>Eric Jimenez</v>
      </c>
      <c r="D971" t="s">
        <v>38</v>
      </c>
      <c r="E971" t="str">
        <f t="shared" si="382"/>
        <v>Male</v>
      </c>
      <c r="F971">
        <v>49</v>
      </c>
      <c r="G971" t="s">
        <v>83</v>
      </c>
      <c r="H971" t="s">
        <v>84</v>
      </c>
      <c r="I971" t="s">
        <v>25</v>
      </c>
      <c r="J971">
        <v>1</v>
      </c>
      <c r="K971" t="str" cm="1">
        <f t="array" ref="K971">_xlfn.IFS( J971&lt;=5,"0-5", J971&lt;=10,"6-10",J971&lt;=15,"11-15",J971&lt;=20,"16-20",J971&gt;20,"20+")</f>
        <v>0-5</v>
      </c>
      <c r="M971"/>
      <c r="N971">
        <v>0</v>
      </c>
      <c r="O971">
        <v>0</v>
      </c>
      <c r="Q971" s="1">
        <v>0.82</v>
      </c>
      <c r="R971" s="1">
        <f t="shared" ref="R971:R977" si="385">Q971</f>
        <v>0.82</v>
      </c>
    </row>
    <row r="972" spans="1:18" x14ac:dyDescent="0.2">
      <c r="A972" t="s">
        <v>2007</v>
      </c>
      <c r="B972" t="s">
        <v>2008</v>
      </c>
      <c r="C972" t="str">
        <f t="shared" si="381"/>
        <v>Jay Bush</v>
      </c>
      <c r="D972" t="s">
        <v>38</v>
      </c>
      <c r="E972" t="str">
        <f t="shared" si="382"/>
        <v>Male</v>
      </c>
      <c r="F972">
        <v>29</v>
      </c>
      <c r="G972" t="s">
        <v>125</v>
      </c>
      <c r="H972" t="s">
        <v>126</v>
      </c>
      <c r="I972" t="s">
        <v>13</v>
      </c>
      <c r="J972">
        <v>3</v>
      </c>
      <c r="K972" t="str" cm="1">
        <f t="array" ref="K972">_xlfn.IFS( J972&lt;=5,"0-5", J972&lt;=10,"6-10",J972&lt;=15,"11-15",J972&lt;=20,"16-20",J972&gt;20,"20+")</f>
        <v>0-5</v>
      </c>
      <c r="L972" t="s">
        <v>45</v>
      </c>
      <c r="M972" t="str">
        <f>_xlfn.TEXTAFTER(L972, " ")</f>
        <v>40</v>
      </c>
      <c r="N972">
        <v>0</v>
      </c>
      <c r="O972" t="b">
        <v>1</v>
      </c>
      <c r="Q972" s="1">
        <v>0.81</v>
      </c>
      <c r="R972" s="1">
        <f t="shared" si="385"/>
        <v>0.81</v>
      </c>
    </row>
    <row r="973" spans="1:18" x14ac:dyDescent="0.2">
      <c r="A973" t="s">
        <v>2009</v>
      </c>
      <c r="B973" t="s">
        <v>2010</v>
      </c>
      <c r="C973" t="str">
        <f t="shared" si="381"/>
        <v>Johnny Rice</v>
      </c>
      <c r="D973" t="s">
        <v>38</v>
      </c>
      <c r="E973" t="str">
        <f t="shared" si="382"/>
        <v>Male</v>
      </c>
      <c r="F973">
        <v>32</v>
      </c>
      <c r="G973" t="s">
        <v>125</v>
      </c>
      <c r="H973" t="s">
        <v>126</v>
      </c>
      <c r="I973" t="s">
        <v>20</v>
      </c>
      <c r="J973">
        <v>1</v>
      </c>
      <c r="K973" t="str" cm="1">
        <f t="array" ref="K973">_xlfn.IFS( J973&lt;=5,"0-5", J973&lt;=10,"6-10",J973&lt;=15,"11-15",J973&lt;=20,"16-20",J973&gt;20,"20+")</f>
        <v>0-5</v>
      </c>
      <c r="L973" t="s">
        <v>26</v>
      </c>
      <c r="M973" t="str">
        <f>SUBSTITUTE(L973,"$"," ")</f>
        <v xml:space="preserve"> 40</v>
      </c>
      <c r="N973">
        <v>3.1</v>
      </c>
      <c r="O973">
        <v>1</v>
      </c>
      <c r="Q973" s="1">
        <v>0.76</v>
      </c>
      <c r="R973" s="1">
        <f t="shared" si="385"/>
        <v>0.76</v>
      </c>
    </row>
    <row r="974" spans="1:18" x14ac:dyDescent="0.2">
      <c r="A974" t="s">
        <v>2011</v>
      </c>
      <c r="B974" t="s">
        <v>2012</v>
      </c>
      <c r="C974" t="str">
        <f t="shared" si="381"/>
        <v>Matthew Strong</v>
      </c>
      <c r="D974" t="s">
        <v>51</v>
      </c>
      <c r="E974" t="str">
        <f t="shared" si="382"/>
        <v>Male</v>
      </c>
      <c r="F974">
        <v>24</v>
      </c>
      <c r="G974" t="s">
        <v>39</v>
      </c>
      <c r="H974" t="s">
        <v>40</v>
      </c>
      <c r="I974" t="s">
        <v>7</v>
      </c>
      <c r="J974">
        <v>3</v>
      </c>
      <c r="K974" t="str" cm="1">
        <f t="array" ref="K974">_xlfn.IFS( J974&lt;=5,"0-5", J974&lt;=10,"6-10",J974&lt;=15,"11-15",J974&lt;=20,"16-20",J974&gt;20,"20+")</f>
        <v>0-5</v>
      </c>
      <c r="L974" t="s">
        <v>99</v>
      </c>
      <c r="M974" t="str">
        <f>_xlfn.TEXTAFTER(L974, " ")</f>
        <v>30</v>
      </c>
      <c r="N974">
        <v>3.9</v>
      </c>
      <c r="O974" t="s">
        <v>21</v>
      </c>
      <c r="Q974" s="1">
        <v>0.9</v>
      </c>
      <c r="R974" s="1">
        <f t="shared" si="385"/>
        <v>0.9</v>
      </c>
    </row>
    <row r="975" spans="1:18" x14ac:dyDescent="0.2">
      <c r="A975" t="s">
        <v>2013</v>
      </c>
      <c r="B975" t="s">
        <v>2014</v>
      </c>
      <c r="C975" t="str">
        <f t="shared" si="381"/>
        <v>Mark Chandler</v>
      </c>
      <c r="D975" t="s">
        <v>51</v>
      </c>
      <c r="E975" t="str">
        <f t="shared" si="382"/>
        <v>Male</v>
      </c>
      <c r="F975">
        <v>35</v>
      </c>
      <c r="G975" t="s">
        <v>102</v>
      </c>
      <c r="H975" t="s">
        <v>103</v>
      </c>
      <c r="I975" t="s">
        <v>79</v>
      </c>
      <c r="J975">
        <v>14</v>
      </c>
      <c r="K975" t="str" cm="1">
        <f t="array" ref="K975">_xlfn.IFS( J975&lt;=5,"0-5", J975&lt;=10,"6-10",J975&lt;=15,"11-15",J975&lt;=20,"16-20",J975&gt;20,"20+")</f>
        <v>11-15</v>
      </c>
      <c r="L975">
        <v>30</v>
      </c>
      <c r="M975" s="2">
        <f>L975</f>
        <v>30</v>
      </c>
      <c r="N975">
        <v>1.6</v>
      </c>
      <c r="O975" t="s">
        <v>64</v>
      </c>
      <c r="P975" t="s">
        <v>2075</v>
      </c>
      <c r="Q975" s="1">
        <v>0.67</v>
      </c>
      <c r="R975" s="1">
        <f t="shared" si="385"/>
        <v>0.67</v>
      </c>
    </row>
    <row r="976" spans="1:18" x14ac:dyDescent="0.2">
      <c r="A976" t="s">
        <v>2015</v>
      </c>
      <c r="B976" t="s">
        <v>2016</v>
      </c>
      <c r="C976" t="str">
        <f t="shared" si="381"/>
        <v>Crystal Brown</v>
      </c>
      <c r="D976" t="s">
        <v>29</v>
      </c>
      <c r="E976" t="str">
        <f t="shared" si="382"/>
        <v>Female</v>
      </c>
      <c r="F976">
        <v>43</v>
      </c>
      <c r="G976" t="s">
        <v>180</v>
      </c>
      <c r="H976" t="s">
        <v>62</v>
      </c>
      <c r="I976" t="s">
        <v>7</v>
      </c>
      <c r="J976">
        <v>2</v>
      </c>
      <c r="K976" t="str" cm="1">
        <f t="array" ref="K976">_xlfn.IFS( J976&lt;=5,"0-5", J976&lt;=10,"6-10",J976&lt;=15,"11-15",J976&lt;=20,"16-20",J976&gt;20,"20+")</f>
        <v>0-5</v>
      </c>
      <c r="M976"/>
      <c r="N976">
        <v>1.8</v>
      </c>
      <c r="O976" t="s">
        <v>149</v>
      </c>
      <c r="Q976" s="1">
        <v>0.61</v>
      </c>
      <c r="R976" s="1">
        <f t="shared" si="385"/>
        <v>0.61</v>
      </c>
    </row>
    <row r="977" spans="1:18" x14ac:dyDescent="0.2">
      <c r="A977" t="s">
        <v>2017</v>
      </c>
      <c r="B977" t="s">
        <v>2018</v>
      </c>
      <c r="C977" t="str">
        <f t="shared" si="381"/>
        <v>Timothy Barton</v>
      </c>
      <c r="D977" t="s">
        <v>17</v>
      </c>
      <c r="E977" t="str">
        <f t="shared" si="382"/>
        <v>Male</v>
      </c>
      <c r="F977">
        <v>53</v>
      </c>
      <c r="G977" t="s">
        <v>102</v>
      </c>
      <c r="H977" t="s">
        <v>103</v>
      </c>
      <c r="I977" t="s">
        <v>104</v>
      </c>
      <c r="J977">
        <v>27</v>
      </c>
      <c r="K977" t="str" cm="1">
        <f t="array" ref="K977">_xlfn.IFS( J977&lt;=5,"0-5", J977&lt;=10,"6-10",J977&lt;=15,"11-15",J977&lt;=20,"16-20",J977&gt;20,"20+")</f>
        <v>20+</v>
      </c>
      <c r="L977">
        <v>100</v>
      </c>
      <c r="M977" s="2">
        <f t="shared" ref="M977:M979" si="386">L977</f>
        <v>100</v>
      </c>
      <c r="N977">
        <v>3.7</v>
      </c>
      <c r="O977" t="s">
        <v>149</v>
      </c>
      <c r="P977" t="s">
        <v>2074</v>
      </c>
      <c r="Q977" s="1">
        <v>0.73</v>
      </c>
      <c r="R977" s="1">
        <f t="shared" si="385"/>
        <v>0.73</v>
      </c>
    </row>
    <row r="978" spans="1:18" x14ac:dyDescent="0.2">
      <c r="A978" t="s">
        <v>2019</v>
      </c>
      <c r="B978" t="s">
        <v>2020</v>
      </c>
      <c r="C978" t="str">
        <f t="shared" si="381"/>
        <v>Lisa Hickman</v>
      </c>
      <c r="D978" t="s">
        <v>24</v>
      </c>
      <c r="E978" t="str">
        <f t="shared" si="382"/>
        <v>Female</v>
      </c>
      <c r="F978">
        <v>38</v>
      </c>
      <c r="G978" t="s">
        <v>114</v>
      </c>
      <c r="H978" t="s">
        <v>115</v>
      </c>
      <c r="I978" t="s">
        <v>79</v>
      </c>
      <c r="J978">
        <v>7</v>
      </c>
      <c r="K978" t="str" cm="1">
        <f t="array" ref="K978">_xlfn.IFS( J978&lt;=5,"0-5", J978&lt;=10,"6-10",J978&lt;=15,"11-15",J978&lt;=20,"16-20",J978&gt;20,"20+")</f>
        <v>6-10</v>
      </c>
      <c r="L978">
        <v>75</v>
      </c>
      <c r="M978" s="2">
        <f t="shared" si="386"/>
        <v>75</v>
      </c>
      <c r="O978">
        <v>0</v>
      </c>
      <c r="P978" t="s">
        <v>2074</v>
      </c>
    </row>
    <row r="979" spans="1:18" x14ac:dyDescent="0.2">
      <c r="A979" t="s">
        <v>2021</v>
      </c>
      <c r="B979" t="s">
        <v>2022</v>
      </c>
      <c r="C979" t="str">
        <f t="shared" si="381"/>
        <v>Alan Mendoza</v>
      </c>
      <c r="D979" t="s">
        <v>87</v>
      </c>
      <c r="E979" t="str">
        <f t="shared" si="382"/>
        <v>Male</v>
      </c>
      <c r="F979">
        <v>57</v>
      </c>
      <c r="G979" t="s">
        <v>57</v>
      </c>
      <c r="H979" t="s">
        <v>12</v>
      </c>
      <c r="I979" t="s">
        <v>68</v>
      </c>
      <c r="J979">
        <v>29</v>
      </c>
      <c r="K979" t="str" cm="1">
        <f t="array" ref="K979">_xlfn.IFS( J979&lt;=5,"0-5", J979&lt;=10,"6-10",J979&lt;=15,"11-15",J979&lt;=20,"16-20",J979&gt;20,"20+")</f>
        <v>20+</v>
      </c>
      <c r="L979">
        <v>75</v>
      </c>
      <c r="M979" s="2">
        <f t="shared" si="386"/>
        <v>75</v>
      </c>
      <c r="N979">
        <v>4.0999999999999996</v>
      </c>
      <c r="O979" t="s">
        <v>21</v>
      </c>
      <c r="P979" t="s">
        <v>2074</v>
      </c>
      <c r="Q979" s="1">
        <v>0.9</v>
      </c>
      <c r="R979" s="1">
        <f t="shared" ref="R979:R981" si="387">Q979</f>
        <v>0.9</v>
      </c>
    </row>
    <row r="980" spans="1:18" x14ac:dyDescent="0.2">
      <c r="A980" t="s">
        <v>2023</v>
      </c>
      <c r="B980" t="s">
        <v>2024</v>
      </c>
      <c r="C980" t="str">
        <f t="shared" si="381"/>
        <v>Jason Sanders</v>
      </c>
      <c r="D980" t="s">
        <v>51</v>
      </c>
      <c r="E980" t="str">
        <f t="shared" si="382"/>
        <v>Male</v>
      </c>
      <c r="F980">
        <v>27</v>
      </c>
      <c r="G980" t="s">
        <v>165</v>
      </c>
      <c r="H980" t="s">
        <v>166</v>
      </c>
      <c r="I980" t="s">
        <v>7</v>
      </c>
      <c r="J980">
        <v>5</v>
      </c>
      <c r="K980" t="str" cm="1">
        <f t="array" ref="K980">_xlfn.IFS( J980&lt;=5,"0-5", J980&lt;=10,"6-10",J980&lt;=15,"11-15",J980&lt;=20,"16-20",J980&gt;20,"20+")</f>
        <v>0-5</v>
      </c>
      <c r="L980" t="s">
        <v>160</v>
      </c>
      <c r="M980" t="str">
        <f>SUBSTITUTE(L980,"$"," ")</f>
        <v xml:space="preserve"> 75</v>
      </c>
      <c r="N980">
        <v>1.4</v>
      </c>
      <c r="O980" t="b">
        <v>1</v>
      </c>
      <c r="Q980" s="1">
        <v>0.64</v>
      </c>
      <c r="R980" s="1">
        <f t="shared" si="387"/>
        <v>0.64</v>
      </c>
    </row>
    <row r="981" spans="1:18" x14ac:dyDescent="0.2">
      <c r="A981" t="s">
        <v>2025</v>
      </c>
      <c r="B981" t="s">
        <v>2026</v>
      </c>
      <c r="C981" t="str">
        <f t="shared" si="381"/>
        <v>Charles Dean</v>
      </c>
      <c r="D981" t="s">
        <v>38</v>
      </c>
      <c r="E981" t="str">
        <f t="shared" si="382"/>
        <v>Male</v>
      </c>
      <c r="F981">
        <v>43</v>
      </c>
      <c r="G981" t="s">
        <v>61</v>
      </c>
      <c r="H981" t="s">
        <v>62</v>
      </c>
      <c r="I981" t="s">
        <v>25</v>
      </c>
      <c r="J981">
        <v>2</v>
      </c>
      <c r="K981" t="str" cm="1">
        <f t="array" ref="K981">_xlfn.IFS( J981&lt;=5,"0-5", J981&lt;=10,"6-10",J981&lt;=15,"11-15",J981&lt;=20,"16-20",J981&gt;20,"20+")</f>
        <v>0-5</v>
      </c>
      <c r="L981">
        <v>100</v>
      </c>
      <c r="M981" s="2">
        <f>L981</f>
        <v>100</v>
      </c>
      <c r="N981">
        <v>1.1000000000000001</v>
      </c>
      <c r="O981">
        <v>1</v>
      </c>
      <c r="P981" t="s">
        <v>2075</v>
      </c>
      <c r="Q981" s="1">
        <v>0.63</v>
      </c>
      <c r="R981" s="1">
        <f t="shared" si="387"/>
        <v>0.63</v>
      </c>
    </row>
    <row r="982" spans="1:18" x14ac:dyDescent="0.2">
      <c r="A982" t="s">
        <v>2027</v>
      </c>
      <c r="B982" t="s">
        <v>2028</v>
      </c>
      <c r="C982" t="str">
        <f t="shared" si="381"/>
        <v>Blake Newton</v>
      </c>
      <c r="D982" t="s">
        <v>17</v>
      </c>
      <c r="E982" t="str">
        <f t="shared" si="382"/>
        <v>Male</v>
      </c>
      <c r="F982">
        <v>48</v>
      </c>
      <c r="G982" t="s">
        <v>118</v>
      </c>
      <c r="H982" t="s">
        <v>12</v>
      </c>
      <c r="I982" t="s">
        <v>41</v>
      </c>
      <c r="J982">
        <v>18</v>
      </c>
      <c r="K982" t="str" cm="1">
        <f t="array" ref="K982">_xlfn.IFS( J982&lt;=5,"0-5", J982&lt;=10,"6-10",J982&lt;=15,"11-15",J982&lt;=20,"16-20",J982&gt;20,"20+")</f>
        <v>16-20</v>
      </c>
      <c r="L982" t="s">
        <v>26</v>
      </c>
      <c r="M982" t="str">
        <f>SUBSTITUTE(L982,"$"," ")</f>
        <v xml:space="preserve"> 40</v>
      </c>
      <c r="N982">
        <v>3.9</v>
      </c>
    </row>
    <row r="983" spans="1:18" x14ac:dyDescent="0.2">
      <c r="A983" t="s">
        <v>2029</v>
      </c>
      <c r="B983" t="s">
        <v>2030</v>
      </c>
      <c r="C983" t="str">
        <f t="shared" si="381"/>
        <v>David Gonzalez</v>
      </c>
      <c r="D983" t="s">
        <v>82</v>
      </c>
      <c r="E983" t="str">
        <f t="shared" si="382"/>
        <v>Male</v>
      </c>
      <c r="F983">
        <v>26</v>
      </c>
      <c r="G983" t="s">
        <v>97</v>
      </c>
      <c r="H983" t="s">
        <v>98</v>
      </c>
      <c r="I983" t="s">
        <v>68</v>
      </c>
      <c r="J983">
        <v>8</v>
      </c>
      <c r="K983" t="str" cm="1">
        <f t="array" ref="K983">_xlfn.IFS( J983&lt;=5,"0-5", J983&lt;=10,"6-10",J983&lt;=15,"11-15",J983&lt;=20,"16-20",J983&gt;20,"20+")</f>
        <v>6-10</v>
      </c>
      <c r="L983">
        <v>20</v>
      </c>
      <c r="M983" s="2">
        <f>L983</f>
        <v>20</v>
      </c>
      <c r="N983">
        <v>3.6</v>
      </c>
      <c r="O983">
        <v>0</v>
      </c>
      <c r="P983" t="s">
        <v>2074</v>
      </c>
      <c r="Q983" s="1">
        <v>0.67</v>
      </c>
      <c r="R983" s="1">
        <f t="shared" ref="R983:R984" si="388">Q983</f>
        <v>0.67</v>
      </c>
    </row>
    <row r="984" spans="1:18" x14ac:dyDescent="0.2">
      <c r="A984" t="s">
        <v>2031</v>
      </c>
      <c r="B984" t="s">
        <v>2032</v>
      </c>
      <c r="C984" t="str">
        <f t="shared" si="381"/>
        <v>Cindy Williams</v>
      </c>
      <c r="D984" t="s">
        <v>67</v>
      </c>
      <c r="E984" t="str">
        <f t="shared" si="382"/>
        <v>Female</v>
      </c>
      <c r="G984" t="s">
        <v>143</v>
      </c>
      <c r="H984" t="s">
        <v>144</v>
      </c>
      <c r="I984" t="s">
        <v>20</v>
      </c>
      <c r="J984">
        <v>0</v>
      </c>
      <c r="K984" t="str" cm="1">
        <f t="array" ref="K984">_xlfn.IFS( J984&lt;=5,"0-5", J984&lt;=10,"6-10",J984&lt;=15,"11-15",J984&lt;=20,"16-20",J984&gt;20,"20+")</f>
        <v>0-5</v>
      </c>
      <c r="L984" t="s">
        <v>26</v>
      </c>
      <c r="M984" t="str">
        <f t="shared" ref="M984:M985" si="389">SUBSTITUTE(L984,"$"," ")</f>
        <v xml:space="preserve"> 40</v>
      </c>
      <c r="N984">
        <v>0</v>
      </c>
      <c r="O984" t="s">
        <v>149</v>
      </c>
      <c r="Q984" s="1">
        <v>0.97</v>
      </c>
      <c r="R984" s="1">
        <f t="shared" si="388"/>
        <v>0.97</v>
      </c>
    </row>
    <row r="985" spans="1:18" x14ac:dyDescent="0.2">
      <c r="A985" t="s">
        <v>2033</v>
      </c>
      <c r="B985" t="s">
        <v>2034</v>
      </c>
      <c r="C985" t="str">
        <f t="shared" si="381"/>
        <v>Laura Wong DDS</v>
      </c>
      <c r="D985" t="s">
        <v>29</v>
      </c>
      <c r="E985" t="str">
        <f t="shared" si="382"/>
        <v>Female</v>
      </c>
      <c r="F985">
        <v>50</v>
      </c>
      <c r="G985" t="s">
        <v>5</v>
      </c>
      <c r="H985" t="s">
        <v>6</v>
      </c>
      <c r="I985" t="s">
        <v>41</v>
      </c>
      <c r="J985">
        <v>16</v>
      </c>
      <c r="K985" t="str" cm="1">
        <f t="array" ref="K985">_xlfn.IFS( J985&lt;=5,"0-5", J985&lt;=10,"6-10",J985&lt;=15,"11-15",J985&lt;=20,"16-20",J985&gt;20,"20+")</f>
        <v>16-20</v>
      </c>
      <c r="L985" t="s">
        <v>160</v>
      </c>
      <c r="M985" t="str">
        <f t="shared" si="389"/>
        <v xml:space="preserve"> 75</v>
      </c>
      <c r="N985">
        <v>4.5</v>
      </c>
      <c r="O985">
        <v>0</v>
      </c>
      <c r="Q985">
        <v>69</v>
      </c>
      <c r="R985" s="3">
        <f>Q985/100</f>
        <v>0.69</v>
      </c>
    </row>
    <row r="986" spans="1:18" x14ac:dyDescent="0.2">
      <c r="A986" t="s">
        <v>2035</v>
      </c>
      <c r="B986" t="s">
        <v>2036</v>
      </c>
      <c r="C986" t="str">
        <f t="shared" si="381"/>
        <v>Robert Moran</v>
      </c>
      <c r="D986" t="s">
        <v>38</v>
      </c>
      <c r="E986" t="str">
        <f t="shared" si="382"/>
        <v>Male</v>
      </c>
      <c r="F986">
        <v>48</v>
      </c>
      <c r="G986" t="s">
        <v>143</v>
      </c>
      <c r="H986" t="s">
        <v>144</v>
      </c>
      <c r="I986" t="s">
        <v>25</v>
      </c>
      <c r="J986">
        <v>8</v>
      </c>
      <c r="K986" t="str" cm="1">
        <f t="array" ref="K986">_xlfn.IFS( J986&lt;=5,"0-5", J986&lt;=10,"6-10",J986&lt;=15,"11-15",J986&lt;=20,"16-20",J986&gt;20,"20+")</f>
        <v>6-10</v>
      </c>
      <c r="L986">
        <v>50</v>
      </c>
      <c r="M986" s="2">
        <f t="shared" ref="M986:M988" si="390">L986</f>
        <v>50</v>
      </c>
      <c r="O986">
        <v>1</v>
      </c>
      <c r="P986" t="s">
        <v>2075</v>
      </c>
      <c r="Q986" s="1">
        <v>0.73</v>
      </c>
      <c r="R986" s="1">
        <f t="shared" ref="R986:R987" si="391">Q986</f>
        <v>0.73</v>
      </c>
    </row>
    <row r="987" spans="1:18" x14ac:dyDescent="0.2">
      <c r="A987" t="s">
        <v>2037</v>
      </c>
      <c r="B987" t="s">
        <v>2038</v>
      </c>
      <c r="C987" t="str">
        <f t="shared" si="381"/>
        <v>Bradley Wu</v>
      </c>
      <c r="D987" t="s">
        <v>38</v>
      </c>
      <c r="E987" t="str">
        <f t="shared" si="382"/>
        <v>Male</v>
      </c>
      <c r="F987">
        <v>60</v>
      </c>
      <c r="G987" t="s">
        <v>180</v>
      </c>
      <c r="H987" t="s">
        <v>62</v>
      </c>
      <c r="I987" t="s">
        <v>7</v>
      </c>
      <c r="J987">
        <v>39</v>
      </c>
      <c r="K987" t="str" cm="1">
        <f t="array" ref="K987">_xlfn.IFS( J987&lt;=5,"0-5", J987&lt;=10,"6-10",J987&lt;=15,"11-15",J987&lt;=20,"16-20",J987&gt;20,"20+")</f>
        <v>20+</v>
      </c>
      <c r="L987">
        <v>20</v>
      </c>
      <c r="M987" s="2">
        <f t="shared" si="390"/>
        <v>20</v>
      </c>
      <c r="N987">
        <v>1.4</v>
      </c>
      <c r="O987" t="b">
        <v>1</v>
      </c>
      <c r="P987" t="s">
        <v>2075</v>
      </c>
      <c r="Q987" s="1">
        <v>0.86</v>
      </c>
      <c r="R987" s="1">
        <f t="shared" si="391"/>
        <v>0.86</v>
      </c>
    </row>
    <row r="988" spans="1:18" x14ac:dyDescent="0.2">
      <c r="A988" t="s">
        <v>2039</v>
      </c>
      <c r="B988" t="s">
        <v>2040</v>
      </c>
      <c r="C988" t="str">
        <f t="shared" si="381"/>
        <v>Daniel Thomas</v>
      </c>
      <c r="D988" t="s">
        <v>87</v>
      </c>
      <c r="E988" t="str">
        <f t="shared" si="382"/>
        <v>Male</v>
      </c>
      <c r="F988">
        <v>26</v>
      </c>
      <c r="G988" t="s">
        <v>129</v>
      </c>
      <c r="H988" t="s">
        <v>130</v>
      </c>
      <c r="I988" t="s">
        <v>104</v>
      </c>
      <c r="K988" t="str" cm="1">
        <f t="array" ref="K988">_xlfn.IFS( J988&lt;=5,"0-5", J988&lt;=10,"6-10",J988&lt;=15,"11-15",J988&lt;=20,"16-20",J988&gt;20,"20+")</f>
        <v>0-5</v>
      </c>
      <c r="L988">
        <v>50</v>
      </c>
      <c r="M988" s="2">
        <f t="shared" si="390"/>
        <v>50</v>
      </c>
      <c r="N988">
        <v>0</v>
      </c>
      <c r="O988" t="s">
        <v>58</v>
      </c>
      <c r="P988" t="s">
        <v>2075</v>
      </c>
      <c r="Q988">
        <v>81</v>
      </c>
      <c r="R988" s="3">
        <f>Q988/100</f>
        <v>0.81</v>
      </c>
    </row>
    <row r="989" spans="1:18" x14ac:dyDescent="0.2">
      <c r="A989" t="s">
        <v>2041</v>
      </c>
      <c r="B989" t="s">
        <v>2042</v>
      </c>
      <c r="C989" t="str">
        <f t="shared" si="381"/>
        <v>Michelle Peterson</v>
      </c>
      <c r="D989" t="s">
        <v>10</v>
      </c>
      <c r="E989" t="str">
        <f t="shared" si="382"/>
        <v>Female</v>
      </c>
      <c r="F989">
        <v>35</v>
      </c>
      <c r="G989" t="s">
        <v>102</v>
      </c>
      <c r="H989" t="s">
        <v>103</v>
      </c>
      <c r="I989" t="s">
        <v>20</v>
      </c>
      <c r="J989">
        <v>16</v>
      </c>
      <c r="K989" t="str" cm="1">
        <f t="array" ref="K989">_xlfn.IFS( J989&lt;=5,"0-5", J989&lt;=10,"6-10",J989&lt;=15,"11-15",J989&lt;=20,"16-20",J989&gt;20,"20+")</f>
        <v>16-20</v>
      </c>
      <c r="L989" t="s">
        <v>14</v>
      </c>
      <c r="M989" t="str">
        <f>_xlfn.TEXTAFTER(L989, " ")</f>
        <v>100</v>
      </c>
      <c r="N989">
        <v>4.3</v>
      </c>
      <c r="O989">
        <v>1</v>
      </c>
      <c r="Q989" s="1">
        <v>0.74</v>
      </c>
      <c r="R989" s="1">
        <f>Q989</f>
        <v>0.74</v>
      </c>
    </row>
    <row r="990" spans="1:18" x14ac:dyDescent="0.2">
      <c r="A990" t="s">
        <v>2043</v>
      </c>
      <c r="B990" t="s">
        <v>2044</v>
      </c>
      <c r="C990" t="str">
        <f t="shared" si="381"/>
        <v>Seth Thomas</v>
      </c>
      <c r="D990" t="s">
        <v>87</v>
      </c>
      <c r="E990" t="str">
        <f t="shared" si="382"/>
        <v>Male</v>
      </c>
      <c r="F990">
        <v>23</v>
      </c>
      <c r="G990" t="s">
        <v>48</v>
      </c>
      <c r="H990" t="s">
        <v>12</v>
      </c>
      <c r="I990" t="s">
        <v>7</v>
      </c>
      <c r="J990">
        <v>4</v>
      </c>
      <c r="K990" t="str" cm="1">
        <f t="array" ref="K990">_xlfn.IFS( J990&lt;=5,"0-5", J990&lt;=10,"6-10",J990&lt;=15,"11-15",J990&lt;=20,"16-20",J990&gt;20,"20+")</f>
        <v>0-5</v>
      </c>
      <c r="L990" t="s">
        <v>219</v>
      </c>
      <c r="M990" t="str">
        <f>SUBSTITUTE(L990,"$"," ")</f>
        <v xml:space="preserve"> 100</v>
      </c>
      <c r="N990">
        <v>2.2000000000000002</v>
      </c>
      <c r="O990">
        <v>1</v>
      </c>
      <c r="Q990">
        <v>64</v>
      </c>
      <c r="R990" s="3">
        <f>Q990/100</f>
        <v>0.64</v>
      </c>
    </row>
    <row r="991" spans="1:18" x14ac:dyDescent="0.2">
      <c r="A991" t="s">
        <v>2045</v>
      </c>
      <c r="B991" t="s">
        <v>2046</v>
      </c>
      <c r="C991" t="str">
        <f t="shared" si="381"/>
        <v>Evan Ramos</v>
      </c>
      <c r="D991" t="s">
        <v>87</v>
      </c>
      <c r="E991" t="str">
        <f t="shared" si="382"/>
        <v>Male</v>
      </c>
      <c r="F991">
        <v>37</v>
      </c>
      <c r="G991" t="s">
        <v>11</v>
      </c>
      <c r="H991" t="s">
        <v>12</v>
      </c>
      <c r="I991" t="s">
        <v>20</v>
      </c>
      <c r="J991">
        <v>4</v>
      </c>
      <c r="K991" t="str" cm="1">
        <f t="array" ref="K991">_xlfn.IFS( J991&lt;=5,"0-5", J991&lt;=10,"6-10",J991&lt;=15,"11-15",J991&lt;=20,"16-20",J991&gt;20,"20+")</f>
        <v>0-5</v>
      </c>
      <c r="L991">
        <v>75</v>
      </c>
      <c r="M991" s="2">
        <f t="shared" ref="M991:M992" si="392">L991</f>
        <v>75</v>
      </c>
      <c r="N991">
        <v>3.2</v>
      </c>
      <c r="O991" t="b">
        <v>0</v>
      </c>
      <c r="P991" t="s">
        <v>2074</v>
      </c>
      <c r="Q991" s="1">
        <v>0.76</v>
      </c>
      <c r="R991" s="1">
        <f>Q991</f>
        <v>0.76</v>
      </c>
    </row>
    <row r="992" spans="1:18" x14ac:dyDescent="0.2">
      <c r="A992" t="s">
        <v>2047</v>
      </c>
      <c r="B992" t="s">
        <v>2048</v>
      </c>
      <c r="C992" t="str">
        <f t="shared" si="381"/>
        <v>Michelle Solis</v>
      </c>
      <c r="D992" t="s">
        <v>10</v>
      </c>
      <c r="E992" t="str">
        <f t="shared" si="382"/>
        <v>Female</v>
      </c>
      <c r="F992">
        <v>21</v>
      </c>
      <c r="G992" t="s">
        <v>61</v>
      </c>
      <c r="H992" t="s">
        <v>62</v>
      </c>
      <c r="I992" t="s">
        <v>34</v>
      </c>
      <c r="J992">
        <v>2</v>
      </c>
      <c r="K992" t="str" cm="1">
        <f t="array" ref="K992">_xlfn.IFS( J992&lt;=5,"0-5", J992&lt;=10,"6-10",J992&lt;=15,"11-15",J992&lt;=20,"16-20",J992&gt;20,"20+")</f>
        <v>0-5</v>
      </c>
      <c r="L992">
        <v>100</v>
      </c>
      <c r="M992" s="2">
        <f t="shared" si="392"/>
        <v>100</v>
      </c>
      <c r="N992">
        <v>3.7</v>
      </c>
      <c r="O992" t="s">
        <v>58</v>
      </c>
      <c r="P992" t="s">
        <v>2075</v>
      </c>
      <c r="Q992">
        <v>73</v>
      </c>
      <c r="R992" s="3">
        <f>Q992/100</f>
        <v>0.73</v>
      </c>
    </row>
    <row r="993" spans="1:18" x14ac:dyDescent="0.2">
      <c r="A993" t="s">
        <v>2049</v>
      </c>
      <c r="B993" t="s">
        <v>2050</v>
      </c>
      <c r="C993" t="str">
        <f t="shared" si="381"/>
        <v>Charlotte Taylor</v>
      </c>
      <c r="D993" t="s">
        <v>10</v>
      </c>
      <c r="E993" t="str">
        <f t="shared" si="382"/>
        <v>Female</v>
      </c>
      <c r="F993">
        <v>58</v>
      </c>
      <c r="G993" t="s">
        <v>18</v>
      </c>
      <c r="H993" t="s">
        <v>19</v>
      </c>
      <c r="I993" t="s">
        <v>63</v>
      </c>
      <c r="J993">
        <v>37</v>
      </c>
      <c r="K993" t="str" cm="1">
        <f t="array" ref="K993">_xlfn.IFS( J993&lt;=5,"0-5", J993&lt;=10,"6-10",J993&lt;=15,"11-15",J993&lt;=20,"16-20",J993&gt;20,"20+")</f>
        <v>20+</v>
      </c>
      <c r="L993" t="s">
        <v>88</v>
      </c>
      <c r="M993" t="str">
        <f>_xlfn.TEXTAFTER(L993, " ")</f>
        <v>50</v>
      </c>
      <c r="N993">
        <v>4.9000000000000004</v>
      </c>
      <c r="O993" t="b">
        <v>0</v>
      </c>
      <c r="Q993" s="1">
        <v>0.69</v>
      </c>
      <c r="R993" s="1">
        <f t="shared" ref="R993:R994" si="393">Q993</f>
        <v>0.69</v>
      </c>
    </row>
    <row r="994" spans="1:18" x14ac:dyDescent="0.2">
      <c r="A994" t="s">
        <v>2051</v>
      </c>
      <c r="B994" t="s">
        <v>2052</v>
      </c>
      <c r="C994" t="str">
        <f t="shared" si="381"/>
        <v>Sandra Preston</v>
      </c>
      <c r="D994" t="s">
        <v>67</v>
      </c>
      <c r="E994" t="str">
        <f t="shared" si="382"/>
        <v>Female</v>
      </c>
      <c r="F994">
        <v>52</v>
      </c>
      <c r="G994" t="s">
        <v>39</v>
      </c>
      <c r="H994" t="s">
        <v>40</v>
      </c>
      <c r="I994" t="s">
        <v>13</v>
      </c>
      <c r="J994">
        <v>32</v>
      </c>
      <c r="K994" t="str" cm="1">
        <f t="array" ref="K994">_xlfn.IFS( J994&lt;=5,"0-5", J994&lt;=10,"6-10",J994&lt;=15,"11-15",J994&lt;=20,"16-20",J994&gt;20,"20+")</f>
        <v>20+</v>
      </c>
      <c r="L994" t="s">
        <v>160</v>
      </c>
      <c r="M994" t="str">
        <f>SUBSTITUTE(L994,"$"," ")</f>
        <v xml:space="preserve"> 75</v>
      </c>
      <c r="N994">
        <v>3.2</v>
      </c>
      <c r="O994">
        <v>0</v>
      </c>
      <c r="Q994" s="1">
        <v>0.79</v>
      </c>
      <c r="R994" s="1">
        <f t="shared" si="393"/>
        <v>0.79</v>
      </c>
    </row>
    <row r="995" spans="1:18" x14ac:dyDescent="0.2">
      <c r="A995" t="s">
        <v>2053</v>
      </c>
      <c r="B995" t="s">
        <v>2054</v>
      </c>
      <c r="C995" t="str">
        <f t="shared" si="381"/>
        <v>Jim Weiss</v>
      </c>
      <c r="D995" t="s">
        <v>17</v>
      </c>
      <c r="E995" t="str">
        <f t="shared" si="382"/>
        <v>Male</v>
      </c>
      <c r="F995">
        <v>46</v>
      </c>
      <c r="G995" t="s">
        <v>114</v>
      </c>
      <c r="H995" t="s">
        <v>115</v>
      </c>
      <c r="I995" t="s">
        <v>13</v>
      </c>
      <c r="J995">
        <v>8</v>
      </c>
      <c r="K995" t="str" cm="1">
        <f t="array" ref="K995">_xlfn.IFS( J995&lt;=5,"0-5", J995&lt;=10,"6-10",J995&lt;=15,"11-15",J995&lt;=20,"16-20",J995&gt;20,"20+")</f>
        <v>6-10</v>
      </c>
      <c r="L995">
        <v>20</v>
      </c>
      <c r="M995" s="2">
        <f t="shared" ref="M995:M997" si="394">L995</f>
        <v>20</v>
      </c>
      <c r="N995">
        <v>2.2000000000000002</v>
      </c>
      <c r="Q995">
        <v>89</v>
      </c>
      <c r="R995" s="3">
        <f>Q995/100</f>
        <v>0.89</v>
      </c>
    </row>
    <row r="996" spans="1:18" x14ac:dyDescent="0.2">
      <c r="A996" t="s">
        <v>2055</v>
      </c>
      <c r="B996" t="s">
        <v>2056</v>
      </c>
      <c r="C996" t="str">
        <f t="shared" si="381"/>
        <v>Jennifer Hinton</v>
      </c>
      <c r="D996" t="s">
        <v>67</v>
      </c>
      <c r="E996" t="str">
        <f t="shared" si="382"/>
        <v>Female</v>
      </c>
      <c r="F996">
        <v>34</v>
      </c>
      <c r="G996" t="s">
        <v>143</v>
      </c>
      <c r="H996" t="s">
        <v>144</v>
      </c>
      <c r="I996" t="s">
        <v>79</v>
      </c>
      <c r="J996">
        <v>8</v>
      </c>
      <c r="K996" t="str" cm="1">
        <f t="array" ref="K996">_xlfn.IFS( J996&lt;=5,"0-5", J996&lt;=10,"6-10",J996&lt;=15,"11-15",J996&lt;=20,"16-20",J996&gt;20,"20+")</f>
        <v>6-10</v>
      </c>
      <c r="L996">
        <v>30</v>
      </c>
      <c r="M996" s="2">
        <f t="shared" si="394"/>
        <v>30</v>
      </c>
      <c r="N996">
        <v>3.9</v>
      </c>
      <c r="O996" t="s">
        <v>64</v>
      </c>
      <c r="P996" t="s">
        <v>2075</v>
      </c>
      <c r="Q996" s="1">
        <v>0.95</v>
      </c>
      <c r="R996" s="1">
        <f t="shared" ref="R996:R997" si="395">Q996</f>
        <v>0.95</v>
      </c>
    </row>
    <row r="997" spans="1:18" x14ac:dyDescent="0.2">
      <c r="A997" t="s">
        <v>2057</v>
      </c>
      <c r="B997" t="s">
        <v>2058</v>
      </c>
      <c r="C997" t="str">
        <f t="shared" si="381"/>
        <v>Albert Wilcox</v>
      </c>
      <c r="D997" t="s">
        <v>87</v>
      </c>
      <c r="E997" t="str">
        <f t="shared" si="382"/>
        <v>Male</v>
      </c>
      <c r="F997">
        <v>56</v>
      </c>
      <c r="G997" t="s">
        <v>52</v>
      </c>
      <c r="H997" t="s">
        <v>53</v>
      </c>
      <c r="I997" t="s">
        <v>79</v>
      </c>
      <c r="J997">
        <v>13</v>
      </c>
      <c r="K997" t="str" cm="1">
        <f t="array" ref="K997">_xlfn.IFS( J997&lt;=5,"0-5", J997&lt;=10,"6-10",J997&lt;=15,"11-15",J997&lt;=20,"16-20",J997&gt;20,"20+")</f>
        <v>11-15</v>
      </c>
      <c r="L997">
        <v>100</v>
      </c>
      <c r="M997" s="2">
        <f t="shared" si="394"/>
        <v>100</v>
      </c>
      <c r="N997">
        <v>0</v>
      </c>
      <c r="O997" t="s">
        <v>149</v>
      </c>
      <c r="P997" t="s">
        <v>2074</v>
      </c>
      <c r="Q997" s="1">
        <v>0.68</v>
      </c>
      <c r="R997" s="1">
        <f t="shared" si="395"/>
        <v>0.68</v>
      </c>
    </row>
    <row r="998" spans="1:18" x14ac:dyDescent="0.2">
      <c r="A998" t="s">
        <v>2059</v>
      </c>
      <c r="B998" t="s">
        <v>2060</v>
      </c>
      <c r="C998" t="str">
        <f t="shared" si="381"/>
        <v>Cheryl Norris</v>
      </c>
      <c r="D998" t="s">
        <v>4</v>
      </c>
      <c r="E998" t="str">
        <f t="shared" si="382"/>
        <v>Female</v>
      </c>
      <c r="F998">
        <v>26</v>
      </c>
      <c r="G998" t="s">
        <v>18</v>
      </c>
      <c r="H998" t="s">
        <v>19</v>
      </c>
      <c r="I998" t="s">
        <v>7</v>
      </c>
      <c r="J998">
        <v>6</v>
      </c>
      <c r="K998" t="str" cm="1">
        <f t="array" ref="K998">_xlfn.IFS( J998&lt;=5,"0-5", J998&lt;=10,"6-10",J998&lt;=15,"11-15",J998&lt;=20,"16-20",J998&gt;20,"20+")</f>
        <v>6-10</v>
      </c>
      <c r="L998" t="s">
        <v>45</v>
      </c>
      <c r="M998" t="str">
        <f>_xlfn.TEXTAFTER(L998, " ")</f>
        <v>40</v>
      </c>
      <c r="N998">
        <v>2.8</v>
      </c>
      <c r="O998" t="s">
        <v>21</v>
      </c>
      <c r="Q998">
        <v>82</v>
      </c>
      <c r="R998" s="3">
        <f>Q998/100</f>
        <v>0.82</v>
      </c>
    </row>
    <row r="999" spans="1:18" x14ac:dyDescent="0.2">
      <c r="A999" t="s">
        <v>2061</v>
      </c>
      <c r="B999" t="s">
        <v>2062</v>
      </c>
      <c r="C999" t="str">
        <f t="shared" si="381"/>
        <v>Kathy Watkins</v>
      </c>
      <c r="D999" t="s">
        <v>29</v>
      </c>
      <c r="E999" t="str">
        <f t="shared" si="382"/>
        <v>Female</v>
      </c>
      <c r="F999">
        <v>37</v>
      </c>
      <c r="G999" t="s">
        <v>75</v>
      </c>
      <c r="H999" t="s">
        <v>76</v>
      </c>
      <c r="I999" t="s">
        <v>41</v>
      </c>
      <c r="J999">
        <v>15</v>
      </c>
      <c r="K999" t="str" cm="1">
        <f t="array" ref="K999">_xlfn.IFS( J999&lt;=5,"0-5", J999&lt;=10,"6-10",J999&lt;=15,"11-15",J999&lt;=20,"16-20",J999&gt;20,"20+")</f>
        <v>11-15</v>
      </c>
      <c r="L999">
        <v>75</v>
      </c>
      <c r="M999" s="2">
        <f t="shared" ref="M999:M1000" si="396">L999</f>
        <v>75</v>
      </c>
      <c r="O999" t="b">
        <v>0</v>
      </c>
      <c r="P999" t="s">
        <v>2074</v>
      </c>
      <c r="Q999" s="1">
        <v>0.94</v>
      </c>
      <c r="R999" s="1">
        <f>Q999</f>
        <v>0.94</v>
      </c>
    </row>
    <row r="1000" spans="1:18" x14ac:dyDescent="0.2">
      <c r="A1000" t="s">
        <v>2063</v>
      </c>
      <c r="B1000" t="s">
        <v>2064</v>
      </c>
      <c r="C1000" t="str">
        <f t="shared" si="381"/>
        <v>John Obrien</v>
      </c>
      <c r="D1000" t="s">
        <v>38</v>
      </c>
      <c r="E1000" t="str">
        <f t="shared" si="382"/>
        <v>Male</v>
      </c>
      <c r="F1000">
        <v>46</v>
      </c>
      <c r="G1000" t="s">
        <v>114</v>
      </c>
      <c r="H1000" t="s">
        <v>115</v>
      </c>
      <c r="I1000" t="s">
        <v>104</v>
      </c>
      <c r="J1000">
        <v>22</v>
      </c>
      <c r="K1000" t="str" cm="1">
        <f t="array" ref="K1000">_xlfn.IFS( J1000&lt;=5,"0-5", J1000&lt;=10,"6-10",J1000&lt;=15,"11-15",J1000&lt;=20,"16-20",J1000&gt;20,"20+")</f>
        <v>20+</v>
      </c>
      <c r="L1000">
        <v>100</v>
      </c>
      <c r="M1000" s="2">
        <f t="shared" si="396"/>
        <v>100</v>
      </c>
      <c r="N1000">
        <v>2.8</v>
      </c>
      <c r="O1000" t="s">
        <v>58</v>
      </c>
      <c r="P1000" t="s">
        <v>2075</v>
      </c>
      <c r="Q1000">
        <v>97</v>
      </c>
      <c r="R1000" s="3">
        <f t="shared" ref="R1000:R1001" si="397">Q1000/100</f>
        <v>0.97</v>
      </c>
    </row>
    <row r="1001" spans="1:18" x14ac:dyDescent="0.2">
      <c r="A1001" t="s">
        <v>2065</v>
      </c>
      <c r="B1001" t="s">
        <v>2066</v>
      </c>
      <c r="C1001" t="str">
        <f t="shared" si="381"/>
        <v>Dawn Green</v>
      </c>
      <c r="D1001" t="s">
        <v>67</v>
      </c>
      <c r="E1001" t="str">
        <f t="shared" si="382"/>
        <v>Female</v>
      </c>
      <c r="F1001">
        <v>36</v>
      </c>
      <c r="G1001" t="s">
        <v>169</v>
      </c>
      <c r="H1001" t="s">
        <v>62</v>
      </c>
      <c r="I1001" t="s">
        <v>63</v>
      </c>
      <c r="J1001">
        <v>18</v>
      </c>
      <c r="K1001" t="str" cm="1">
        <f t="array" ref="K1001">_xlfn.IFS( J1001&lt;=5,"0-5", J1001&lt;=10,"6-10",J1001&lt;=15,"11-15",J1001&lt;=20,"16-20",J1001&gt;20,"20+")</f>
        <v>16-20</v>
      </c>
      <c r="L1001" t="s">
        <v>111</v>
      </c>
      <c r="M1001" t="str">
        <f>SUBSTITUTE(L1001,"$"," ")</f>
        <v xml:space="preserve"> 20</v>
      </c>
      <c r="N1001">
        <v>1.7</v>
      </c>
      <c r="O1001">
        <v>1</v>
      </c>
      <c r="Q1001">
        <v>72</v>
      </c>
      <c r="R1001" s="3">
        <f t="shared" si="397"/>
        <v>0.72</v>
      </c>
    </row>
  </sheetData>
  <conditionalFormatting sqref="A1:A1048576">
    <cfRule type="duplicateValues" dxfId="26"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229-5987-084A-A472-B943DA1F3195}">
  <dimension ref="A2:N26"/>
  <sheetViews>
    <sheetView workbookViewId="0">
      <selection activeCell="B7" sqref="B7"/>
    </sheetView>
  </sheetViews>
  <sheetFormatPr baseColWidth="10" defaultRowHeight="16" x14ac:dyDescent="0.2"/>
  <cols>
    <col min="1" max="1" width="21.6640625" bestFit="1" customWidth="1"/>
    <col min="2" max="2" width="15.5" bestFit="1" customWidth="1"/>
    <col min="4" max="4" width="13" bestFit="1" customWidth="1"/>
    <col min="5" max="5" width="20.1640625" bestFit="1" customWidth="1"/>
    <col min="7" max="7" width="13" bestFit="1" customWidth="1"/>
    <col min="8" max="8" width="20.1640625" bestFit="1" customWidth="1"/>
    <col min="10" max="10" width="13" bestFit="1" customWidth="1"/>
    <col min="11" max="12" width="20.1640625" bestFit="1" customWidth="1"/>
    <col min="13" max="13" width="13.6640625" bestFit="1" customWidth="1"/>
    <col min="14" max="14" width="20.1640625" bestFit="1" customWidth="1"/>
  </cols>
  <sheetData>
    <row r="2" spans="1:14" x14ac:dyDescent="0.2">
      <c r="A2" s="9" t="s">
        <v>18475</v>
      </c>
      <c r="D2" t="s">
        <v>2092</v>
      </c>
      <c r="G2" t="s">
        <v>2093</v>
      </c>
    </row>
    <row r="3" spans="1:14" x14ac:dyDescent="0.2">
      <c r="A3" s="4" t="s">
        <v>2083</v>
      </c>
      <c r="B3" t="s">
        <v>2086</v>
      </c>
      <c r="D3" s="4" t="s">
        <v>2083</v>
      </c>
      <c r="E3" t="s">
        <v>2085</v>
      </c>
      <c r="G3" s="4" t="s">
        <v>2083</v>
      </c>
      <c r="H3" t="s">
        <v>2085</v>
      </c>
    </row>
    <row r="4" spans="1:14" x14ac:dyDescent="0.2">
      <c r="A4" s="5" t="s">
        <v>79</v>
      </c>
      <c r="B4" s="6">
        <v>2.8106796116504866</v>
      </c>
      <c r="D4" s="5" t="s">
        <v>2087</v>
      </c>
      <c r="E4" s="1">
        <v>0.39100000000000001</v>
      </c>
      <c r="G4" s="5">
        <v>100</v>
      </c>
      <c r="H4" s="1">
        <v>8.8300220750551883E-2</v>
      </c>
      <c r="J4" s="4" t="s">
        <v>2083</v>
      </c>
      <c r="K4" t="s">
        <v>2085</v>
      </c>
      <c r="M4" s="4" t="s">
        <v>2083</v>
      </c>
      <c r="N4" t="s">
        <v>2085</v>
      </c>
    </row>
    <row r="5" spans="1:14" x14ac:dyDescent="0.2">
      <c r="A5" s="5" t="s">
        <v>104</v>
      </c>
      <c r="B5" s="6">
        <v>2.5741176470588236</v>
      </c>
      <c r="D5" s="5" t="s">
        <v>2091</v>
      </c>
      <c r="E5" s="1">
        <v>0.18</v>
      </c>
      <c r="G5" s="5" t="s">
        <v>18463</v>
      </c>
      <c r="H5" s="1">
        <v>4.4150110375275942E-2</v>
      </c>
      <c r="J5" s="5" t="s">
        <v>12</v>
      </c>
      <c r="K5" s="2">
        <v>215</v>
      </c>
      <c r="M5" s="5" t="s">
        <v>102</v>
      </c>
      <c r="N5" s="2">
        <v>68</v>
      </c>
    </row>
    <row r="6" spans="1:14" x14ac:dyDescent="0.2">
      <c r="A6" s="5" t="s">
        <v>13</v>
      </c>
      <c r="B6" s="6">
        <v>2.5476744186046507</v>
      </c>
      <c r="D6" s="5" t="s">
        <v>2088</v>
      </c>
      <c r="E6" s="1">
        <v>0.158</v>
      </c>
      <c r="G6" s="5">
        <v>30</v>
      </c>
      <c r="H6" s="1">
        <v>7.7262693156732898E-2</v>
      </c>
      <c r="J6" s="5" t="s">
        <v>62</v>
      </c>
      <c r="K6" s="2">
        <v>142</v>
      </c>
      <c r="M6" s="5" t="s">
        <v>118</v>
      </c>
      <c r="N6" s="2">
        <v>65</v>
      </c>
    </row>
    <row r="7" spans="1:14" x14ac:dyDescent="0.2">
      <c r="A7" s="5" t="s">
        <v>63</v>
      </c>
      <c r="B7" s="6">
        <v>2.5237623762376242</v>
      </c>
      <c r="D7" s="5" t="s">
        <v>2089</v>
      </c>
      <c r="E7" s="1">
        <v>9.4E-2</v>
      </c>
      <c r="G7" s="5">
        <v>40</v>
      </c>
      <c r="H7" s="1">
        <v>0.10375275938189846</v>
      </c>
      <c r="J7" s="5" t="s">
        <v>103</v>
      </c>
      <c r="K7" s="2">
        <v>68</v>
      </c>
      <c r="M7" s="5" t="s">
        <v>18</v>
      </c>
      <c r="N7" s="2">
        <v>52</v>
      </c>
    </row>
    <row r="8" spans="1:14" x14ac:dyDescent="0.2">
      <c r="A8" s="5" t="s">
        <v>20</v>
      </c>
      <c r="B8" s="6">
        <v>2.5105882352941169</v>
      </c>
      <c r="D8" s="5" t="s">
        <v>2090</v>
      </c>
      <c r="E8" s="1">
        <v>0.17699999999999999</v>
      </c>
      <c r="G8" s="5">
        <v>50</v>
      </c>
      <c r="H8" s="1">
        <v>8.6092715231788075E-2</v>
      </c>
      <c r="J8" s="5" t="s">
        <v>19</v>
      </c>
      <c r="K8" s="2">
        <v>52</v>
      </c>
      <c r="M8" s="5" t="s">
        <v>11</v>
      </c>
      <c r="N8" s="2">
        <v>51</v>
      </c>
    </row>
    <row r="9" spans="1:14" x14ac:dyDescent="0.2">
      <c r="A9" s="5" t="s">
        <v>68</v>
      </c>
      <c r="B9" s="6">
        <v>2.4714285714285711</v>
      </c>
      <c r="D9" s="5" t="s">
        <v>2084</v>
      </c>
      <c r="E9" s="7">
        <v>1</v>
      </c>
      <c r="G9" s="5">
        <v>75</v>
      </c>
      <c r="H9" s="1">
        <v>8.4988962472406185E-2</v>
      </c>
      <c r="J9" s="5" t="s">
        <v>33</v>
      </c>
      <c r="K9" s="2">
        <v>51</v>
      </c>
      <c r="M9" s="5" t="s">
        <v>32</v>
      </c>
      <c r="N9" s="2">
        <v>51</v>
      </c>
    </row>
    <row r="10" spans="1:14" x14ac:dyDescent="0.2">
      <c r="A10" s="5" t="s">
        <v>25</v>
      </c>
      <c r="B10" s="6">
        <v>2.4361702127659566</v>
      </c>
      <c r="G10" s="5" t="s">
        <v>18464</v>
      </c>
      <c r="H10" s="1">
        <v>4.7461368653421633E-2</v>
      </c>
      <c r="J10" s="5" t="s">
        <v>166</v>
      </c>
      <c r="K10" s="2">
        <v>49</v>
      </c>
      <c r="M10" s="5" t="s">
        <v>169</v>
      </c>
      <c r="N10" s="2">
        <v>50</v>
      </c>
    </row>
    <row r="11" spans="1:14" x14ac:dyDescent="0.2">
      <c r="A11" s="5" t="s">
        <v>41</v>
      </c>
      <c r="B11" s="6">
        <v>2.4267441860465122</v>
      </c>
      <c r="G11" s="5" t="s">
        <v>18465</v>
      </c>
      <c r="H11" s="1">
        <v>4.4150110375275942E-2</v>
      </c>
      <c r="J11" s="5" t="s">
        <v>115</v>
      </c>
      <c r="K11" s="2">
        <v>47</v>
      </c>
      <c r="M11" s="5" t="s">
        <v>57</v>
      </c>
      <c r="N11" s="2">
        <v>50</v>
      </c>
    </row>
    <row r="12" spans="1:14" x14ac:dyDescent="0.2">
      <c r="A12" s="5" t="s">
        <v>34</v>
      </c>
      <c r="B12" s="6">
        <v>2.4168539325842695</v>
      </c>
      <c r="G12" s="5" t="s">
        <v>18466</v>
      </c>
      <c r="H12" s="1">
        <v>4.3046357615894038E-2</v>
      </c>
      <c r="J12" s="5" t="s">
        <v>40</v>
      </c>
      <c r="K12" s="2">
        <v>46</v>
      </c>
      <c r="M12" s="5" t="s">
        <v>165</v>
      </c>
      <c r="N12" s="2">
        <v>49</v>
      </c>
    </row>
    <row r="13" spans="1:14" x14ac:dyDescent="0.2">
      <c r="A13" s="5" t="s">
        <v>7</v>
      </c>
      <c r="B13" s="6">
        <v>2.3655913978494625</v>
      </c>
      <c r="G13" s="5" t="s">
        <v>18467</v>
      </c>
      <c r="H13" s="1">
        <v>4.3046357615894038E-2</v>
      </c>
      <c r="J13" s="5" t="s">
        <v>84</v>
      </c>
      <c r="K13" s="2">
        <v>45</v>
      </c>
      <c r="M13" s="5" t="s">
        <v>48</v>
      </c>
      <c r="N13" s="2">
        <v>49</v>
      </c>
    </row>
    <row r="14" spans="1:14" x14ac:dyDescent="0.2">
      <c r="A14" s="5" t="s">
        <v>18462</v>
      </c>
      <c r="B14" s="6"/>
      <c r="G14" s="5" t="s">
        <v>18468</v>
      </c>
      <c r="H14" s="1">
        <v>2.8697571743929361E-2</v>
      </c>
      <c r="J14" s="5" t="s">
        <v>53</v>
      </c>
      <c r="K14" s="2">
        <v>45</v>
      </c>
      <c r="M14" s="5" t="s">
        <v>61</v>
      </c>
      <c r="N14" s="2">
        <v>47</v>
      </c>
    </row>
    <row r="15" spans="1:14" x14ac:dyDescent="0.2">
      <c r="A15" s="5" t="s">
        <v>2084</v>
      </c>
      <c r="B15" s="6">
        <v>2.5125695216907658</v>
      </c>
      <c r="G15" s="5" t="s">
        <v>18469</v>
      </c>
      <c r="H15" s="1">
        <v>4.0838852097130243E-2</v>
      </c>
      <c r="J15" s="5" t="s">
        <v>144</v>
      </c>
      <c r="K15" s="2">
        <v>44</v>
      </c>
      <c r="M15" s="5" t="s">
        <v>114</v>
      </c>
      <c r="N15" s="2">
        <v>47</v>
      </c>
    </row>
    <row r="16" spans="1:14" x14ac:dyDescent="0.2">
      <c r="G16" s="5" t="s">
        <v>18470</v>
      </c>
      <c r="H16" s="1">
        <v>3.6423841059602648E-2</v>
      </c>
      <c r="J16" s="5" t="s">
        <v>126</v>
      </c>
      <c r="K16" s="2">
        <v>44</v>
      </c>
      <c r="M16" s="5" t="s">
        <v>39</v>
      </c>
      <c r="N16" s="2">
        <v>46</v>
      </c>
    </row>
    <row r="17" spans="7:14" x14ac:dyDescent="0.2">
      <c r="G17" s="5" t="s">
        <v>18471</v>
      </c>
      <c r="H17" s="1">
        <v>4.4150110375275942E-2</v>
      </c>
      <c r="J17" s="5" t="s">
        <v>6</v>
      </c>
      <c r="K17" s="2">
        <v>42</v>
      </c>
      <c r="M17" s="5" t="s">
        <v>180</v>
      </c>
      <c r="N17" s="2">
        <v>45</v>
      </c>
    </row>
    <row r="18" spans="7:14" x14ac:dyDescent="0.2">
      <c r="G18" s="5" t="s">
        <v>18472</v>
      </c>
      <c r="H18" s="1">
        <v>4.194260485651214E-2</v>
      </c>
      <c r="J18" s="5" t="s">
        <v>130</v>
      </c>
      <c r="K18" s="2">
        <v>42</v>
      </c>
      <c r="M18" s="5" t="s">
        <v>52</v>
      </c>
      <c r="N18" s="2">
        <v>45</v>
      </c>
    </row>
    <row r="19" spans="7:14" x14ac:dyDescent="0.2">
      <c r="G19" s="5" t="s">
        <v>18473</v>
      </c>
      <c r="H19" s="1">
        <v>3.8631346578366449E-2</v>
      </c>
      <c r="J19" s="5" t="s">
        <v>76</v>
      </c>
      <c r="K19" s="2">
        <v>37</v>
      </c>
      <c r="M19" s="5" t="s">
        <v>83</v>
      </c>
      <c r="N19" s="2">
        <v>45</v>
      </c>
    </row>
    <row r="20" spans="7:14" x14ac:dyDescent="0.2">
      <c r="G20" s="5" t="s">
        <v>18474</v>
      </c>
      <c r="H20" s="1">
        <v>3.4216335540838853E-2</v>
      </c>
      <c r="J20" s="5" t="s">
        <v>98</v>
      </c>
      <c r="K20" s="2">
        <v>31</v>
      </c>
      <c r="M20" s="5" t="s">
        <v>143</v>
      </c>
      <c r="N20" s="2">
        <v>44</v>
      </c>
    </row>
    <row r="21" spans="7:14" x14ac:dyDescent="0.2">
      <c r="G21" s="5">
        <v>20</v>
      </c>
      <c r="H21" s="1">
        <v>7.2847682119205295E-2</v>
      </c>
      <c r="J21" s="5" t="s">
        <v>2084</v>
      </c>
      <c r="K21" s="2">
        <v>1000</v>
      </c>
      <c r="M21" s="5" t="s">
        <v>125</v>
      </c>
      <c r="N21" s="2">
        <v>44</v>
      </c>
    </row>
    <row r="22" spans="7:14" x14ac:dyDescent="0.2">
      <c r="G22" s="5" t="s">
        <v>2084</v>
      </c>
      <c r="H22" s="7">
        <v>1</v>
      </c>
      <c r="M22" s="5" t="s">
        <v>129</v>
      </c>
      <c r="N22" s="2">
        <v>42</v>
      </c>
    </row>
    <row r="23" spans="7:14" x14ac:dyDescent="0.2">
      <c r="M23" s="5" t="s">
        <v>5</v>
      </c>
      <c r="N23" s="2">
        <v>42</v>
      </c>
    </row>
    <row r="24" spans="7:14" x14ac:dyDescent="0.2">
      <c r="M24" s="5" t="s">
        <v>75</v>
      </c>
      <c r="N24" s="2">
        <v>37</v>
      </c>
    </row>
    <row r="25" spans="7:14" x14ac:dyDescent="0.2">
      <c r="M25" s="5" t="s">
        <v>97</v>
      </c>
      <c r="N25" s="2">
        <v>31</v>
      </c>
    </row>
    <row r="26" spans="7:14" x14ac:dyDescent="0.2">
      <c r="M26" s="5" t="s">
        <v>2084</v>
      </c>
      <c r="N26" s="2">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7C90-9429-EE48-A8D5-138F5355A84C}">
  <sheetPr>
    <tabColor rgb="FFFFFF00"/>
  </sheetPr>
  <dimension ref="A1"/>
  <sheetViews>
    <sheetView showGridLines="0" workbookViewId="0">
      <selection activeCell="D31" sqref="D31"/>
    </sheetView>
  </sheetViews>
  <sheetFormatPr baseColWidth="10" defaultRowHeight="16" x14ac:dyDescent="0.2"/>
  <cols>
    <col min="1" max="16384" width="10.832031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Kisioya</dc:creator>
  <cp:lastModifiedBy>Dominic Kisioya</cp:lastModifiedBy>
  <dcterms:created xsi:type="dcterms:W3CDTF">2025-09-07T14:07:37Z</dcterms:created>
  <dcterms:modified xsi:type="dcterms:W3CDTF">2025-12-19T10:25:01Z</dcterms:modified>
</cp:coreProperties>
</file>